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lucas_barros_agnet_com_br1/Documents/Documentos/LAZARO/"/>
    </mc:Choice>
  </mc:AlternateContent>
  <xr:revisionPtr revIDLastSave="1041" documentId="8_{A35633AF-FC44-4899-9F2C-FEF6F69973EB}" xr6:coauthVersionLast="47" xr6:coauthVersionMax="47" xr10:uidLastSave="{C7F9297F-CBCF-4EEE-84DB-ED39BB69A529}"/>
  <bookViews>
    <workbookView xWindow="-120" yWindow="-120" windowWidth="29040" windowHeight="15720" activeTab="1" xr2:uid="{C2C56223-4188-435B-BAD5-5C5E86EF8FBB}"/>
  </bookViews>
  <sheets>
    <sheet name="TABELA AUXILIAR" sheetId="8" r:id="rId1"/>
    <sheet name="Capacidade por eixo" sheetId="16" r:id="rId2"/>
    <sheet name="SPT-01" sheetId="9" r:id="rId3"/>
    <sheet name="SPT-02" sheetId="10" r:id="rId4"/>
    <sheet name="SPT-03" sheetId="11" r:id="rId5"/>
    <sheet name="SPT-04" sheetId="12" r:id="rId6"/>
    <sheet name="SPT-05" sheetId="13" r:id="rId7"/>
    <sheet name="SPT-06" sheetId="14" r:id="rId8"/>
    <sheet name="SPT médio" sheetId="15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6" l="1"/>
  <c r="G4" i="16"/>
  <c r="H4" i="16"/>
  <c r="F5" i="16"/>
  <c r="G5" i="16"/>
  <c r="H5" i="16"/>
  <c r="F6" i="16"/>
  <c r="G6" i="16"/>
  <c r="H6" i="16"/>
  <c r="F7" i="16"/>
  <c r="G7" i="16"/>
  <c r="H7" i="16"/>
  <c r="F3" i="16"/>
  <c r="G3" i="16"/>
  <c r="H3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170" i="16"/>
  <c r="AG171" i="16"/>
  <c r="AG172" i="16"/>
  <c r="AG173" i="16"/>
  <c r="AG174" i="16"/>
  <c r="AG175" i="16"/>
  <c r="AG176" i="16"/>
  <c r="AG177" i="16"/>
  <c r="AG178" i="16"/>
  <c r="AG179" i="16"/>
  <c r="AG180" i="16"/>
  <c r="AG181" i="16"/>
  <c r="AG182" i="16"/>
  <c r="AG183" i="16"/>
  <c r="AG184" i="16"/>
  <c r="AG185" i="16"/>
  <c r="AG186" i="16"/>
  <c r="AG187" i="16"/>
  <c r="AG188" i="16"/>
  <c r="AG189" i="16"/>
  <c r="AG190" i="16"/>
  <c r="AG191" i="16"/>
  <c r="AG192" i="16"/>
  <c r="AG193" i="16"/>
  <c r="AG194" i="16"/>
  <c r="AG195" i="16"/>
  <c r="AG196" i="16"/>
  <c r="AG197" i="16"/>
  <c r="AG198" i="16"/>
  <c r="AG199" i="16"/>
  <c r="AG200" i="16"/>
  <c r="AG201" i="16"/>
  <c r="AG202" i="16"/>
  <c r="AG203" i="16"/>
  <c r="AG204" i="16"/>
  <c r="AG205" i="16"/>
  <c r="AG206" i="16"/>
  <c r="AG207" i="16"/>
  <c r="AG208" i="16"/>
  <c r="AG209" i="16"/>
  <c r="AG210" i="16"/>
  <c r="AG211" i="16"/>
  <c r="AG212" i="16"/>
  <c r="AG213" i="16"/>
  <c r="AG214" i="16"/>
  <c r="AG2" i="16"/>
  <c r="AF3" i="16"/>
  <c r="AF4" i="16"/>
  <c r="AF5" i="16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0" i="16"/>
  <c r="AF51" i="16"/>
  <c r="AF52" i="16"/>
  <c r="AF53" i="16"/>
  <c r="AF54" i="16"/>
  <c r="AF55" i="16"/>
  <c r="AF56" i="16"/>
  <c r="AF57" i="16"/>
  <c r="AF58" i="16"/>
  <c r="AF59" i="16"/>
  <c r="AF60" i="16"/>
  <c r="AF61" i="16"/>
  <c r="AF62" i="16"/>
  <c r="AF63" i="16"/>
  <c r="AF64" i="16"/>
  <c r="AF65" i="16"/>
  <c r="AF66" i="16"/>
  <c r="AF67" i="16"/>
  <c r="AF68" i="16"/>
  <c r="AF69" i="16"/>
  <c r="AF70" i="16"/>
  <c r="AF71" i="16"/>
  <c r="AF72" i="16"/>
  <c r="AF73" i="16"/>
  <c r="AF74" i="16"/>
  <c r="AF75" i="16"/>
  <c r="AF76" i="16"/>
  <c r="AF77" i="16"/>
  <c r="AF78" i="16"/>
  <c r="AF79" i="16"/>
  <c r="AF80" i="16"/>
  <c r="AF81" i="16"/>
  <c r="AF82" i="16"/>
  <c r="AF83" i="16"/>
  <c r="AF84" i="16"/>
  <c r="AF85" i="16"/>
  <c r="AF86" i="16"/>
  <c r="AF87" i="16"/>
  <c r="AF88" i="16"/>
  <c r="AF89" i="16"/>
  <c r="AF90" i="16"/>
  <c r="AF91" i="16"/>
  <c r="AF92" i="16"/>
  <c r="AF93" i="16"/>
  <c r="AF94" i="16"/>
  <c r="AF95" i="16"/>
  <c r="AF96" i="16"/>
  <c r="AF97" i="16"/>
  <c r="AF98" i="16"/>
  <c r="AF99" i="16"/>
  <c r="AF100" i="16"/>
  <c r="AF101" i="16"/>
  <c r="AF102" i="16"/>
  <c r="AF103" i="16"/>
  <c r="AF104" i="16"/>
  <c r="AF105" i="16"/>
  <c r="AF106" i="16"/>
  <c r="AF107" i="16"/>
  <c r="AF108" i="16"/>
  <c r="AF109" i="16"/>
  <c r="AF110" i="16"/>
  <c r="AF111" i="16"/>
  <c r="AF112" i="16"/>
  <c r="AF113" i="16"/>
  <c r="AF114" i="16"/>
  <c r="AF115" i="16"/>
  <c r="AF116" i="16"/>
  <c r="AF117" i="16"/>
  <c r="AF118" i="16"/>
  <c r="AF119" i="16"/>
  <c r="AF120" i="16"/>
  <c r="AF121" i="16"/>
  <c r="AF122" i="16"/>
  <c r="AF123" i="16"/>
  <c r="AF124" i="16"/>
  <c r="AF125" i="16"/>
  <c r="AF126" i="16"/>
  <c r="AF127" i="16"/>
  <c r="AF128" i="16"/>
  <c r="AF129" i="16"/>
  <c r="AF130" i="16"/>
  <c r="AF131" i="16"/>
  <c r="AF132" i="16"/>
  <c r="AF133" i="16"/>
  <c r="AF134" i="16"/>
  <c r="AF135" i="16"/>
  <c r="AF136" i="16"/>
  <c r="AF137" i="16"/>
  <c r="AF138" i="16"/>
  <c r="AF139" i="16"/>
  <c r="AF140" i="16"/>
  <c r="AF141" i="16"/>
  <c r="AF142" i="16"/>
  <c r="AF143" i="16"/>
  <c r="AF144" i="16"/>
  <c r="AF145" i="16"/>
  <c r="AF146" i="16"/>
  <c r="AF147" i="16"/>
  <c r="AF148" i="16"/>
  <c r="AF149" i="16"/>
  <c r="AF150" i="16"/>
  <c r="AF151" i="16"/>
  <c r="AF152" i="16"/>
  <c r="AF153" i="16"/>
  <c r="AF154" i="16"/>
  <c r="AF155" i="16"/>
  <c r="AF156" i="16"/>
  <c r="AF157" i="16"/>
  <c r="AF158" i="16"/>
  <c r="AF159" i="16"/>
  <c r="AF160" i="16"/>
  <c r="AF161" i="16"/>
  <c r="AF162" i="16"/>
  <c r="AF163" i="16"/>
  <c r="AF164" i="16"/>
  <c r="AF165" i="16"/>
  <c r="AF166" i="16"/>
  <c r="AF167" i="16"/>
  <c r="AF168" i="16"/>
  <c r="AF169" i="16"/>
  <c r="AF170" i="16"/>
  <c r="AF171" i="16"/>
  <c r="AF172" i="16"/>
  <c r="AF173" i="16"/>
  <c r="AF174" i="16"/>
  <c r="AF175" i="16"/>
  <c r="AF176" i="16"/>
  <c r="AF177" i="16"/>
  <c r="AF178" i="16"/>
  <c r="AF179" i="16"/>
  <c r="AF180" i="16"/>
  <c r="AF181" i="16"/>
  <c r="AF182" i="16"/>
  <c r="AF183" i="16"/>
  <c r="AF184" i="16"/>
  <c r="AF185" i="16"/>
  <c r="AF186" i="16"/>
  <c r="AF187" i="16"/>
  <c r="AF188" i="16"/>
  <c r="AF189" i="16"/>
  <c r="AF190" i="16"/>
  <c r="AF191" i="16"/>
  <c r="AF192" i="16"/>
  <c r="AF193" i="16"/>
  <c r="AF194" i="16"/>
  <c r="AF195" i="16"/>
  <c r="AF196" i="16"/>
  <c r="AF197" i="16"/>
  <c r="AF198" i="16"/>
  <c r="AF199" i="16"/>
  <c r="AF200" i="16"/>
  <c r="AF201" i="16"/>
  <c r="AF202" i="16"/>
  <c r="AF203" i="16"/>
  <c r="AF204" i="16"/>
  <c r="AF205" i="16"/>
  <c r="AF206" i="16"/>
  <c r="AF207" i="16"/>
  <c r="AF208" i="16"/>
  <c r="AF209" i="16"/>
  <c r="AF210" i="16"/>
  <c r="AF211" i="16"/>
  <c r="AF212" i="16"/>
  <c r="AF213" i="16"/>
  <c r="AF214" i="16"/>
  <c r="AF2" i="16"/>
  <c r="AE3" i="16"/>
  <c r="AE4" i="16"/>
  <c r="AE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AE90" i="16"/>
  <c r="AE91" i="16"/>
  <c r="AE92" i="16"/>
  <c r="AE93" i="16"/>
  <c r="AE94" i="16"/>
  <c r="AE95" i="16"/>
  <c r="AE96" i="16"/>
  <c r="AE97" i="16"/>
  <c r="AE98" i="16"/>
  <c r="AE99" i="16"/>
  <c r="AE100" i="16"/>
  <c r="AE101" i="16"/>
  <c r="AE102" i="16"/>
  <c r="AE103" i="16"/>
  <c r="AE104" i="16"/>
  <c r="AE105" i="16"/>
  <c r="AE106" i="16"/>
  <c r="AE107" i="16"/>
  <c r="AE108" i="16"/>
  <c r="AE109" i="16"/>
  <c r="AE110" i="16"/>
  <c r="AE111" i="16"/>
  <c r="AE112" i="16"/>
  <c r="AE113" i="16"/>
  <c r="AE114" i="16"/>
  <c r="AE115" i="16"/>
  <c r="AE116" i="16"/>
  <c r="AE117" i="16"/>
  <c r="AE118" i="16"/>
  <c r="AE119" i="16"/>
  <c r="AE120" i="16"/>
  <c r="AE121" i="16"/>
  <c r="AE122" i="16"/>
  <c r="AE123" i="16"/>
  <c r="AE124" i="16"/>
  <c r="AE125" i="16"/>
  <c r="AE126" i="16"/>
  <c r="AE127" i="16"/>
  <c r="AE128" i="16"/>
  <c r="AE129" i="16"/>
  <c r="AE130" i="16"/>
  <c r="AE131" i="16"/>
  <c r="AE132" i="16"/>
  <c r="AE133" i="16"/>
  <c r="AE134" i="16"/>
  <c r="AE135" i="16"/>
  <c r="AE136" i="16"/>
  <c r="AE137" i="16"/>
  <c r="AE138" i="16"/>
  <c r="AE139" i="16"/>
  <c r="AE140" i="16"/>
  <c r="AE141" i="16"/>
  <c r="AE142" i="16"/>
  <c r="AE143" i="16"/>
  <c r="AE144" i="16"/>
  <c r="AE145" i="16"/>
  <c r="AE146" i="16"/>
  <c r="AE147" i="16"/>
  <c r="AE148" i="16"/>
  <c r="AE149" i="16"/>
  <c r="AE150" i="16"/>
  <c r="AE151" i="16"/>
  <c r="AE152" i="16"/>
  <c r="AE153" i="16"/>
  <c r="AE154" i="16"/>
  <c r="AE155" i="16"/>
  <c r="AE156" i="16"/>
  <c r="AE157" i="16"/>
  <c r="AE158" i="16"/>
  <c r="AE159" i="16"/>
  <c r="AE160" i="16"/>
  <c r="AE161" i="16"/>
  <c r="AE162" i="16"/>
  <c r="AE163" i="16"/>
  <c r="AE164" i="16"/>
  <c r="AE165" i="16"/>
  <c r="AE166" i="16"/>
  <c r="AE167" i="16"/>
  <c r="AE168" i="16"/>
  <c r="AE169" i="16"/>
  <c r="AE170" i="16"/>
  <c r="AE171" i="16"/>
  <c r="AE172" i="16"/>
  <c r="AE173" i="16"/>
  <c r="AE174" i="16"/>
  <c r="AE175" i="16"/>
  <c r="AE176" i="16"/>
  <c r="AE177" i="16"/>
  <c r="AE178" i="16"/>
  <c r="AE179" i="16"/>
  <c r="AE180" i="16"/>
  <c r="AE181" i="16"/>
  <c r="AE182" i="16"/>
  <c r="AE183" i="16"/>
  <c r="AE184" i="16"/>
  <c r="AE185" i="16"/>
  <c r="AE186" i="16"/>
  <c r="AE187" i="16"/>
  <c r="AE188" i="16"/>
  <c r="AE189" i="16"/>
  <c r="AE190" i="16"/>
  <c r="AE191" i="16"/>
  <c r="AE192" i="16"/>
  <c r="AE193" i="16"/>
  <c r="AE194" i="16"/>
  <c r="AE195" i="16"/>
  <c r="AE196" i="16"/>
  <c r="AE197" i="16"/>
  <c r="AE198" i="16"/>
  <c r="AE199" i="16"/>
  <c r="AE200" i="16"/>
  <c r="AE201" i="16"/>
  <c r="AE202" i="16"/>
  <c r="AE203" i="16"/>
  <c r="AE204" i="16"/>
  <c r="AE205" i="16"/>
  <c r="AE206" i="16"/>
  <c r="AE207" i="16"/>
  <c r="AE208" i="16"/>
  <c r="AE209" i="16"/>
  <c r="AE210" i="16"/>
  <c r="AE211" i="16"/>
  <c r="AE212" i="16"/>
  <c r="AE213" i="16"/>
  <c r="AE214" i="16"/>
  <c r="AE2" i="16"/>
  <c r="AB3" i="16"/>
  <c r="AB4" i="16"/>
  <c r="AB5" i="16"/>
  <c r="AB6" i="16"/>
  <c r="AB7" i="16"/>
  <c r="AB8" i="16"/>
  <c r="AB9" i="16"/>
  <c r="AB10" i="16"/>
  <c r="AB11" i="16"/>
  <c r="AB12" i="16"/>
  <c r="AB13" i="16"/>
  <c r="AB14" i="16"/>
  <c r="AB15" i="16"/>
  <c r="AB16" i="16"/>
  <c r="AB17" i="16"/>
  <c r="AB18" i="16"/>
  <c r="AB19" i="16"/>
  <c r="AB20" i="16"/>
  <c r="AB21" i="16"/>
  <c r="AB22" i="16"/>
  <c r="AB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B38" i="16"/>
  <c r="AB39" i="16"/>
  <c r="AB40" i="16"/>
  <c r="AB41" i="16"/>
  <c r="AB42" i="16"/>
  <c r="AB43" i="16"/>
  <c r="AB44" i="16"/>
  <c r="AB45" i="16"/>
  <c r="AB46" i="16"/>
  <c r="AB47" i="16"/>
  <c r="AB48" i="16"/>
  <c r="AB49" i="16"/>
  <c r="AB50" i="16"/>
  <c r="AB51" i="16"/>
  <c r="AB52" i="16"/>
  <c r="AB53" i="16"/>
  <c r="AB54" i="16"/>
  <c r="AB55" i="16"/>
  <c r="AB56" i="16"/>
  <c r="AB57" i="16"/>
  <c r="AB58" i="16"/>
  <c r="AB59" i="16"/>
  <c r="AB60" i="16"/>
  <c r="AB61" i="16"/>
  <c r="AB62" i="16"/>
  <c r="AB63" i="16"/>
  <c r="AB64" i="16"/>
  <c r="AB65" i="16"/>
  <c r="AB66" i="16"/>
  <c r="AB67" i="16"/>
  <c r="AB68" i="16"/>
  <c r="AB69" i="16"/>
  <c r="AB70" i="16"/>
  <c r="AB71" i="16"/>
  <c r="AB72" i="16"/>
  <c r="AB73" i="16"/>
  <c r="AB74" i="16"/>
  <c r="AB75" i="16"/>
  <c r="AB76" i="16"/>
  <c r="AB77" i="16"/>
  <c r="AB78" i="16"/>
  <c r="AB79" i="16"/>
  <c r="AB80" i="16"/>
  <c r="AB81" i="16"/>
  <c r="AB82" i="16"/>
  <c r="AB83" i="16"/>
  <c r="AB84" i="16"/>
  <c r="AB85" i="16"/>
  <c r="AB86" i="16"/>
  <c r="AB87" i="16"/>
  <c r="AB88" i="16"/>
  <c r="AB89" i="16"/>
  <c r="AB90" i="16"/>
  <c r="AB91" i="16"/>
  <c r="AB92" i="16"/>
  <c r="AB93" i="16"/>
  <c r="AB94" i="16"/>
  <c r="AB95" i="16"/>
  <c r="AB96" i="16"/>
  <c r="AB97" i="16"/>
  <c r="AB98" i="16"/>
  <c r="AB99" i="16"/>
  <c r="AB100" i="16"/>
  <c r="AB101" i="16"/>
  <c r="AB102" i="16"/>
  <c r="AB103" i="16"/>
  <c r="AB104" i="16"/>
  <c r="AB105" i="16"/>
  <c r="AB106" i="16"/>
  <c r="AB107" i="16"/>
  <c r="AB108" i="16"/>
  <c r="AB109" i="16"/>
  <c r="AB110" i="16"/>
  <c r="AB111" i="16"/>
  <c r="AB112" i="16"/>
  <c r="AB113" i="16"/>
  <c r="AB114" i="16"/>
  <c r="AB115" i="16"/>
  <c r="AB116" i="16"/>
  <c r="AB117" i="16"/>
  <c r="AB118" i="16"/>
  <c r="AB119" i="16"/>
  <c r="AB120" i="16"/>
  <c r="AB121" i="16"/>
  <c r="AB122" i="16"/>
  <c r="AB123" i="16"/>
  <c r="AB124" i="16"/>
  <c r="AB125" i="16"/>
  <c r="AB126" i="16"/>
  <c r="AB127" i="16"/>
  <c r="AB128" i="16"/>
  <c r="AB129" i="16"/>
  <c r="AB130" i="16"/>
  <c r="AB131" i="16"/>
  <c r="AB132" i="16"/>
  <c r="AB133" i="16"/>
  <c r="AB134" i="16"/>
  <c r="AB135" i="16"/>
  <c r="AB136" i="16"/>
  <c r="AB137" i="16"/>
  <c r="AB138" i="16"/>
  <c r="AB139" i="16"/>
  <c r="AB140" i="16"/>
  <c r="AB141" i="16"/>
  <c r="AB142" i="16"/>
  <c r="AB143" i="16"/>
  <c r="AB144" i="16"/>
  <c r="AB145" i="16"/>
  <c r="AB146" i="16"/>
  <c r="AB147" i="16"/>
  <c r="AB148" i="16"/>
  <c r="AB149" i="16"/>
  <c r="AB150" i="16"/>
  <c r="AB151" i="16"/>
  <c r="AB152" i="16"/>
  <c r="AB153" i="16"/>
  <c r="AB154" i="16"/>
  <c r="AB155" i="16"/>
  <c r="AB156" i="16"/>
  <c r="AB157" i="16"/>
  <c r="AB158" i="16"/>
  <c r="AB159" i="16"/>
  <c r="AB160" i="16"/>
  <c r="AB161" i="16"/>
  <c r="AB162" i="16"/>
  <c r="AB163" i="16"/>
  <c r="AB164" i="16"/>
  <c r="AB165" i="16"/>
  <c r="AB166" i="16"/>
  <c r="AB167" i="16"/>
  <c r="AB168" i="16"/>
  <c r="AB169" i="16"/>
  <c r="AB170" i="16"/>
  <c r="AB171" i="16"/>
  <c r="AB172" i="16"/>
  <c r="AB173" i="16"/>
  <c r="AB174" i="16"/>
  <c r="AB175" i="16"/>
  <c r="AB176" i="16"/>
  <c r="AB177" i="16"/>
  <c r="AB178" i="16"/>
  <c r="AB179" i="16"/>
  <c r="AB180" i="16"/>
  <c r="AB181" i="16"/>
  <c r="AB182" i="16"/>
  <c r="AB183" i="16"/>
  <c r="AB184" i="16"/>
  <c r="AB185" i="16"/>
  <c r="AB186" i="16"/>
  <c r="AB187" i="16"/>
  <c r="AB188" i="16"/>
  <c r="AB189" i="16"/>
  <c r="AB190" i="16"/>
  <c r="AB191" i="16"/>
  <c r="AB192" i="16"/>
  <c r="AB193" i="16"/>
  <c r="AB194" i="16"/>
  <c r="AB195" i="16"/>
  <c r="AB196" i="16"/>
  <c r="AB197" i="16"/>
  <c r="AB198" i="16"/>
  <c r="AB199" i="16"/>
  <c r="AB200" i="16"/>
  <c r="AB201" i="16"/>
  <c r="AB202" i="16"/>
  <c r="AB203" i="16"/>
  <c r="AB204" i="16"/>
  <c r="AB205" i="16"/>
  <c r="AB206" i="16"/>
  <c r="AB207" i="16"/>
  <c r="AB208" i="16"/>
  <c r="AB209" i="16"/>
  <c r="AB210" i="16"/>
  <c r="AB211" i="16"/>
  <c r="AB212" i="16"/>
  <c r="AB213" i="16"/>
  <c r="AB214" i="16"/>
  <c r="AB2" i="16"/>
  <c r="AA3" i="16"/>
  <c r="AA4" i="16"/>
  <c r="AA5" i="16"/>
  <c r="AA6" i="16"/>
  <c r="AA7" i="16"/>
  <c r="AA8" i="16"/>
  <c r="AA9" i="16"/>
  <c r="AA10" i="16"/>
  <c r="AA11" i="16"/>
  <c r="AA12" i="16"/>
  <c r="AA13" i="16"/>
  <c r="AA14" i="16"/>
  <c r="AA15" i="16"/>
  <c r="AA16" i="16"/>
  <c r="AA17" i="16"/>
  <c r="AA18" i="16"/>
  <c r="AA19" i="16"/>
  <c r="AA20" i="16"/>
  <c r="AA21" i="16"/>
  <c r="AA22" i="16"/>
  <c r="AA23" i="16"/>
  <c r="AA24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AA37" i="16"/>
  <c r="AA38" i="16"/>
  <c r="AA39" i="16"/>
  <c r="AA40" i="16"/>
  <c r="AA41" i="16"/>
  <c r="AA42" i="16"/>
  <c r="AA43" i="16"/>
  <c r="AA44" i="16"/>
  <c r="AA45" i="16"/>
  <c r="AA46" i="16"/>
  <c r="AA47" i="16"/>
  <c r="AA48" i="16"/>
  <c r="AA49" i="16"/>
  <c r="AA50" i="16"/>
  <c r="AA51" i="16"/>
  <c r="AA52" i="16"/>
  <c r="AA53" i="16"/>
  <c r="AA54" i="16"/>
  <c r="AA55" i="16"/>
  <c r="AA56" i="16"/>
  <c r="AA57" i="16"/>
  <c r="AA58" i="16"/>
  <c r="AA59" i="16"/>
  <c r="AA60" i="16"/>
  <c r="AA61" i="16"/>
  <c r="AA62" i="16"/>
  <c r="AA63" i="16"/>
  <c r="AA64" i="16"/>
  <c r="AA65" i="16"/>
  <c r="AA66" i="16"/>
  <c r="AA67" i="16"/>
  <c r="AA68" i="16"/>
  <c r="AA69" i="16"/>
  <c r="AA70" i="16"/>
  <c r="AA71" i="16"/>
  <c r="AA72" i="16"/>
  <c r="AA73" i="16"/>
  <c r="AA74" i="16"/>
  <c r="AA75" i="16"/>
  <c r="AA76" i="16"/>
  <c r="AA77" i="16"/>
  <c r="AA78" i="16"/>
  <c r="AA79" i="16"/>
  <c r="AA80" i="16"/>
  <c r="AA81" i="16"/>
  <c r="AA82" i="16"/>
  <c r="AA83" i="16"/>
  <c r="AA84" i="16"/>
  <c r="AA85" i="16"/>
  <c r="AA86" i="16"/>
  <c r="AA87" i="16"/>
  <c r="AA88" i="16"/>
  <c r="AA89" i="16"/>
  <c r="AA90" i="16"/>
  <c r="AA91" i="16"/>
  <c r="AA92" i="16"/>
  <c r="AA93" i="16"/>
  <c r="AA94" i="16"/>
  <c r="AA95" i="16"/>
  <c r="AA96" i="16"/>
  <c r="AA97" i="16"/>
  <c r="AA98" i="16"/>
  <c r="AA99" i="16"/>
  <c r="AA100" i="16"/>
  <c r="AA101" i="16"/>
  <c r="AA102" i="16"/>
  <c r="AA103" i="16"/>
  <c r="AA104" i="16"/>
  <c r="AA105" i="16"/>
  <c r="AA106" i="16"/>
  <c r="AA107" i="16"/>
  <c r="AA108" i="16"/>
  <c r="AA109" i="16"/>
  <c r="AA110" i="16"/>
  <c r="AA111" i="16"/>
  <c r="AA112" i="16"/>
  <c r="AA113" i="16"/>
  <c r="AA114" i="16"/>
  <c r="AA115" i="16"/>
  <c r="AA116" i="16"/>
  <c r="AA117" i="16"/>
  <c r="AA118" i="16"/>
  <c r="AA119" i="16"/>
  <c r="AA120" i="16"/>
  <c r="AA121" i="16"/>
  <c r="AA122" i="16"/>
  <c r="AA123" i="16"/>
  <c r="AA124" i="16"/>
  <c r="AA125" i="16"/>
  <c r="AA126" i="16"/>
  <c r="AA127" i="16"/>
  <c r="AA128" i="16"/>
  <c r="AA129" i="16"/>
  <c r="AA130" i="16"/>
  <c r="AA131" i="16"/>
  <c r="AA132" i="16"/>
  <c r="AA133" i="16"/>
  <c r="AA134" i="16"/>
  <c r="AA135" i="16"/>
  <c r="AA136" i="16"/>
  <c r="AA137" i="16"/>
  <c r="AA138" i="16"/>
  <c r="AA139" i="16"/>
  <c r="AA140" i="16"/>
  <c r="AA141" i="16"/>
  <c r="AA142" i="16"/>
  <c r="AA143" i="16"/>
  <c r="AA144" i="16"/>
  <c r="AA145" i="16"/>
  <c r="AA146" i="16"/>
  <c r="AA147" i="16"/>
  <c r="AA148" i="16"/>
  <c r="AA149" i="16"/>
  <c r="AA150" i="16"/>
  <c r="AA151" i="16"/>
  <c r="AA152" i="16"/>
  <c r="AA153" i="16"/>
  <c r="AA154" i="16"/>
  <c r="AA155" i="16"/>
  <c r="AA156" i="16"/>
  <c r="AA157" i="16"/>
  <c r="AA158" i="16"/>
  <c r="AA159" i="16"/>
  <c r="AA160" i="16"/>
  <c r="AA161" i="16"/>
  <c r="AA162" i="16"/>
  <c r="AA163" i="16"/>
  <c r="AA164" i="16"/>
  <c r="AA165" i="16"/>
  <c r="AA166" i="16"/>
  <c r="AA167" i="16"/>
  <c r="AA168" i="16"/>
  <c r="AA169" i="16"/>
  <c r="AA170" i="16"/>
  <c r="AA171" i="16"/>
  <c r="AA172" i="16"/>
  <c r="AA173" i="16"/>
  <c r="AA174" i="16"/>
  <c r="AA175" i="16"/>
  <c r="AA176" i="16"/>
  <c r="AA177" i="16"/>
  <c r="AA178" i="16"/>
  <c r="AA179" i="16"/>
  <c r="AA180" i="16"/>
  <c r="AA181" i="16"/>
  <c r="AA182" i="16"/>
  <c r="AA183" i="16"/>
  <c r="AA184" i="16"/>
  <c r="AA185" i="16"/>
  <c r="AA186" i="16"/>
  <c r="AA187" i="16"/>
  <c r="AA188" i="16"/>
  <c r="AA189" i="16"/>
  <c r="AA190" i="16"/>
  <c r="AA191" i="16"/>
  <c r="AA192" i="16"/>
  <c r="AA193" i="16"/>
  <c r="AA194" i="16"/>
  <c r="AA195" i="16"/>
  <c r="AA196" i="16"/>
  <c r="AA197" i="16"/>
  <c r="AA198" i="16"/>
  <c r="AA199" i="16"/>
  <c r="AA200" i="16"/>
  <c r="AA201" i="16"/>
  <c r="AA202" i="16"/>
  <c r="AA203" i="16"/>
  <c r="AA204" i="16"/>
  <c r="AA205" i="16"/>
  <c r="AA206" i="16"/>
  <c r="AA207" i="16"/>
  <c r="AA208" i="16"/>
  <c r="AA209" i="16"/>
  <c r="AA210" i="16"/>
  <c r="AA211" i="16"/>
  <c r="AA212" i="16"/>
  <c r="AA213" i="16"/>
  <c r="AA214" i="16"/>
  <c r="AA2" i="16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1" i="16"/>
  <c r="Z122" i="16"/>
  <c r="Z123" i="16"/>
  <c r="Z124" i="16"/>
  <c r="Z125" i="16"/>
  <c r="Z126" i="16"/>
  <c r="Z127" i="16"/>
  <c r="Z128" i="16"/>
  <c r="Z129" i="16"/>
  <c r="Z130" i="16"/>
  <c r="Z131" i="16"/>
  <c r="Z132" i="16"/>
  <c r="Z133" i="16"/>
  <c r="Z134" i="16"/>
  <c r="Z135" i="16"/>
  <c r="Z136" i="16"/>
  <c r="Z137" i="16"/>
  <c r="Z138" i="16"/>
  <c r="Z139" i="16"/>
  <c r="Z140" i="16"/>
  <c r="Z141" i="16"/>
  <c r="Z142" i="16"/>
  <c r="Z143" i="16"/>
  <c r="Z144" i="16"/>
  <c r="Z145" i="16"/>
  <c r="Z146" i="16"/>
  <c r="Z147" i="16"/>
  <c r="Z148" i="16"/>
  <c r="Z149" i="16"/>
  <c r="Z150" i="16"/>
  <c r="Z151" i="16"/>
  <c r="Z152" i="16"/>
  <c r="Z153" i="16"/>
  <c r="Z154" i="16"/>
  <c r="Z155" i="16"/>
  <c r="Z156" i="16"/>
  <c r="Z157" i="16"/>
  <c r="Z158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1" i="16"/>
  <c r="Z182" i="16"/>
  <c r="Z183" i="16"/>
  <c r="Z184" i="16"/>
  <c r="Z185" i="16"/>
  <c r="Z186" i="16"/>
  <c r="Z187" i="16"/>
  <c r="Z188" i="16"/>
  <c r="Z189" i="16"/>
  <c r="Z190" i="16"/>
  <c r="Z191" i="16"/>
  <c r="Z192" i="16"/>
  <c r="Z193" i="16"/>
  <c r="Z194" i="16"/>
  <c r="Z195" i="16"/>
  <c r="Z196" i="16"/>
  <c r="Z197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Z211" i="16"/>
  <c r="Z212" i="16"/>
  <c r="Z213" i="16"/>
  <c r="Z214" i="16"/>
  <c r="Z2" i="16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7" i="16"/>
  <c r="W108" i="16"/>
  <c r="W109" i="16"/>
  <c r="W110" i="16"/>
  <c r="W111" i="16"/>
  <c r="W112" i="16"/>
  <c r="W113" i="16"/>
  <c r="W114" i="16"/>
  <c r="W115" i="16"/>
  <c r="W116" i="16"/>
  <c r="W117" i="16"/>
  <c r="W118" i="16"/>
  <c r="W119" i="16"/>
  <c r="W120" i="16"/>
  <c r="W121" i="16"/>
  <c r="W122" i="16"/>
  <c r="W123" i="16"/>
  <c r="W124" i="16"/>
  <c r="W125" i="16"/>
  <c r="W126" i="16"/>
  <c r="W127" i="16"/>
  <c r="W128" i="16"/>
  <c r="W129" i="16"/>
  <c r="W130" i="16"/>
  <c r="W131" i="16"/>
  <c r="W132" i="16"/>
  <c r="W133" i="16"/>
  <c r="W134" i="16"/>
  <c r="W135" i="16"/>
  <c r="W136" i="16"/>
  <c r="W137" i="16"/>
  <c r="W138" i="16"/>
  <c r="W139" i="16"/>
  <c r="W140" i="16"/>
  <c r="W141" i="16"/>
  <c r="W142" i="16"/>
  <c r="W143" i="16"/>
  <c r="W144" i="16"/>
  <c r="W145" i="16"/>
  <c r="W146" i="16"/>
  <c r="W147" i="16"/>
  <c r="W148" i="16"/>
  <c r="W149" i="16"/>
  <c r="W150" i="16"/>
  <c r="W151" i="16"/>
  <c r="W152" i="16"/>
  <c r="W153" i="16"/>
  <c r="W154" i="16"/>
  <c r="W155" i="16"/>
  <c r="W156" i="16"/>
  <c r="W157" i="16"/>
  <c r="W158" i="16"/>
  <c r="W159" i="16"/>
  <c r="W160" i="16"/>
  <c r="W161" i="16"/>
  <c r="W162" i="16"/>
  <c r="W163" i="16"/>
  <c r="W164" i="16"/>
  <c r="W165" i="16"/>
  <c r="W166" i="16"/>
  <c r="W167" i="16"/>
  <c r="W168" i="16"/>
  <c r="W169" i="16"/>
  <c r="W170" i="16"/>
  <c r="W171" i="16"/>
  <c r="W172" i="16"/>
  <c r="W173" i="16"/>
  <c r="W174" i="16"/>
  <c r="W175" i="16"/>
  <c r="W176" i="16"/>
  <c r="W177" i="16"/>
  <c r="W178" i="16"/>
  <c r="W179" i="16"/>
  <c r="W180" i="16"/>
  <c r="W181" i="16"/>
  <c r="W182" i="16"/>
  <c r="W183" i="16"/>
  <c r="W184" i="16"/>
  <c r="W185" i="16"/>
  <c r="W186" i="16"/>
  <c r="W187" i="16"/>
  <c r="W188" i="16"/>
  <c r="W189" i="16"/>
  <c r="W190" i="16"/>
  <c r="W191" i="16"/>
  <c r="W192" i="16"/>
  <c r="W193" i="16"/>
  <c r="W194" i="16"/>
  <c r="W195" i="16"/>
  <c r="W196" i="16"/>
  <c r="W197" i="16"/>
  <c r="W198" i="16"/>
  <c r="W199" i="16"/>
  <c r="W200" i="16"/>
  <c r="W201" i="16"/>
  <c r="W202" i="16"/>
  <c r="W203" i="16"/>
  <c r="W204" i="16"/>
  <c r="W205" i="16"/>
  <c r="W206" i="16"/>
  <c r="W207" i="16"/>
  <c r="W208" i="16"/>
  <c r="W209" i="16"/>
  <c r="W210" i="16"/>
  <c r="W211" i="16"/>
  <c r="W212" i="16"/>
  <c r="W213" i="16"/>
  <c r="W214" i="16"/>
  <c r="W2" i="16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" i="16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2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2" i="16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174" i="16"/>
  <c r="P175" i="16"/>
  <c r="P176" i="16"/>
  <c r="P177" i="16"/>
  <c r="P178" i="16"/>
  <c r="P179" i="16"/>
  <c r="P180" i="16"/>
  <c r="P181" i="16"/>
  <c r="P182" i="16"/>
  <c r="P183" i="16"/>
  <c r="P184" i="16"/>
  <c r="P185" i="16"/>
  <c r="P186" i="16"/>
  <c r="P187" i="16"/>
  <c r="P188" i="16"/>
  <c r="P189" i="16"/>
  <c r="P190" i="16"/>
  <c r="P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2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2" i="16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76" i="9"/>
  <c r="P2" i="9"/>
  <c r="H93" i="9"/>
  <c r="H94" i="9"/>
  <c r="H110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C3" i="15"/>
  <c r="H3" i="15" s="1"/>
  <c r="C4" i="15"/>
  <c r="H4" i="15" s="1"/>
  <c r="C5" i="15"/>
  <c r="H5" i="15" s="1"/>
  <c r="C6" i="15"/>
  <c r="H6" i="15" s="1"/>
  <c r="C7" i="15"/>
  <c r="H7" i="15" s="1"/>
  <c r="C8" i="15"/>
  <c r="H8" i="15" s="1"/>
  <c r="C9" i="15"/>
  <c r="H9" i="15" s="1"/>
  <c r="C10" i="15"/>
  <c r="H10" i="15" s="1"/>
  <c r="C11" i="15"/>
  <c r="H11" i="15" s="1"/>
  <c r="C12" i="15"/>
  <c r="H12" i="15" s="1"/>
  <c r="C13" i="15"/>
  <c r="H13" i="15" s="1"/>
  <c r="C14" i="15"/>
  <c r="H14" i="15" s="1"/>
  <c r="C15" i="15"/>
  <c r="H15" i="15" s="1"/>
  <c r="C16" i="15"/>
  <c r="H16" i="15" s="1"/>
  <c r="C17" i="15"/>
  <c r="H17" i="15" s="1"/>
  <c r="C18" i="15"/>
  <c r="H18" i="15" s="1"/>
  <c r="C19" i="15"/>
  <c r="H19" i="15" s="1"/>
  <c r="C20" i="15"/>
  <c r="H20" i="15" s="1"/>
  <c r="C21" i="15"/>
  <c r="H21" i="15" s="1"/>
  <c r="C22" i="15"/>
  <c r="H22" i="15" s="1"/>
  <c r="C23" i="15"/>
  <c r="H23" i="15" s="1"/>
  <c r="C24" i="15"/>
  <c r="H24" i="15" s="1"/>
  <c r="C25" i="15"/>
  <c r="H25" i="15" s="1"/>
  <c r="C26" i="15"/>
  <c r="H26" i="15" s="1"/>
  <c r="C27" i="15"/>
  <c r="H27" i="15" s="1"/>
  <c r="C28" i="15"/>
  <c r="H28" i="15" s="1"/>
  <c r="C29" i="15"/>
  <c r="H29" i="15" s="1"/>
  <c r="C30" i="15"/>
  <c r="H30" i="15" s="1"/>
  <c r="C31" i="15"/>
  <c r="H31" i="15" s="1"/>
  <c r="C32" i="15"/>
  <c r="H32" i="15" s="1"/>
  <c r="C33" i="15"/>
  <c r="H33" i="15" s="1"/>
  <c r="C34" i="15"/>
  <c r="H34" i="15" s="1"/>
  <c r="C35" i="15"/>
  <c r="H35" i="15" s="1"/>
  <c r="C36" i="15"/>
  <c r="H36" i="15" s="1"/>
  <c r="C37" i="15"/>
  <c r="H37" i="15" s="1"/>
  <c r="C38" i="15"/>
  <c r="H38" i="15" s="1"/>
  <c r="C39" i="15"/>
  <c r="H39" i="15" s="1"/>
  <c r="C40" i="15"/>
  <c r="H40" i="15" s="1"/>
  <c r="C41" i="15"/>
  <c r="H41" i="15" s="1"/>
  <c r="C42" i="15"/>
  <c r="H42" i="15" s="1"/>
  <c r="C43" i="15"/>
  <c r="H43" i="15" s="1"/>
  <c r="C44" i="15"/>
  <c r="H44" i="15" s="1"/>
  <c r="C45" i="15"/>
  <c r="H45" i="15" s="1"/>
  <c r="C46" i="15"/>
  <c r="H46" i="15" s="1"/>
  <c r="C47" i="15"/>
  <c r="H47" i="15" s="1"/>
  <c r="C48" i="15"/>
  <c r="H48" i="15" s="1"/>
  <c r="C49" i="15"/>
  <c r="H49" i="15" s="1"/>
  <c r="C50" i="15"/>
  <c r="H50" i="15" s="1"/>
  <c r="C51" i="15"/>
  <c r="H51" i="15" s="1"/>
  <c r="C52" i="15"/>
  <c r="H52" i="15" s="1"/>
  <c r="C53" i="15"/>
  <c r="H53" i="15" s="1"/>
  <c r="C54" i="15"/>
  <c r="H54" i="15" s="1"/>
  <c r="C55" i="15"/>
  <c r="H55" i="15" s="1"/>
  <c r="C56" i="15"/>
  <c r="H56" i="15" s="1"/>
  <c r="C57" i="15"/>
  <c r="H57" i="15" s="1"/>
  <c r="C58" i="15"/>
  <c r="H58" i="15" s="1"/>
  <c r="C59" i="15"/>
  <c r="H59" i="15" s="1"/>
  <c r="C60" i="15"/>
  <c r="H60" i="15" s="1"/>
  <c r="C61" i="15"/>
  <c r="H61" i="15" s="1"/>
  <c r="C62" i="15"/>
  <c r="H62" i="15" s="1"/>
  <c r="C63" i="15"/>
  <c r="H63" i="15" s="1"/>
  <c r="C64" i="15"/>
  <c r="H64" i="15" s="1"/>
  <c r="C65" i="15"/>
  <c r="H65" i="15" s="1"/>
  <c r="C66" i="15"/>
  <c r="H66" i="15" s="1"/>
  <c r="C67" i="15"/>
  <c r="H67" i="15" s="1"/>
  <c r="C68" i="15"/>
  <c r="H68" i="15" s="1"/>
  <c r="C69" i="15"/>
  <c r="H69" i="15" s="1"/>
  <c r="C70" i="15"/>
  <c r="H70" i="15" s="1"/>
  <c r="C71" i="15"/>
  <c r="H71" i="15" s="1"/>
  <c r="C72" i="15"/>
  <c r="H72" i="15" s="1"/>
  <c r="C73" i="15"/>
  <c r="H73" i="15" s="1"/>
  <c r="C74" i="15"/>
  <c r="H74" i="15" s="1"/>
  <c r="C75" i="15"/>
  <c r="H75" i="15" s="1"/>
  <c r="C2" i="15"/>
  <c r="H2" i="15" s="1"/>
  <c r="F93" i="9" a="1"/>
  <c r="F94" i="9" a="1"/>
  <c r="F95" i="9" a="1"/>
  <c r="F96" i="9" a="1"/>
  <c r="F97" i="9" a="1"/>
  <c r="F98" i="9" a="1"/>
  <c r="F99" i="9" a="1"/>
  <c r="F100" i="9" a="1"/>
  <c r="F101" i="9" a="1"/>
  <c r="F102" i="9" a="1"/>
  <c r="F103" i="9" a="1"/>
  <c r="F104" i="9" a="1"/>
  <c r="F105" i="9" a="1"/>
  <c r="F106" i="9" a="1"/>
  <c r="F107" i="9" a="1"/>
  <c r="F108" i="9" a="1"/>
  <c r="F109" i="9" a="1"/>
  <c r="F110" i="9" a="1"/>
  <c r="F111" i="9" a="1"/>
  <c r="F112" i="9" a="1"/>
  <c r="F113" i="9" a="1"/>
  <c r="F114" i="9" a="1"/>
  <c r="F115" i="9" a="1"/>
  <c r="F116" i="9" a="1"/>
  <c r="F117" i="9" a="1"/>
  <c r="F118" i="9" a="1"/>
  <c r="F119" i="9" a="1"/>
  <c r="F120" i="9" a="1"/>
  <c r="F121" i="9" a="1"/>
  <c r="F122" i="9" a="1"/>
  <c r="F123" i="9" a="1"/>
  <c r="F124" i="9" a="1"/>
  <c r="F125" i="9" a="1"/>
  <c r="F126" i="9" a="1"/>
  <c r="F127" i="9" a="1"/>
  <c r="F128" i="9" a="1"/>
  <c r="F129" i="9" a="1"/>
  <c r="F130" i="9" a="1"/>
  <c r="F131" i="9" a="1"/>
  <c r="F132" i="9" a="1"/>
  <c r="F133" i="9" a="1"/>
  <c r="F134" i="9" a="1"/>
  <c r="F135" i="9" a="1"/>
  <c r="F136" i="9" a="1"/>
  <c r="F137" i="9" a="1"/>
  <c r="F138" i="9" a="1"/>
  <c r="F139" i="9" a="1"/>
  <c r="F140" i="9" a="1"/>
  <c r="F141" i="9" a="1"/>
  <c r="F142" i="9" a="1"/>
  <c r="F143" i="9" a="1"/>
  <c r="F144" i="9" a="1"/>
  <c r="F145" i="9" a="1"/>
  <c r="F146" i="9" a="1"/>
  <c r="F147" i="9" a="1"/>
  <c r="F148" i="9" a="1"/>
  <c r="F149" i="9" a="1"/>
  <c r="F150" i="9" a="1"/>
  <c r="F151" i="9" a="1"/>
  <c r="F152" i="9" a="1"/>
  <c r="F153" i="9" a="1"/>
  <c r="F154" i="9" a="1"/>
  <c r="F155" i="9" a="1"/>
  <c r="F156" i="9" a="1"/>
  <c r="F157" i="9" a="1"/>
  <c r="F158" i="9" a="1"/>
  <c r="F159" i="9" a="1"/>
  <c r="F160" i="9" a="1"/>
  <c r="F161" i="9" a="1"/>
  <c r="F162" i="9" a="1"/>
  <c r="F163" i="9" a="1"/>
  <c r="F164" i="9" a="1"/>
  <c r="F165" i="9" a="1"/>
  <c r="F166" i="9" a="1"/>
  <c r="F167" i="9" a="1"/>
  <c r="F168" i="9" a="1"/>
  <c r="F169" i="9" a="1"/>
  <c r="F170" i="9" a="1"/>
  <c r="F171" i="9" a="1"/>
  <c r="F172" i="9" a="1"/>
  <c r="F173" i="9" a="1"/>
  <c r="F174" i="9" a="1"/>
  <c r="F175" i="9" a="1"/>
  <c r="F176" i="9" a="1"/>
  <c r="F177" i="9" a="1"/>
  <c r="F178" i="9" a="1"/>
  <c r="F179" i="9" a="1"/>
  <c r="F180" i="9" a="1"/>
  <c r="F181" i="9" a="1"/>
  <c r="F182" i="9" a="1"/>
  <c r="F183" i="9" a="1"/>
  <c r="F184" i="9" a="1"/>
  <c r="F185" i="9" a="1"/>
  <c r="F186" i="9" a="1"/>
  <c r="F187" i="9" a="1"/>
  <c r="F188" i="9" a="1"/>
  <c r="F189" i="9" a="1"/>
  <c r="F190" i="9" a="1"/>
  <c r="F191" i="9" a="1"/>
  <c r="F192" i="9" a="1"/>
  <c r="F193" i="9" a="1"/>
  <c r="F194" i="9" a="1"/>
  <c r="F195" i="9" a="1"/>
  <c r="F196" i="9" a="1"/>
  <c r="F197" i="9" a="1"/>
  <c r="F198" i="9" a="1"/>
  <c r="F199" i="9" a="1"/>
  <c r="F200" i="9" a="1"/>
  <c r="F201" i="9" a="1"/>
  <c r="F202" i="9" a="1"/>
  <c r="F203" i="9" a="1"/>
  <c r="F204" i="9" a="1"/>
  <c r="F205" i="9" a="1"/>
  <c r="F206" i="9" a="1"/>
  <c r="F207" i="9" a="1"/>
  <c r="F208" i="9" a="1"/>
  <c r="F209" i="9" a="1"/>
  <c r="F210" i="9" a="1"/>
  <c r="F211" i="9" a="1"/>
  <c r="F212" i="9" a="1"/>
  <c r="F213" i="9" a="1"/>
  <c r="F214" i="9" a="1"/>
  <c r="F215" i="9" a="1"/>
  <c r="F216" i="9" a="1"/>
  <c r="F217" i="9" a="1"/>
  <c r="F218" i="9" a="1"/>
  <c r="F219" i="9" a="1"/>
  <c r="F220" i="9" a="1"/>
  <c r="F221" i="9" a="1"/>
  <c r="F222" i="9" a="1"/>
  <c r="F76" i="9" a="1"/>
  <c r="J76" i="9" s="1"/>
  <c r="F77" i="9" a="1"/>
  <c r="F78" i="9" a="1"/>
  <c r="F79" i="9" a="1"/>
  <c r="F80" i="9" a="1"/>
  <c r="F81" i="9" a="1"/>
  <c r="F82" i="9" a="1"/>
  <c r="F83" i="9" a="1"/>
  <c r="F84" i="9" a="1"/>
  <c r="F85" i="9" a="1"/>
  <c r="F86" i="9" a="1"/>
  <c r="F87" i="9" a="1"/>
  <c r="F88" i="9" a="1"/>
  <c r="F89" i="9" a="1"/>
  <c r="F90" i="9" a="1"/>
  <c r="F91" i="9" a="1"/>
  <c r="F92" i="9" a="1"/>
  <c r="R2" i="9"/>
  <c r="E3" i="15" a="1"/>
  <c r="E4" i="15" a="1"/>
  <c r="E5" i="15" a="1"/>
  <c r="E6" i="15" a="1"/>
  <c r="E7" i="15" a="1"/>
  <c r="E8" i="15" a="1"/>
  <c r="E9" i="15" a="1"/>
  <c r="E10" i="15" a="1"/>
  <c r="E11" i="15" a="1"/>
  <c r="E12" i="15" a="1"/>
  <c r="E13" i="15" a="1"/>
  <c r="E14" i="15" a="1"/>
  <c r="E15" i="15" a="1"/>
  <c r="E16" i="15" a="1"/>
  <c r="E17" i="15" a="1"/>
  <c r="E18" i="15" a="1"/>
  <c r="E19" i="15" a="1"/>
  <c r="E20" i="15" a="1"/>
  <c r="E21" i="15" a="1"/>
  <c r="E22" i="15" a="1"/>
  <c r="E23" i="15" a="1"/>
  <c r="E24" i="15" a="1"/>
  <c r="E25" i="15" a="1"/>
  <c r="E26" i="15" a="1"/>
  <c r="E27" i="15" a="1"/>
  <c r="E28" i="15" a="1"/>
  <c r="E29" i="15" a="1"/>
  <c r="E30" i="15" a="1"/>
  <c r="E31" i="15" a="1"/>
  <c r="E32" i="15" a="1"/>
  <c r="E33" i="15" a="1"/>
  <c r="E34" i="15" a="1"/>
  <c r="E35" i="15" a="1"/>
  <c r="E36" i="15" a="1"/>
  <c r="E37" i="15" a="1"/>
  <c r="E38" i="15" a="1"/>
  <c r="E39" i="15" a="1"/>
  <c r="E40" i="15" a="1"/>
  <c r="E41" i="15" a="1"/>
  <c r="E42" i="15" a="1"/>
  <c r="E43" i="15" a="1"/>
  <c r="E44" i="15" a="1"/>
  <c r="E45" i="15" a="1"/>
  <c r="E46" i="15" a="1"/>
  <c r="E47" i="15" a="1"/>
  <c r="E48" i="15" a="1"/>
  <c r="E49" i="15" a="1"/>
  <c r="E50" i="15" a="1"/>
  <c r="E51" i="15" a="1"/>
  <c r="E52" i="15" a="1"/>
  <c r="E53" i="15" a="1"/>
  <c r="E54" i="15" a="1"/>
  <c r="E55" i="15" a="1"/>
  <c r="E56" i="15" a="1"/>
  <c r="E57" i="15" a="1"/>
  <c r="E58" i="15" a="1"/>
  <c r="E59" i="15" a="1"/>
  <c r="E60" i="15" a="1"/>
  <c r="E61" i="15" a="1"/>
  <c r="E62" i="15" a="1"/>
  <c r="E63" i="15" a="1"/>
  <c r="E64" i="15" a="1"/>
  <c r="E65" i="15" a="1"/>
  <c r="E66" i="15" a="1"/>
  <c r="E67" i="15" a="1"/>
  <c r="E68" i="15" a="1"/>
  <c r="E69" i="15" a="1"/>
  <c r="E70" i="15" a="1"/>
  <c r="E71" i="15" a="1"/>
  <c r="E72" i="15" a="1"/>
  <c r="E73" i="15" a="1"/>
  <c r="E74" i="15" a="1"/>
  <c r="E75" i="15" a="1"/>
  <c r="E2" i="15" a="1"/>
  <c r="D3" i="15" a="1"/>
  <c r="F3" i="15" s="1" a="1"/>
  <c r="D4" i="15" a="1"/>
  <c r="D5" i="15" a="1"/>
  <c r="D6" i="15" a="1"/>
  <c r="D7" i="15" a="1"/>
  <c r="D8" i="15" a="1"/>
  <c r="D9" i="15" a="1"/>
  <c r="D10" i="15" a="1"/>
  <c r="D11" i="15" a="1"/>
  <c r="D12" i="15" a="1"/>
  <c r="D13" i="15" a="1"/>
  <c r="D14" i="15" a="1"/>
  <c r="D15" i="15" a="1"/>
  <c r="D16" i="15" a="1"/>
  <c r="D17" i="15" a="1"/>
  <c r="D18" i="15" a="1"/>
  <c r="D19" i="15" a="1"/>
  <c r="D20" i="15" a="1"/>
  <c r="D21" i="15" a="1"/>
  <c r="D22" i="15" a="1"/>
  <c r="D23" i="15" a="1"/>
  <c r="D24" i="15" a="1"/>
  <c r="D25" i="15" a="1"/>
  <c r="D26" i="15" a="1"/>
  <c r="D27" i="15" a="1"/>
  <c r="D28" i="15" a="1"/>
  <c r="D29" i="15" a="1"/>
  <c r="D30" i="15" a="1"/>
  <c r="F30" i="15" s="1" a="1"/>
  <c r="D31" i="15" a="1"/>
  <c r="F31" i="15" s="1" a="1"/>
  <c r="D32" i="15" a="1"/>
  <c r="F32" i="15" s="1" a="1"/>
  <c r="D33" i="15" a="1"/>
  <c r="F33" i="15" s="1" a="1"/>
  <c r="D34" i="15" a="1"/>
  <c r="F34" i="15" s="1" a="1"/>
  <c r="D35" i="15" a="1"/>
  <c r="F35" i="15" s="1" a="1"/>
  <c r="D36" i="15" a="1"/>
  <c r="F36" i="15" s="1" a="1"/>
  <c r="D37" i="15" a="1"/>
  <c r="F37" i="15" s="1" a="1"/>
  <c r="D38" i="15" a="1"/>
  <c r="F38" i="15" s="1" a="1"/>
  <c r="D39" i="15" a="1"/>
  <c r="F39" i="15" s="1" a="1"/>
  <c r="D40" i="15" a="1"/>
  <c r="F40" i="15" s="1" a="1"/>
  <c r="D41" i="15" a="1"/>
  <c r="F41" i="15" s="1" a="1"/>
  <c r="D42" i="15" a="1"/>
  <c r="F42" i="15" s="1" a="1"/>
  <c r="D43" i="15" a="1"/>
  <c r="F43" i="15" s="1" a="1"/>
  <c r="D44" i="15" a="1"/>
  <c r="F44" i="15" s="1" a="1"/>
  <c r="D45" i="15" a="1"/>
  <c r="F45" i="15" s="1" a="1"/>
  <c r="D46" i="15" a="1"/>
  <c r="F46" i="15" s="1" a="1"/>
  <c r="D47" i="15" a="1"/>
  <c r="F47" i="15" s="1" a="1"/>
  <c r="D48" i="15" a="1"/>
  <c r="F48" i="15" s="1" a="1"/>
  <c r="D49" i="15" a="1"/>
  <c r="F49" i="15" s="1" a="1"/>
  <c r="D50" i="15" a="1"/>
  <c r="F50" i="15" s="1" a="1"/>
  <c r="D51" i="15" a="1"/>
  <c r="F51" i="15" s="1" a="1"/>
  <c r="D52" i="15" a="1"/>
  <c r="F52" i="15" s="1" a="1"/>
  <c r="D53" i="15" a="1"/>
  <c r="F53" i="15" s="1" a="1"/>
  <c r="D54" i="15" a="1"/>
  <c r="F54" i="15" s="1" a="1"/>
  <c r="D55" i="15" a="1"/>
  <c r="F55" i="15" s="1" a="1"/>
  <c r="D56" i="15" a="1"/>
  <c r="F56" i="15" s="1" a="1"/>
  <c r="D57" i="15" a="1"/>
  <c r="F57" i="15" s="1" a="1"/>
  <c r="D58" i="15" a="1"/>
  <c r="F58" i="15" s="1" a="1"/>
  <c r="D59" i="15" a="1"/>
  <c r="F59" i="15" s="1" a="1"/>
  <c r="D60" i="15" a="1"/>
  <c r="F60" i="15" s="1" a="1"/>
  <c r="D61" i="15" a="1"/>
  <c r="F61" i="15" s="1" a="1"/>
  <c r="D62" i="15" a="1"/>
  <c r="F62" i="15" s="1" a="1"/>
  <c r="D63" i="15" a="1"/>
  <c r="F63" i="15" s="1" a="1"/>
  <c r="D64" i="15" a="1"/>
  <c r="F64" i="15" s="1" a="1"/>
  <c r="D65" i="15" a="1"/>
  <c r="F65" i="15" s="1" a="1"/>
  <c r="D66" i="15" a="1"/>
  <c r="F66" i="15" s="1" a="1"/>
  <c r="D67" i="15" a="1"/>
  <c r="F67" i="15" s="1" a="1"/>
  <c r="D68" i="15" a="1"/>
  <c r="F68" i="15" s="1" a="1"/>
  <c r="D69" i="15" a="1"/>
  <c r="F69" i="15" s="1" a="1"/>
  <c r="D70" i="15" a="1"/>
  <c r="F70" i="15" s="1" a="1"/>
  <c r="D71" i="15" a="1"/>
  <c r="F71" i="15" s="1" a="1"/>
  <c r="D72" i="15" a="1"/>
  <c r="F72" i="15" s="1" a="1"/>
  <c r="D73" i="15" a="1"/>
  <c r="F73" i="15" s="1" a="1"/>
  <c r="D74" i="15" a="1"/>
  <c r="F74" i="15" s="1" a="1"/>
  <c r="D75" i="15" a="1"/>
  <c r="F75" i="15" s="1" a="1"/>
  <c r="D2" i="15" a="1"/>
  <c r="Z3" i="15"/>
  <c r="AA3" i="15"/>
  <c r="AB3" i="15"/>
  <c r="AC3" i="15"/>
  <c r="AD3" i="15"/>
  <c r="AE3" i="15"/>
  <c r="AF3" i="15"/>
  <c r="AG3" i="15"/>
  <c r="AH3" i="15"/>
  <c r="AI3" i="15"/>
  <c r="AJ3" i="15"/>
  <c r="AK3" i="15"/>
  <c r="Z4" i="15"/>
  <c r="F4" i="15" s="1" a="1"/>
  <c r="AA4" i="15"/>
  <c r="AB4" i="15"/>
  <c r="AC4" i="15"/>
  <c r="AD4" i="15"/>
  <c r="AE4" i="15"/>
  <c r="AF4" i="15"/>
  <c r="AG4" i="15"/>
  <c r="AH4" i="15"/>
  <c r="AI4" i="15"/>
  <c r="AJ4" i="15"/>
  <c r="AK4" i="15"/>
  <c r="Z5" i="15"/>
  <c r="F5" i="15" s="1" a="1"/>
  <c r="AA5" i="15"/>
  <c r="AB5" i="15"/>
  <c r="AC5" i="15"/>
  <c r="AD5" i="15"/>
  <c r="AE5" i="15"/>
  <c r="AF5" i="15"/>
  <c r="AG5" i="15"/>
  <c r="AH5" i="15"/>
  <c r="AI5" i="15"/>
  <c r="AJ5" i="15"/>
  <c r="AK5" i="15"/>
  <c r="Z6" i="15"/>
  <c r="F6" i="15" s="1" a="1"/>
  <c r="AA6" i="15"/>
  <c r="AB6" i="15"/>
  <c r="AC6" i="15"/>
  <c r="AD6" i="15"/>
  <c r="AE6" i="15"/>
  <c r="AF6" i="15"/>
  <c r="AG6" i="15"/>
  <c r="AH6" i="15"/>
  <c r="AI6" i="15"/>
  <c r="AJ6" i="15"/>
  <c r="AK6" i="15"/>
  <c r="Z7" i="15"/>
  <c r="F7" i="15" s="1" a="1"/>
  <c r="AA7" i="15"/>
  <c r="AB7" i="15"/>
  <c r="AC7" i="15"/>
  <c r="AD7" i="15"/>
  <c r="AE7" i="15"/>
  <c r="AF7" i="15"/>
  <c r="AG7" i="15"/>
  <c r="AH7" i="15"/>
  <c r="AI7" i="15"/>
  <c r="AJ7" i="15"/>
  <c r="AK7" i="15"/>
  <c r="Z8" i="15"/>
  <c r="F8" i="15" s="1" a="1"/>
  <c r="AA8" i="15"/>
  <c r="AB8" i="15"/>
  <c r="AC8" i="15"/>
  <c r="AD8" i="15"/>
  <c r="AE8" i="15"/>
  <c r="AF8" i="15"/>
  <c r="AG8" i="15"/>
  <c r="AH8" i="15"/>
  <c r="AI8" i="15"/>
  <c r="AJ8" i="15"/>
  <c r="AK8" i="15"/>
  <c r="Z9" i="15"/>
  <c r="F9" i="15" s="1" a="1"/>
  <c r="AA9" i="15"/>
  <c r="AB9" i="15"/>
  <c r="AC9" i="15"/>
  <c r="AD9" i="15"/>
  <c r="AE9" i="15"/>
  <c r="AF9" i="15"/>
  <c r="AG9" i="15"/>
  <c r="AH9" i="15"/>
  <c r="AI9" i="15"/>
  <c r="AJ9" i="15"/>
  <c r="AK9" i="15"/>
  <c r="Z10" i="15"/>
  <c r="F10" i="15" s="1" a="1"/>
  <c r="AA10" i="15"/>
  <c r="AB10" i="15"/>
  <c r="AC10" i="15"/>
  <c r="AD10" i="15"/>
  <c r="AE10" i="15"/>
  <c r="AF10" i="15"/>
  <c r="AG10" i="15"/>
  <c r="AH10" i="15"/>
  <c r="AI10" i="15"/>
  <c r="AJ10" i="15"/>
  <c r="AK10" i="15"/>
  <c r="Z11" i="15"/>
  <c r="F11" i="15" s="1" a="1"/>
  <c r="AA11" i="15"/>
  <c r="AB11" i="15"/>
  <c r="AC11" i="15"/>
  <c r="AD11" i="15"/>
  <c r="AE11" i="15"/>
  <c r="AF11" i="15"/>
  <c r="AG11" i="15"/>
  <c r="AH11" i="15"/>
  <c r="AI11" i="15"/>
  <c r="AJ11" i="15"/>
  <c r="AK11" i="15"/>
  <c r="Z12" i="15"/>
  <c r="F12" i="15" s="1" a="1"/>
  <c r="AA12" i="15"/>
  <c r="AB12" i="15"/>
  <c r="AC12" i="15"/>
  <c r="AD12" i="15"/>
  <c r="AE12" i="15"/>
  <c r="AF12" i="15"/>
  <c r="AG12" i="15"/>
  <c r="AH12" i="15"/>
  <c r="AI12" i="15"/>
  <c r="AJ12" i="15"/>
  <c r="AK12" i="15"/>
  <c r="Z13" i="15"/>
  <c r="F13" i="15" s="1" a="1"/>
  <c r="AA13" i="15"/>
  <c r="AB13" i="15"/>
  <c r="AC13" i="15"/>
  <c r="AD13" i="15"/>
  <c r="AE13" i="15"/>
  <c r="AF13" i="15"/>
  <c r="AG13" i="15"/>
  <c r="AH13" i="15"/>
  <c r="AI13" i="15"/>
  <c r="AJ13" i="15"/>
  <c r="AK13" i="15"/>
  <c r="Z14" i="15"/>
  <c r="F14" i="15" s="1" a="1"/>
  <c r="AA14" i="15"/>
  <c r="AB14" i="15"/>
  <c r="AC14" i="15"/>
  <c r="AD14" i="15"/>
  <c r="AE14" i="15"/>
  <c r="AF14" i="15"/>
  <c r="AG14" i="15"/>
  <c r="AH14" i="15"/>
  <c r="AI14" i="15"/>
  <c r="AJ14" i="15"/>
  <c r="AK14" i="15"/>
  <c r="Z15" i="15"/>
  <c r="F15" i="15" s="1" a="1"/>
  <c r="AA15" i="15"/>
  <c r="AB15" i="15"/>
  <c r="AC15" i="15"/>
  <c r="AD15" i="15"/>
  <c r="AE15" i="15"/>
  <c r="AF15" i="15"/>
  <c r="AG15" i="15"/>
  <c r="AH15" i="15"/>
  <c r="AI15" i="15"/>
  <c r="AJ15" i="15"/>
  <c r="AK15" i="15"/>
  <c r="Z16" i="15"/>
  <c r="F16" i="15" s="1" a="1"/>
  <c r="AA16" i="15"/>
  <c r="AB16" i="15"/>
  <c r="AC16" i="15"/>
  <c r="AD16" i="15"/>
  <c r="AE16" i="15"/>
  <c r="AF16" i="15"/>
  <c r="AG16" i="15"/>
  <c r="AH16" i="15"/>
  <c r="AI16" i="15"/>
  <c r="AJ16" i="15"/>
  <c r="AK16" i="15"/>
  <c r="Z17" i="15"/>
  <c r="F17" i="15" s="1" a="1"/>
  <c r="AA17" i="15"/>
  <c r="AB17" i="15"/>
  <c r="AC17" i="15"/>
  <c r="AD17" i="15"/>
  <c r="AE17" i="15"/>
  <c r="AF17" i="15"/>
  <c r="AG17" i="15"/>
  <c r="AH17" i="15"/>
  <c r="AI17" i="15"/>
  <c r="AJ17" i="15"/>
  <c r="AK17" i="15"/>
  <c r="Z18" i="15"/>
  <c r="F18" i="15" s="1" a="1"/>
  <c r="AA18" i="15"/>
  <c r="AB18" i="15"/>
  <c r="AC18" i="15"/>
  <c r="AD18" i="15"/>
  <c r="AE18" i="15"/>
  <c r="AF18" i="15"/>
  <c r="AG18" i="15"/>
  <c r="AH18" i="15"/>
  <c r="AI18" i="15"/>
  <c r="AJ18" i="15"/>
  <c r="AK18" i="15"/>
  <c r="Z19" i="15"/>
  <c r="F19" i="15" s="1" a="1"/>
  <c r="AA19" i="15"/>
  <c r="AB19" i="15"/>
  <c r="AC19" i="15"/>
  <c r="AD19" i="15"/>
  <c r="AE19" i="15"/>
  <c r="AF19" i="15"/>
  <c r="AG19" i="15"/>
  <c r="AH19" i="15"/>
  <c r="AI19" i="15"/>
  <c r="AJ19" i="15"/>
  <c r="AK19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F81" i="10" a="1"/>
  <c r="F80" i="10" a="1"/>
  <c r="F79" i="10" a="1"/>
  <c r="F78" i="10" a="1"/>
  <c r="F77" i="10" a="1"/>
  <c r="F76" i="10" a="1"/>
  <c r="F75" i="10" a="1"/>
  <c r="F74" i="10" a="1"/>
  <c r="F73" i="10" a="1"/>
  <c r="F72" i="10" a="1"/>
  <c r="F71" i="10" a="1"/>
  <c r="F70" i="10" a="1"/>
  <c r="F69" i="10" a="1"/>
  <c r="F68" i="10" a="1"/>
  <c r="F67" i="10" a="1"/>
  <c r="F66" i="10" a="1"/>
  <c r="F65" i="10" a="1"/>
  <c r="F64" i="10" a="1"/>
  <c r="F63" i="10" a="1"/>
  <c r="F62" i="10" a="1"/>
  <c r="F61" i="10" a="1"/>
  <c r="F60" i="10" a="1"/>
  <c r="F59" i="10" a="1"/>
  <c r="F58" i="10" a="1"/>
  <c r="F57" i="10" a="1"/>
  <c r="F56" i="10" a="1"/>
  <c r="F55" i="10" a="1"/>
  <c r="F54" i="10" a="1"/>
  <c r="F53" i="10" a="1"/>
  <c r="F52" i="10" a="1"/>
  <c r="F51" i="10" a="1"/>
  <c r="F50" i="10" a="1"/>
  <c r="F49" i="10" a="1"/>
  <c r="F48" i="10" a="1"/>
  <c r="F47" i="10" a="1"/>
  <c r="F46" i="10" a="1"/>
  <c r="F45" i="10" a="1"/>
  <c r="F44" i="10" a="1"/>
  <c r="F43" i="10" a="1"/>
  <c r="F42" i="10" a="1"/>
  <c r="F41" i="10" a="1"/>
  <c r="F40" i="10" a="1"/>
  <c r="F39" i="10" a="1"/>
  <c r="F38" i="10" a="1"/>
  <c r="F37" i="10" a="1"/>
  <c r="F36" i="10" a="1"/>
  <c r="F35" i="10" a="1"/>
  <c r="F34" i="10" a="1"/>
  <c r="F33" i="10" a="1"/>
  <c r="F32" i="10" a="1"/>
  <c r="F31" i="10" a="1"/>
  <c r="F30" i="10" a="1"/>
  <c r="F29" i="10" a="1"/>
  <c r="F28" i="10" a="1"/>
  <c r="F27" i="10" a="1"/>
  <c r="F26" i="10" a="1"/>
  <c r="F25" i="10" a="1"/>
  <c r="F24" i="10" a="1"/>
  <c r="F23" i="10" a="1"/>
  <c r="F22" i="10" a="1"/>
  <c r="F21" i="10" a="1"/>
  <c r="F20" i="10" a="1"/>
  <c r="F19" i="10" a="1"/>
  <c r="F18" i="10" a="1"/>
  <c r="F17" i="10" a="1"/>
  <c r="F16" i="10" a="1"/>
  <c r="F15" i="10" a="1"/>
  <c r="F14" i="10" a="1"/>
  <c r="F13" i="10" a="1"/>
  <c r="F12" i="10" a="1"/>
  <c r="F11" i="10" a="1"/>
  <c r="F10" i="10" a="1"/>
  <c r="F9" i="10" a="1"/>
  <c r="F8" i="10" a="1"/>
  <c r="F7" i="10" a="1"/>
  <c r="F6" i="10" a="1"/>
  <c r="F5" i="10" a="1"/>
  <c r="F4" i="10" a="1"/>
  <c r="F3" i="10" a="1"/>
  <c r="F2" i="10" a="1"/>
  <c r="J2" i="10" s="1"/>
  <c r="F80" i="11" a="1"/>
  <c r="F79" i="11" a="1"/>
  <c r="F78" i="11" a="1"/>
  <c r="F77" i="11" a="1"/>
  <c r="F76" i="11" a="1"/>
  <c r="F75" i="11" a="1"/>
  <c r="F74" i="11" a="1"/>
  <c r="F73" i="11" a="1"/>
  <c r="F72" i="11" a="1"/>
  <c r="F71" i="11" a="1"/>
  <c r="F70" i="11" a="1"/>
  <c r="F69" i="11" a="1"/>
  <c r="F68" i="11" a="1"/>
  <c r="F67" i="11" a="1"/>
  <c r="F66" i="11" a="1"/>
  <c r="F65" i="11" a="1"/>
  <c r="F64" i="11" a="1"/>
  <c r="F63" i="11" a="1"/>
  <c r="F62" i="11" a="1"/>
  <c r="F61" i="11" a="1"/>
  <c r="F60" i="11" a="1"/>
  <c r="F59" i="11" a="1"/>
  <c r="F58" i="11" a="1"/>
  <c r="F57" i="11" a="1"/>
  <c r="F56" i="11" a="1"/>
  <c r="F55" i="11" a="1"/>
  <c r="F54" i="11" a="1"/>
  <c r="F53" i="11" a="1"/>
  <c r="F52" i="11" a="1"/>
  <c r="F51" i="11" a="1"/>
  <c r="F50" i="11" a="1"/>
  <c r="F49" i="11" a="1"/>
  <c r="F48" i="11" a="1"/>
  <c r="F47" i="11" a="1"/>
  <c r="F46" i="11" a="1"/>
  <c r="F45" i="11" a="1"/>
  <c r="F44" i="11" a="1"/>
  <c r="F43" i="11" a="1"/>
  <c r="F42" i="11" a="1"/>
  <c r="F41" i="11" a="1"/>
  <c r="F40" i="11" a="1"/>
  <c r="F39" i="11" a="1"/>
  <c r="F38" i="11" a="1"/>
  <c r="F37" i="11" a="1"/>
  <c r="F36" i="11" a="1"/>
  <c r="F35" i="11" a="1"/>
  <c r="F34" i="11" a="1"/>
  <c r="F33" i="11" a="1"/>
  <c r="F32" i="11" a="1"/>
  <c r="F31" i="11" a="1"/>
  <c r="F30" i="11" a="1"/>
  <c r="F29" i="11" a="1"/>
  <c r="F28" i="11" a="1"/>
  <c r="F27" i="11" a="1"/>
  <c r="F26" i="11" a="1"/>
  <c r="F25" i="11" a="1"/>
  <c r="F24" i="11" a="1"/>
  <c r="F23" i="11" a="1"/>
  <c r="F22" i="11" a="1"/>
  <c r="F21" i="11" a="1"/>
  <c r="F20" i="11" a="1"/>
  <c r="F19" i="11" a="1"/>
  <c r="F18" i="11" a="1"/>
  <c r="F17" i="11" a="1"/>
  <c r="F16" i="11" a="1"/>
  <c r="F15" i="11" a="1"/>
  <c r="F14" i="11" a="1"/>
  <c r="F13" i="11" a="1"/>
  <c r="F12" i="11" a="1"/>
  <c r="F11" i="11" a="1"/>
  <c r="F10" i="11" a="1"/>
  <c r="F9" i="11" a="1"/>
  <c r="F8" i="11" a="1"/>
  <c r="F7" i="11" a="1"/>
  <c r="F6" i="11" a="1"/>
  <c r="F5" i="11" a="1"/>
  <c r="F4" i="11" a="1"/>
  <c r="F3" i="11" a="1"/>
  <c r="F2" i="11" a="1"/>
  <c r="J2" i="11" s="1"/>
  <c r="F77" i="12" a="1"/>
  <c r="F76" i="12" a="1"/>
  <c r="F75" i="12" a="1"/>
  <c r="F74" i="12" a="1"/>
  <c r="F73" i="12" a="1"/>
  <c r="F72" i="12" a="1"/>
  <c r="F71" i="12" a="1"/>
  <c r="F70" i="12" a="1"/>
  <c r="F69" i="12" a="1"/>
  <c r="F68" i="12" a="1"/>
  <c r="F67" i="12" a="1"/>
  <c r="F66" i="12" a="1"/>
  <c r="F65" i="12" a="1"/>
  <c r="F64" i="12" a="1"/>
  <c r="F63" i="12" a="1"/>
  <c r="F62" i="12" a="1"/>
  <c r="F61" i="12" a="1"/>
  <c r="F60" i="12" a="1"/>
  <c r="F59" i="12" a="1"/>
  <c r="F58" i="12" a="1"/>
  <c r="F57" i="12" a="1"/>
  <c r="F56" i="12" a="1"/>
  <c r="F55" i="12" a="1"/>
  <c r="F54" i="12" a="1"/>
  <c r="F53" i="12" a="1"/>
  <c r="F52" i="12" a="1"/>
  <c r="F51" i="12" a="1"/>
  <c r="F50" i="12" a="1"/>
  <c r="F49" i="12" a="1"/>
  <c r="F48" i="12" a="1"/>
  <c r="F47" i="12" a="1"/>
  <c r="F46" i="12" a="1"/>
  <c r="F45" i="12" a="1"/>
  <c r="F44" i="12" a="1"/>
  <c r="F43" i="12" a="1"/>
  <c r="F42" i="12" a="1"/>
  <c r="F41" i="12" a="1"/>
  <c r="F40" i="12" a="1"/>
  <c r="F39" i="12" a="1"/>
  <c r="F38" i="12" a="1"/>
  <c r="F37" i="12" a="1"/>
  <c r="F36" i="12" a="1"/>
  <c r="F35" i="12" a="1"/>
  <c r="F34" i="12" a="1"/>
  <c r="F33" i="12" a="1"/>
  <c r="F32" i="12" a="1"/>
  <c r="F31" i="12" a="1"/>
  <c r="F30" i="12" a="1"/>
  <c r="F29" i="12" a="1"/>
  <c r="F28" i="12" a="1"/>
  <c r="F27" i="12" a="1"/>
  <c r="F26" i="12" a="1"/>
  <c r="F25" i="12" a="1"/>
  <c r="F24" i="12" a="1"/>
  <c r="F23" i="12" a="1"/>
  <c r="F22" i="12" a="1"/>
  <c r="F21" i="12" a="1"/>
  <c r="F20" i="12" a="1"/>
  <c r="F19" i="12" a="1"/>
  <c r="F18" i="12" a="1"/>
  <c r="F17" i="12" a="1"/>
  <c r="F16" i="12" a="1"/>
  <c r="F15" i="12" a="1"/>
  <c r="F14" i="12" a="1"/>
  <c r="F13" i="12" a="1"/>
  <c r="F12" i="12" a="1"/>
  <c r="F11" i="12" a="1"/>
  <c r="F10" i="12" a="1"/>
  <c r="F9" i="12" a="1"/>
  <c r="F8" i="12" a="1"/>
  <c r="F7" i="12" a="1"/>
  <c r="F6" i="12" a="1"/>
  <c r="F5" i="12" a="1"/>
  <c r="F4" i="12" a="1"/>
  <c r="F3" i="12" a="1"/>
  <c r="F2" i="12" a="1"/>
  <c r="J2" i="12" s="1"/>
  <c r="F76" i="13" a="1"/>
  <c r="F75" i="13" a="1"/>
  <c r="F74" i="13" a="1"/>
  <c r="F73" i="13" a="1"/>
  <c r="F72" i="13" a="1"/>
  <c r="F71" i="13" a="1"/>
  <c r="F70" i="13" a="1"/>
  <c r="F69" i="13" a="1"/>
  <c r="F68" i="13" a="1"/>
  <c r="F67" i="13" a="1"/>
  <c r="F66" i="13" a="1"/>
  <c r="F65" i="13" a="1"/>
  <c r="F64" i="13" a="1"/>
  <c r="F63" i="13" a="1"/>
  <c r="F62" i="13" a="1"/>
  <c r="F61" i="13" a="1"/>
  <c r="F60" i="13" a="1"/>
  <c r="F59" i="13" a="1"/>
  <c r="F58" i="13" a="1"/>
  <c r="F57" i="13" a="1"/>
  <c r="F56" i="13" a="1"/>
  <c r="F55" i="13" a="1"/>
  <c r="F54" i="13" a="1"/>
  <c r="F53" i="13" a="1"/>
  <c r="F52" i="13" a="1"/>
  <c r="F51" i="13" a="1"/>
  <c r="F50" i="13" a="1"/>
  <c r="F49" i="13" a="1"/>
  <c r="F48" i="13" a="1"/>
  <c r="F47" i="13" a="1"/>
  <c r="F46" i="13" a="1"/>
  <c r="F45" i="13" a="1"/>
  <c r="F44" i="13" a="1"/>
  <c r="F43" i="13" a="1"/>
  <c r="F42" i="13" a="1"/>
  <c r="F41" i="13" a="1"/>
  <c r="F40" i="13" a="1"/>
  <c r="F39" i="13" a="1"/>
  <c r="F38" i="13" a="1"/>
  <c r="F37" i="13" a="1"/>
  <c r="F36" i="13" a="1"/>
  <c r="F35" i="13" a="1"/>
  <c r="F34" i="13" a="1"/>
  <c r="F33" i="13" a="1"/>
  <c r="F32" i="13" a="1"/>
  <c r="F31" i="13" a="1"/>
  <c r="F30" i="13" a="1"/>
  <c r="F29" i="13" a="1"/>
  <c r="F28" i="13" a="1"/>
  <c r="F27" i="13" a="1"/>
  <c r="F26" i="13" a="1"/>
  <c r="F25" i="13" a="1"/>
  <c r="F24" i="13" a="1"/>
  <c r="F23" i="13" a="1"/>
  <c r="F22" i="13" a="1"/>
  <c r="F21" i="13" a="1"/>
  <c r="F20" i="13" a="1"/>
  <c r="F19" i="13" a="1"/>
  <c r="F18" i="13" a="1"/>
  <c r="F17" i="13" a="1"/>
  <c r="F16" i="13" a="1"/>
  <c r="F15" i="13" a="1"/>
  <c r="F14" i="13" a="1"/>
  <c r="F13" i="13" a="1"/>
  <c r="F12" i="13" a="1"/>
  <c r="F11" i="13" a="1"/>
  <c r="F10" i="13" a="1"/>
  <c r="F9" i="13" a="1"/>
  <c r="F8" i="13" a="1"/>
  <c r="F7" i="13" a="1"/>
  <c r="F6" i="13" a="1"/>
  <c r="F5" i="13" a="1"/>
  <c r="F4" i="13" a="1"/>
  <c r="F3" i="13" a="1"/>
  <c r="F2" i="13" a="1"/>
  <c r="J2" i="13" s="1"/>
  <c r="F77" i="14" a="1"/>
  <c r="F76" i="14" a="1"/>
  <c r="F75" i="14" a="1"/>
  <c r="F74" i="14" a="1"/>
  <c r="F73" i="14" a="1"/>
  <c r="F72" i="14" a="1"/>
  <c r="F71" i="14" a="1"/>
  <c r="F70" i="14" a="1"/>
  <c r="F69" i="14" a="1"/>
  <c r="F68" i="14" a="1"/>
  <c r="F67" i="14" a="1"/>
  <c r="F66" i="14" a="1"/>
  <c r="F65" i="14" a="1"/>
  <c r="F64" i="14" a="1"/>
  <c r="F63" i="14" a="1"/>
  <c r="F62" i="14" a="1"/>
  <c r="F61" i="14" a="1"/>
  <c r="F60" i="14" a="1"/>
  <c r="F59" i="14" a="1"/>
  <c r="F58" i="14" a="1"/>
  <c r="F57" i="14" a="1"/>
  <c r="F56" i="14" a="1"/>
  <c r="F55" i="14" a="1"/>
  <c r="F54" i="14" a="1"/>
  <c r="F53" i="14" a="1"/>
  <c r="F52" i="14" a="1"/>
  <c r="F51" i="14" a="1"/>
  <c r="F50" i="14" a="1"/>
  <c r="F49" i="14" a="1"/>
  <c r="F48" i="14" a="1"/>
  <c r="F47" i="14" a="1"/>
  <c r="F46" i="14" a="1"/>
  <c r="F45" i="14" a="1"/>
  <c r="F44" i="14" a="1"/>
  <c r="F43" i="14" a="1"/>
  <c r="F42" i="14" a="1"/>
  <c r="F41" i="14" a="1"/>
  <c r="F40" i="14" a="1"/>
  <c r="F39" i="14" a="1"/>
  <c r="F38" i="14" a="1"/>
  <c r="F37" i="14" a="1"/>
  <c r="F36" i="14" a="1"/>
  <c r="F35" i="14" a="1"/>
  <c r="F34" i="14" a="1"/>
  <c r="F33" i="14" a="1"/>
  <c r="F32" i="14" a="1"/>
  <c r="F31" i="14" a="1"/>
  <c r="F30" i="14" a="1"/>
  <c r="F29" i="14" a="1"/>
  <c r="F28" i="14" a="1"/>
  <c r="F27" i="14" a="1"/>
  <c r="F26" i="14" a="1"/>
  <c r="F25" i="14" a="1"/>
  <c r="F24" i="14" a="1"/>
  <c r="F23" i="14" a="1"/>
  <c r="F22" i="14" a="1"/>
  <c r="F21" i="14" a="1"/>
  <c r="F20" i="14" a="1"/>
  <c r="F19" i="14" a="1"/>
  <c r="F18" i="14" a="1"/>
  <c r="F17" i="14" a="1"/>
  <c r="F16" i="14" a="1"/>
  <c r="F15" i="14" a="1"/>
  <c r="F14" i="14" a="1"/>
  <c r="F13" i="14" a="1"/>
  <c r="F12" i="14" a="1"/>
  <c r="F11" i="14" a="1"/>
  <c r="F10" i="14" a="1"/>
  <c r="F9" i="14" a="1"/>
  <c r="F8" i="14" a="1"/>
  <c r="F7" i="14" a="1"/>
  <c r="F6" i="14" a="1"/>
  <c r="F5" i="14" a="1"/>
  <c r="F4" i="14" a="1"/>
  <c r="F3" i="14" a="1"/>
  <c r="F2" i="14" a="1"/>
  <c r="J2" i="14" s="1"/>
  <c r="H76" i="14"/>
  <c r="H77" i="14"/>
  <c r="H76" i="13"/>
  <c r="H76" i="12"/>
  <c r="H77" i="12"/>
  <c r="H76" i="11"/>
  <c r="H77" i="11"/>
  <c r="H78" i="11"/>
  <c r="H79" i="11"/>
  <c r="H80" i="11"/>
  <c r="H76" i="10"/>
  <c r="H77" i="10"/>
  <c r="H78" i="10"/>
  <c r="H79" i="10"/>
  <c r="H80" i="10"/>
  <c r="H81" i="10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2" i="9"/>
  <c r="H4" i="8"/>
  <c r="H5" i="8"/>
  <c r="H3" i="8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F3" i="9" a="1"/>
  <c r="F4" i="9" a="1"/>
  <c r="F5" i="9" a="1"/>
  <c r="F6" i="9" a="1"/>
  <c r="F7" i="9" a="1"/>
  <c r="F8" i="9" a="1"/>
  <c r="F9" i="9" a="1"/>
  <c r="F10" i="9" a="1"/>
  <c r="F11" i="9" a="1"/>
  <c r="F12" i="9" a="1"/>
  <c r="F13" i="9" a="1"/>
  <c r="F14" i="9" a="1"/>
  <c r="F15" i="9" a="1"/>
  <c r="F16" i="9" a="1"/>
  <c r="F17" i="9" a="1"/>
  <c r="F18" i="9" a="1"/>
  <c r="F19" i="9" a="1"/>
  <c r="F20" i="9" a="1"/>
  <c r="F21" i="9" a="1"/>
  <c r="F22" i="9" a="1"/>
  <c r="F23" i="9" a="1"/>
  <c r="F24" i="9" a="1"/>
  <c r="F25" i="9" a="1"/>
  <c r="F26" i="9" a="1"/>
  <c r="F27" i="9" a="1"/>
  <c r="F28" i="9" a="1"/>
  <c r="F29" i="9" a="1"/>
  <c r="F30" i="9" a="1"/>
  <c r="F31" i="9" a="1"/>
  <c r="F32" i="9" a="1"/>
  <c r="F33" i="9" a="1"/>
  <c r="F34" i="9" a="1"/>
  <c r="F35" i="9" a="1"/>
  <c r="F36" i="9" a="1"/>
  <c r="F37" i="9" a="1"/>
  <c r="F38" i="9" a="1"/>
  <c r="F39" i="9" a="1"/>
  <c r="F40" i="9" a="1"/>
  <c r="F41" i="9" a="1"/>
  <c r="F42" i="9" a="1"/>
  <c r="F43" i="9" a="1"/>
  <c r="F44" i="9" a="1"/>
  <c r="F45" i="9" a="1"/>
  <c r="F46" i="9" a="1"/>
  <c r="F47" i="9" a="1"/>
  <c r="F48" i="9" a="1"/>
  <c r="F49" i="9" a="1"/>
  <c r="F50" i="9" a="1"/>
  <c r="F51" i="9" a="1"/>
  <c r="F52" i="9" a="1"/>
  <c r="F53" i="9" a="1"/>
  <c r="F54" i="9" a="1"/>
  <c r="F55" i="9" a="1"/>
  <c r="F56" i="9" a="1"/>
  <c r="F57" i="9" a="1"/>
  <c r="F58" i="9" a="1"/>
  <c r="F59" i="9" a="1"/>
  <c r="F60" i="9" a="1"/>
  <c r="F61" i="9" a="1"/>
  <c r="F62" i="9" a="1"/>
  <c r="F63" i="9" a="1"/>
  <c r="F64" i="9" a="1"/>
  <c r="F65" i="9" a="1"/>
  <c r="F66" i="9" a="1"/>
  <c r="F67" i="9" a="1"/>
  <c r="F68" i="9" a="1"/>
  <c r="F69" i="9" a="1"/>
  <c r="F70" i="9" a="1"/>
  <c r="F71" i="9" a="1"/>
  <c r="F72" i="9" a="1"/>
  <c r="F73" i="9" a="1"/>
  <c r="F74" i="9" a="1"/>
  <c r="F75" i="9" a="1"/>
  <c r="F2" i="9" a="1"/>
  <c r="E6" i="16" l="1" a="1"/>
  <c r="E7" i="16" a="1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214" i="9"/>
  <c r="H215" i="9"/>
  <c r="H216" i="9"/>
  <c r="H217" i="9"/>
  <c r="H218" i="9"/>
  <c r="H219" i="9"/>
  <c r="H220" i="9"/>
  <c r="H221" i="9"/>
  <c r="H222" i="9"/>
  <c r="H76" i="9"/>
  <c r="H77" i="9"/>
  <c r="J77" i="9"/>
  <c r="G76" i="9"/>
  <c r="F20" i="15" a="1"/>
  <c r="F21" i="15" a="1"/>
  <c r="F22" i="15" a="1"/>
  <c r="F23" i="15" a="1"/>
  <c r="F24" i="15" a="1"/>
  <c r="F25" i="15" a="1"/>
  <c r="F26" i="15" a="1"/>
  <c r="F27" i="15" a="1"/>
  <c r="F28" i="15" a="1"/>
  <c r="F29" i="15" a="1"/>
  <c r="F2" i="15" a="1"/>
  <c r="J2" i="15" s="1"/>
  <c r="J3" i="14"/>
  <c r="G2" i="14"/>
  <c r="J3" i="13"/>
  <c r="G2" i="13"/>
  <c r="J3" i="12"/>
  <c r="G2" i="12"/>
  <c r="J3" i="11"/>
  <c r="G2" i="11"/>
  <c r="J3" i="10"/>
  <c r="G2" i="10"/>
  <c r="I4" i="8"/>
  <c r="J4" i="8"/>
  <c r="I5" i="8"/>
  <c r="J5" i="8"/>
  <c r="I3" i="8"/>
  <c r="J3" i="8"/>
  <c r="J2" i="9"/>
  <c r="G2" i="9" s="1"/>
  <c r="M2" i="9" s="1"/>
  <c r="H78" i="9" l="1"/>
  <c r="G77" i="9"/>
  <c r="J78" i="9"/>
  <c r="I76" i="9"/>
  <c r="K76" i="9" s="1"/>
  <c r="L76" i="9" s="1"/>
  <c r="M76" i="9"/>
  <c r="G2" i="15"/>
  <c r="J3" i="15"/>
  <c r="J4" i="14"/>
  <c r="G3" i="14"/>
  <c r="I2" i="14"/>
  <c r="K2" i="14" s="1"/>
  <c r="L2" i="14" s="1"/>
  <c r="M2" i="14"/>
  <c r="J4" i="13"/>
  <c r="G3" i="13"/>
  <c r="I2" i="13"/>
  <c r="K2" i="13" s="1"/>
  <c r="L2" i="13" s="1"/>
  <c r="M2" i="13"/>
  <c r="J4" i="12"/>
  <c r="G3" i="12"/>
  <c r="I2" i="12"/>
  <c r="K2" i="12" s="1"/>
  <c r="L2" i="12" s="1"/>
  <c r="M2" i="12"/>
  <c r="J4" i="11"/>
  <c r="G3" i="11"/>
  <c r="I2" i="11"/>
  <c r="K2" i="11" s="1"/>
  <c r="L2" i="11" s="1"/>
  <c r="M2" i="11"/>
  <c r="J4" i="10"/>
  <c r="G3" i="10"/>
  <c r="M2" i="10"/>
  <c r="I2" i="10"/>
  <c r="K2" i="10" s="1"/>
  <c r="L2" i="10" s="1"/>
  <c r="J3" i="9"/>
  <c r="G3" i="9" s="1"/>
  <c r="H79" i="9" l="1"/>
  <c r="I77" i="9"/>
  <c r="K77" i="9" s="1"/>
  <c r="L77" i="9" s="1"/>
  <c r="M77" i="9"/>
  <c r="J79" i="9"/>
  <c r="G78" i="9"/>
  <c r="N76" i="9"/>
  <c r="P76" i="9"/>
  <c r="O76" i="9"/>
  <c r="R76" i="9"/>
  <c r="U76" i="9" s="1"/>
  <c r="S76" i="9"/>
  <c r="V76" i="9" s="1"/>
  <c r="Q76" i="9"/>
  <c r="T76" i="9" s="1"/>
  <c r="I2" i="15"/>
  <c r="K2" i="15" s="1"/>
  <c r="L2" i="15" s="1"/>
  <c r="M2" i="15"/>
  <c r="J4" i="15"/>
  <c r="G3" i="15"/>
  <c r="J5" i="14"/>
  <c r="G4" i="14"/>
  <c r="I3" i="14"/>
  <c r="K3" i="14" s="1"/>
  <c r="L3" i="14" s="1"/>
  <c r="M3" i="14"/>
  <c r="P2" i="14"/>
  <c r="O2" i="14"/>
  <c r="N2" i="14"/>
  <c r="Q2" i="14"/>
  <c r="T2" i="14" s="1"/>
  <c r="R2" i="14"/>
  <c r="U2" i="14" s="1"/>
  <c r="S2" i="14"/>
  <c r="V2" i="14" s="1"/>
  <c r="J5" i="13"/>
  <c r="G4" i="13"/>
  <c r="I3" i="13"/>
  <c r="K3" i="13" s="1"/>
  <c r="L3" i="13" s="1"/>
  <c r="M3" i="13"/>
  <c r="P2" i="13"/>
  <c r="O2" i="13"/>
  <c r="N2" i="13"/>
  <c r="Q2" i="13"/>
  <c r="T2" i="13" s="1"/>
  <c r="R2" i="13"/>
  <c r="U2" i="13" s="1"/>
  <c r="S2" i="13"/>
  <c r="V2" i="13" s="1"/>
  <c r="J5" i="12"/>
  <c r="G4" i="12"/>
  <c r="I3" i="12"/>
  <c r="K3" i="12" s="1"/>
  <c r="L3" i="12" s="1"/>
  <c r="M3" i="12"/>
  <c r="P2" i="12"/>
  <c r="O2" i="12"/>
  <c r="N2" i="12"/>
  <c r="Q2" i="12"/>
  <c r="T2" i="12" s="1"/>
  <c r="R2" i="12"/>
  <c r="U2" i="12" s="1"/>
  <c r="S2" i="12"/>
  <c r="V2" i="12" s="1"/>
  <c r="J5" i="11"/>
  <c r="G4" i="11"/>
  <c r="I3" i="11"/>
  <c r="K3" i="11" s="1"/>
  <c r="L3" i="11" s="1"/>
  <c r="M3" i="11"/>
  <c r="P2" i="11"/>
  <c r="O2" i="11"/>
  <c r="N2" i="11"/>
  <c r="Q2" i="11"/>
  <c r="T2" i="11" s="1"/>
  <c r="R2" i="11"/>
  <c r="U2" i="11" s="1"/>
  <c r="S2" i="11"/>
  <c r="V2" i="11" s="1"/>
  <c r="G4" i="10"/>
  <c r="J5" i="10"/>
  <c r="I3" i="10"/>
  <c r="K3" i="10" s="1"/>
  <c r="L3" i="10" s="1"/>
  <c r="M3" i="10"/>
  <c r="N2" i="10"/>
  <c r="Q2" i="10" s="1"/>
  <c r="T2" i="10" s="1"/>
  <c r="P2" i="10"/>
  <c r="S2" i="10" s="1"/>
  <c r="V2" i="10" s="1"/>
  <c r="O2" i="10"/>
  <c r="R2" i="10" s="1"/>
  <c r="U2" i="10" s="1"/>
  <c r="I3" i="9"/>
  <c r="M3" i="9"/>
  <c r="J4" i="9"/>
  <c r="G4" i="9" s="1"/>
  <c r="K3" i="9"/>
  <c r="L3" i="9" s="1"/>
  <c r="H80" i="9" l="1"/>
  <c r="N77" i="9"/>
  <c r="O77" i="9"/>
  <c r="P77" i="9"/>
  <c r="S77" i="9"/>
  <c r="V77" i="9" s="1"/>
  <c r="R77" i="9"/>
  <c r="U77" i="9" s="1"/>
  <c r="Q77" i="9"/>
  <c r="T77" i="9" s="1"/>
  <c r="G79" i="9"/>
  <c r="J80" i="9"/>
  <c r="M78" i="9"/>
  <c r="I78" i="9"/>
  <c r="K78" i="9" s="1"/>
  <c r="L78" i="9" s="1"/>
  <c r="P2" i="15"/>
  <c r="S2" i="15" s="1"/>
  <c r="O2" i="15"/>
  <c r="R2" i="15" s="1"/>
  <c r="N2" i="15"/>
  <c r="Q2" i="15" s="1"/>
  <c r="J5" i="15"/>
  <c r="G4" i="15"/>
  <c r="M3" i="15"/>
  <c r="I3" i="15"/>
  <c r="K3" i="15" s="1"/>
  <c r="L3" i="15" s="1"/>
  <c r="J6" i="14"/>
  <c r="G5" i="14"/>
  <c r="I4" i="14"/>
  <c r="K4" i="14" s="1"/>
  <c r="L4" i="14" s="1"/>
  <c r="M4" i="14"/>
  <c r="P3" i="14"/>
  <c r="O3" i="14"/>
  <c r="R3" i="14" s="1"/>
  <c r="U3" i="14" s="1"/>
  <c r="N3" i="14"/>
  <c r="Q3" i="14"/>
  <c r="T3" i="14" s="1"/>
  <c r="S3" i="14"/>
  <c r="V3" i="14" s="1"/>
  <c r="J6" i="13"/>
  <c r="G5" i="13"/>
  <c r="I4" i="13"/>
  <c r="K4" i="13" s="1"/>
  <c r="L4" i="13" s="1"/>
  <c r="M4" i="13"/>
  <c r="P3" i="13"/>
  <c r="O3" i="13"/>
  <c r="R3" i="13" s="1"/>
  <c r="U3" i="13" s="1"/>
  <c r="N3" i="13"/>
  <c r="Q3" i="13"/>
  <c r="T3" i="13" s="1"/>
  <c r="S3" i="13"/>
  <c r="V3" i="13" s="1"/>
  <c r="J6" i="12"/>
  <c r="G5" i="12"/>
  <c r="I4" i="12"/>
  <c r="K4" i="12" s="1"/>
  <c r="L4" i="12" s="1"/>
  <c r="M4" i="12"/>
  <c r="P3" i="12"/>
  <c r="O3" i="12"/>
  <c r="N3" i="12"/>
  <c r="Q3" i="12"/>
  <c r="T3" i="12" s="1"/>
  <c r="R3" i="12"/>
  <c r="U3" i="12" s="1"/>
  <c r="S3" i="12"/>
  <c r="V3" i="12" s="1"/>
  <c r="J6" i="11"/>
  <c r="G5" i="11"/>
  <c r="I4" i="11"/>
  <c r="K4" i="11" s="1"/>
  <c r="L4" i="11" s="1"/>
  <c r="M4" i="11"/>
  <c r="P3" i="11"/>
  <c r="O3" i="11"/>
  <c r="N3" i="11"/>
  <c r="Q3" i="11"/>
  <c r="T3" i="11" s="1"/>
  <c r="S3" i="11"/>
  <c r="V3" i="11" s="1"/>
  <c r="R3" i="11"/>
  <c r="U3" i="11" s="1"/>
  <c r="I4" i="10"/>
  <c r="K4" i="10" s="1"/>
  <c r="L4" i="10" s="1"/>
  <c r="M4" i="10"/>
  <c r="G5" i="10"/>
  <c r="J6" i="10"/>
  <c r="O3" i="10"/>
  <c r="N3" i="10"/>
  <c r="P3" i="10"/>
  <c r="S3" i="10" s="1"/>
  <c r="V3" i="10" s="1"/>
  <c r="R3" i="10"/>
  <c r="U3" i="10" s="1"/>
  <c r="Q3" i="10"/>
  <c r="T3" i="10" s="1"/>
  <c r="I4" i="9"/>
  <c r="M4" i="9"/>
  <c r="N3" i="9"/>
  <c r="O3" i="9"/>
  <c r="P3" i="9"/>
  <c r="K4" i="9"/>
  <c r="L4" i="9" s="1"/>
  <c r="J5" i="9"/>
  <c r="G5" i="9" s="1"/>
  <c r="H81" i="9" l="1"/>
  <c r="M79" i="9"/>
  <c r="I79" i="9"/>
  <c r="K79" i="9" s="1"/>
  <c r="L79" i="9" s="1"/>
  <c r="G80" i="9"/>
  <c r="J81" i="9"/>
  <c r="N78" i="9"/>
  <c r="O78" i="9"/>
  <c r="P78" i="9"/>
  <c r="V2" i="15"/>
  <c r="U2" i="15"/>
  <c r="T2" i="15"/>
  <c r="G5" i="15"/>
  <c r="J6" i="15"/>
  <c r="M4" i="15"/>
  <c r="I4" i="15"/>
  <c r="K4" i="15" s="1"/>
  <c r="L4" i="15" s="1"/>
  <c r="P3" i="15"/>
  <c r="S3" i="15" s="1"/>
  <c r="O3" i="15"/>
  <c r="R3" i="15" s="1"/>
  <c r="N3" i="15"/>
  <c r="Q3" i="15" s="1"/>
  <c r="J7" i="14"/>
  <c r="G6" i="14"/>
  <c r="I5" i="14"/>
  <c r="K5" i="14" s="1"/>
  <c r="L5" i="14" s="1"/>
  <c r="M5" i="14"/>
  <c r="P4" i="14"/>
  <c r="O4" i="14"/>
  <c r="N4" i="14"/>
  <c r="Q4" i="14"/>
  <c r="T4" i="14" s="1"/>
  <c r="R4" i="14"/>
  <c r="U4" i="14" s="1"/>
  <c r="S4" i="14"/>
  <c r="V4" i="14" s="1"/>
  <c r="J7" i="13"/>
  <c r="G6" i="13"/>
  <c r="I5" i="13"/>
  <c r="K5" i="13" s="1"/>
  <c r="L5" i="13" s="1"/>
  <c r="M5" i="13"/>
  <c r="P4" i="13"/>
  <c r="S4" i="13" s="1"/>
  <c r="V4" i="13" s="1"/>
  <c r="O4" i="13"/>
  <c r="R4" i="13" s="1"/>
  <c r="U4" i="13" s="1"/>
  <c r="N4" i="13"/>
  <c r="Q4" i="13"/>
  <c r="T4" i="13" s="1"/>
  <c r="J7" i="12"/>
  <c r="G6" i="12"/>
  <c r="I5" i="12"/>
  <c r="K5" i="12" s="1"/>
  <c r="L5" i="12" s="1"/>
  <c r="M5" i="12"/>
  <c r="P4" i="12"/>
  <c r="O4" i="12"/>
  <c r="N4" i="12"/>
  <c r="Q4" i="12"/>
  <c r="T4" i="12" s="1"/>
  <c r="R4" i="12"/>
  <c r="U4" i="12" s="1"/>
  <c r="S4" i="12"/>
  <c r="V4" i="12" s="1"/>
  <c r="J7" i="11"/>
  <c r="G6" i="11"/>
  <c r="I5" i="11"/>
  <c r="K5" i="11" s="1"/>
  <c r="L5" i="11" s="1"/>
  <c r="M5" i="11"/>
  <c r="P4" i="11"/>
  <c r="S4" i="11" s="1"/>
  <c r="V4" i="11" s="1"/>
  <c r="O4" i="11"/>
  <c r="N4" i="11"/>
  <c r="Q4" i="11"/>
  <c r="T4" i="11" s="1"/>
  <c r="R4" i="11"/>
  <c r="U4" i="11" s="1"/>
  <c r="P4" i="10"/>
  <c r="N4" i="10"/>
  <c r="O4" i="10"/>
  <c r="Q4" i="10"/>
  <c r="T4" i="10" s="1"/>
  <c r="S4" i="10"/>
  <c r="V4" i="10" s="1"/>
  <c r="R4" i="10"/>
  <c r="U4" i="10" s="1"/>
  <c r="I5" i="10"/>
  <c r="K5" i="10" s="1"/>
  <c r="L5" i="10" s="1"/>
  <c r="M5" i="10"/>
  <c r="G6" i="10"/>
  <c r="J7" i="10"/>
  <c r="N4" i="9"/>
  <c r="O4" i="9"/>
  <c r="P4" i="9"/>
  <c r="I5" i="9"/>
  <c r="M5" i="9"/>
  <c r="K5" i="9"/>
  <c r="L5" i="9" s="1"/>
  <c r="J6" i="9"/>
  <c r="G6" i="9" s="1"/>
  <c r="Q78" i="9" l="1"/>
  <c r="T78" i="9" s="1"/>
  <c r="R78" i="9"/>
  <c r="U78" i="9" s="1"/>
  <c r="S78" i="9"/>
  <c r="V78" i="9" s="1"/>
  <c r="H82" i="9"/>
  <c r="P79" i="9"/>
  <c r="O79" i="9"/>
  <c r="N79" i="9"/>
  <c r="M80" i="9"/>
  <c r="I80" i="9"/>
  <c r="K80" i="9" s="1"/>
  <c r="L80" i="9" s="1"/>
  <c r="G81" i="9"/>
  <c r="J82" i="9"/>
  <c r="G6" i="15"/>
  <c r="J7" i="15"/>
  <c r="G7" i="15" s="1"/>
  <c r="M5" i="15"/>
  <c r="I5" i="15"/>
  <c r="K5" i="15" s="1"/>
  <c r="L5" i="15" s="1"/>
  <c r="N5" i="15" s="1"/>
  <c r="V3" i="15"/>
  <c r="U3" i="15"/>
  <c r="T3" i="15"/>
  <c r="P4" i="15"/>
  <c r="S4" i="15" s="1"/>
  <c r="O4" i="15"/>
  <c r="R4" i="15" s="1"/>
  <c r="N4" i="15"/>
  <c r="Q4" i="15" s="1"/>
  <c r="M6" i="15"/>
  <c r="I6" i="15"/>
  <c r="K6" i="15" s="1"/>
  <c r="L6" i="15" s="1"/>
  <c r="J8" i="15"/>
  <c r="J8" i="14"/>
  <c r="G7" i="14"/>
  <c r="I6" i="14"/>
  <c r="K6" i="14" s="1"/>
  <c r="L6" i="14" s="1"/>
  <c r="M6" i="14"/>
  <c r="P5" i="14"/>
  <c r="S5" i="14" s="1"/>
  <c r="V5" i="14" s="1"/>
  <c r="O5" i="14"/>
  <c r="R5" i="14" s="1"/>
  <c r="U5" i="14" s="1"/>
  <c r="N5" i="14"/>
  <c r="Q5" i="14" s="1"/>
  <c r="T5" i="14" s="1"/>
  <c r="J8" i="13"/>
  <c r="G7" i="13"/>
  <c r="I6" i="13"/>
  <c r="K6" i="13" s="1"/>
  <c r="L6" i="13" s="1"/>
  <c r="M6" i="13"/>
  <c r="P5" i="13"/>
  <c r="O5" i="13"/>
  <c r="R5" i="13" s="1"/>
  <c r="U5" i="13" s="1"/>
  <c r="N5" i="13"/>
  <c r="Q5" i="13"/>
  <c r="T5" i="13" s="1"/>
  <c r="S5" i="13"/>
  <c r="V5" i="13" s="1"/>
  <c r="G7" i="12"/>
  <c r="J8" i="12"/>
  <c r="I6" i="12"/>
  <c r="K6" i="12" s="1"/>
  <c r="L6" i="12" s="1"/>
  <c r="M6" i="12"/>
  <c r="P5" i="12"/>
  <c r="O5" i="12"/>
  <c r="N5" i="12"/>
  <c r="Q5" i="12" s="1"/>
  <c r="T5" i="12" s="1"/>
  <c r="R5" i="12"/>
  <c r="U5" i="12" s="1"/>
  <c r="S5" i="12"/>
  <c r="V5" i="12" s="1"/>
  <c r="G7" i="11"/>
  <c r="J8" i="11"/>
  <c r="M6" i="11"/>
  <c r="I6" i="11"/>
  <c r="K6" i="11" s="1"/>
  <c r="L6" i="11" s="1"/>
  <c r="P5" i="11"/>
  <c r="N5" i="11"/>
  <c r="O5" i="11"/>
  <c r="R5" i="11"/>
  <c r="U5" i="11" s="1"/>
  <c r="Q5" i="11"/>
  <c r="T5" i="11" s="1"/>
  <c r="S5" i="11"/>
  <c r="V5" i="11" s="1"/>
  <c r="P5" i="10"/>
  <c r="O5" i="10"/>
  <c r="N5" i="10"/>
  <c r="S5" i="10"/>
  <c r="V5" i="10" s="1"/>
  <c r="R5" i="10"/>
  <c r="U5" i="10" s="1"/>
  <c r="Q5" i="10"/>
  <c r="T5" i="10" s="1"/>
  <c r="I6" i="10"/>
  <c r="K6" i="10" s="1"/>
  <c r="L6" i="10" s="1"/>
  <c r="M6" i="10"/>
  <c r="J8" i="10"/>
  <c r="G7" i="10"/>
  <c r="N5" i="9"/>
  <c r="O5" i="9"/>
  <c r="P5" i="9"/>
  <c r="I6" i="9"/>
  <c r="M6" i="9"/>
  <c r="K6" i="9"/>
  <c r="L6" i="9" s="1"/>
  <c r="J7" i="9"/>
  <c r="G7" i="9" s="1"/>
  <c r="S79" i="9" l="1"/>
  <c r="V79" i="9" s="1"/>
  <c r="R79" i="9"/>
  <c r="U79" i="9" s="1"/>
  <c r="Q79" i="9"/>
  <c r="T79" i="9" s="1"/>
  <c r="Q5" i="15"/>
  <c r="T5" i="15" s="1"/>
  <c r="H83" i="9"/>
  <c r="P80" i="9"/>
  <c r="N80" i="9"/>
  <c r="O80" i="9"/>
  <c r="M81" i="9"/>
  <c r="I81" i="9"/>
  <c r="K81" i="9" s="1"/>
  <c r="L81" i="9" s="1"/>
  <c r="G82" i="9"/>
  <c r="J83" i="9"/>
  <c r="P5" i="15"/>
  <c r="S5" i="15" s="1"/>
  <c r="V5" i="15" s="1"/>
  <c r="O5" i="15"/>
  <c r="R5" i="15" s="1"/>
  <c r="U5" i="15" s="1"/>
  <c r="V4" i="15"/>
  <c r="U4" i="15"/>
  <c r="T4" i="15"/>
  <c r="P6" i="15"/>
  <c r="S6" i="15" s="1"/>
  <c r="O6" i="15"/>
  <c r="N6" i="15"/>
  <c r="Q6" i="15" s="1"/>
  <c r="J9" i="15"/>
  <c r="G8" i="15"/>
  <c r="M7" i="15"/>
  <c r="I7" i="15"/>
  <c r="K7" i="15" s="1"/>
  <c r="L7" i="15" s="1"/>
  <c r="J9" i="14"/>
  <c r="G8" i="14"/>
  <c r="I7" i="14"/>
  <c r="K7" i="14" s="1"/>
  <c r="L7" i="14" s="1"/>
  <c r="M7" i="14"/>
  <c r="P6" i="14"/>
  <c r="O6" i="14"/>
  <c r="N6" i="14"/>
  <c r="Q6" i="14" s="1"/>
  <c r="T6" i="14" s="1"/>
  <c r="R6" i="14"/>
  <c r="U6" i="14" s="1"/>
  <c r="S6" i="14"/>
  <c r="V6" i="14" s="1"/>
  <c r="J9" i="13"/>
  <c r="G8" i="13"/>
  <c r="I7" i="13"/>
  <c r="K7" i="13" s="1"/>
  <c r="L7" i="13" s="1"/>
  <c r="M7" i="13"/>
  <c r="P6" i="13"/>
  <c r="O6" i="13"/>
  <c r="N6" i="13"/>
  <c r="Q6" i="13"/>
  <c r="T6" i="13" s="1"/>
  <c r="R6" i="13"/>
  <c r="U6" i="13" s="1"/>
  <c r="S6" i="13"/>
  <c r="V6" i="13" s="1"/>
  <c r="I7" i="12"/>
  <c r="K7" i="12" s="1"/>
  <c r="L7" i="12" s="1"/>
  <c r="M7" i="12"/>
  <c r="J9" i="12"/>
  <c r="G8" i="12"/>
  <c r="N6" i="12"/>
  <c r="P6" i="12"/>
  <c r="S6" i="12" s="1"/>
  <c r="V6" i="12" s="1"/>
  <c r="O6" i="12"/>
  <c r="Q6" i="12"/>
  <c r="T6" i="12" s="1"/>
  <c r="R6" i="12"/>
  <c r="U6" i="12" s="1"/>
  <c r="I7" i="11"/>
  <c r="K7" i="11" s="1"/>
  <c r="L7" i="11" s="1"/>
  <c r="M7" i="11"/>
  <c r="J9" i="11"/>
  <c r="G8" i="11"/>
  <c r="O6" i="11"/>
  <c r="R6" i="11" s="1"/>
  <c r="U6" i="11" s="1"/>
  <c r="P6" i="11"/>
  <c r="S6" i="11" s="1"/>
  <c r="V6" i="11" s="1"/>
  <c r="N6" i="11"/>
  <c r="Q6" i="11" s="1"/>
  <c r="T6" i="11" s="1"/>
  <c r="P6" i="10"/>
  <c r="O6" i="10"/>
  <c r="N6" i="10"/>
  <c r="Q6" i="10"/>
  <c r="T6" i="10" s="1"/>
  <c r="R6" i="10"/>
  <c r="U6" i="10" s="1"/>
  <c r="S6" i="10"/>
  <c r="V6" i="10" s="1"/>
  <c r="J9" i="10"/>
  <c r="G8" i="10"/>
  <c r="I7" i="10"/>
  <c r="K7" i="10" s="1"/>
  <c r="L7" i="10" s="1"/>
  <c r="M7" i="10"/>
  <c r="N6" i="9"/>
  <c r="O6" i="9"/>
  <c r="P6" i="9"/>
  <c r="I7" i="9"/>
  <c r="M7" i="9"/>
  <c r="K7" i="9"/>
  <c r="L7" i="9" s="1"/>
  <c r="J8" i="9"/>
  <c r="G8" i="9" s="1"/>
  <c r="E5" i="16" l="1" a="1"/>
  <c r="Q80" i="9"/>
  <c r="T80" i="9" s="1"/>
  <c r="S80" i="9"/>
  <c r="V80" i="9" s="1"/>
  <c r="R80" i="9"/>
  <c r="U80" i="9" s="1"/>
  <c r="H84" i="9"/>
  <c r="P81" i="9"/>
  <c r="O81" i="9"/>
  <c r="N81" i="9"/>
  <c r="M82" i="9"/>
  <c r="I82" i="9"/>
  <c r="K82" i="9" s="1"/>
  <c r="L82" i="9" s="1"/>
  <c r="J84" i="9"/>
  <c r="G83" i="9"/>
  <c r="R6" i="15"/>
  <c r="U6" i="15" s="1"/>
  <c r="V6" i="15"/>
  <c r="T6" i="15"/>
  <c r="J10" i="15"/>
  <c r="G9" i="15"/>
  <c r="I8" i="15"/>
  <c r="K8" i="15" s="1"/>
  <c r="L8" i="15" s="1"/>
  <c r="M8" i="15"/>
  <c r="N7" i="15"/>
  <c r="Q7" i="15" s="1"/>
  <c r="T7" i="15" s="1"/>
  <c r="O7" i="15"/>
  <c r="R7" i="15" s="1"/>
  <c r="U7" i="15" s="1"/>
  <c r="P7" i="15"/>
  <c r="S7" i="15" s="1"/>
  <c r="V7" i="15" s="1"/>
  <c r="J10" i="14"/>
  <c r="G9" i="14"/>
  <c r="I8" i="14"/>
  <c r="K8" i="14" s="1"/>
  <c r="L8" i="14" s="1"/>
  <c r="M8" i="14"/>
  <c r="P7" i="14"/>
  <c r="S7" i="14" s="1"/>
  <c r="V7" i="14" s="1"/>
  <c r="O7" i="14"/>
  <c r="R7" i="14" s="1"/>
  <c r="U7" i="14" s="1"/>
  <c r="N7" i="14"/>
  <c r="Q7" i="14"/>
  <c r="T7" i="14" s="1"/>
  <c r="J10" i="13"/>
  <c r="G9" i="13"/>
  <c r="M8" i="13"/>
  <c r="I8" i="13"/>
  <c r="K8" i="13" s="1"/>
  <c r="L8" i="13" s="1"/>
  <c r="P7" i="13"/>
  <c r="O7" i="13"/>
  <c r="N7" i="13"/>
  <c r="Q7" i="13"/>
  <c r="T7" i="13" s="1"/>
  <c r="R7" i="13"/>
  <c r="U7" i="13" s="1"/>
  <c r="S7" i="13"/>
  <c r="V7" i="13" s="1"/>
  <c r="P7" i="12"/>
  <c r="O7" i="12"/>
  <c r="N7" i="12"/>
  <c r="Q7" i="12" s="1"/>
  <c r="T7" i="12" s="1"/>
  <c r="S7" i="12"/>
  <c r="V7" i="12" s="1"/>
  <c r="R7" i="12"/>
  <c r="U7" i="12" s="1"/>
  <c r="J10" i="12"/>
  <c r="G9" i="12"/>
  <c r="I8" i="12"/>
  <c r="K8" i="12" s="1"/>
  <c r="L8" i="12" s="1"/>
  <c r="M8" i="12"/>
  <c r="O7" i="11"/>
  <c r="P7" i="11"/>
  <c r="N7" i="11"/>
  <c r="R7" i="11"/>
  <c r="U7" i="11" s="1"/>
  <c r="Q7" i="11"/>
  <c r="T7" i="11" s="1"/>
  <c r="S7" i="11"/>
  <c r="V7" i="11" s="1"/>
  <c r="J10" i="11"/>
  <c r="G9" i="11"/>
  <c r="M8" i="11"/>
  <c r="I8" i="11"/>
  <c r="K8" i="11" s="1"/>
  <c r="L8" i="11" s="1"/>
  <c r="J10" i="10"/>
  <c r="G9" i="10"/>
  <c r="I8" i="10"/>
  <c r="K8" i="10" s="1"/>
  <c r="L8" i="10" s="1"/>
  <c r="M8" i="10"/>
  <c r="P7" i="10"/>
  <c r="S7" i="10" s="1"/>
  <c r="V7" i="10" s="1"/>
  <c r="O7" i="10"/>
  <c r="R7" i="10" s="1"/>
  <c r="U7" i="10" s="1"/>
  <c r="N7" i="10"/>
  <c r="Q7" i="10" s="1"/>
  <c r="T7" i="10" s="1"/>
  <c r="N7" i="9"/>
  <c r="O7" i="9"/>
  <c r="P7" i="9"/>
  <c r="I8" i="9"/>
  <c r="M8" i="9"/>
  <c r="K8" i="9"/>
  <c r="L8" i="9" s="1"/>
  <c r="J9" i="9"/>
  <c r="G9" i="9" s="1"/>
  <c r="S81" i="9" l="1"/>
  <c r="V81" i="9" s="1"/>
  <c r="R81" i="9"/>
  <c r="U81" i="9" s="1"/>
  <c r="Q81" i="9"/>
  <c r="T81" i="9" s="1"/>
  <c r="H85" i="9"/>
  <c r="P82" i="9"/>
  <c r="O82" i="9"/>
  <c r="N82" i="9"/>
  <c r="G84" i="9"/>
  <c r="J85" i="9"/>
  <c r="M83" i="9"/>
  <c r="I83" i="9"/>
  <c r="K83" i="9" s="1"/>
  <c r="L83" i="9" s="1"/>
  <c r="J11" i="15"/>
  <c r="G10" i="15"/>
  <c r="I9" i="15"/>
  <c r="K9" i="15" s="1"/>
  <c r="L9" i="15" s="1"/>
  <c r="M9" i="15"/>
  <c r="P8" i="15"/>
  <c r="S8" i="15" s="1"/>
  <c r="V8" i="15" s="1"/>
  <c r="N8" i="15"/>
  <c r="Q8" i="15" s="1"/>
  <c r="T8" i="15" s="1"/>
  <c r="O8" i="15"/>
  <c r="R8" i="15" s="1"/>
  <c r="U8" i="15" s="1"/>
  <c r="G10" i="14"/>
  <c r="J11" i="14"/>
  <c r="I9" i="14"/>
  <c r="K9" i="14" s="1"/>
  <c r="L9" i="14" s="1"/>
  <c r="M9" i="14"/>
  <c r="P8" i="14"/>
  <c r="S8" i="14" s="1"/>
  <c r="V8" i="14" s="1"/>
  <c r="O8" i="14"/>
  <c r="R8" i="14" s="1"/>
  <c r="U8" i="14" s="1"/>
  <c r="N8" i="14"/>
  <c r="Q8" i="14"/>
  <c r="T8" i="14" s="1"/>
  <c r="J11" i="13"/>
  <c r="G10" i="13"/>
  <c r="M9" i="13"/>
  <c r="I9" i="13"/>
  <c r="K9" i="13" s="1"/>
  <c r="L9" i="13" s="1"/>
  <c r="O8" i="13"/>
  <c r="R8" i="13" s="1"/>
  <c r="U8" i="13" s="1"/>
  <c r="N8" i="13"/>
  <c r="Q8" i="13" s="1"/>
  <c r="T8" i="13" s="1"/>
  <c r="P8" i="13"/>
  <c r="S8" i="13" s="1"/>
  <c r="V8" i="13" s="1"/>
  <c r="G10" i="12"/>
  <c r="J11" i="12"/>
  <c r="M9" i="12"/>
  <c r="I9" i="12"/>
  <c r="K9" i="12" s="1"/>
  <c r="L9" i="12" s="1"/>
  <c r="O8" i="12"/>
  <c r="R8" i="12" s="1"/>
  <c r="U8" i="12" s="1"/>
  <c r="P8" i="12"/>
  <c r="S8" i="12" s="1"/>
  <c r="V8" i="12" s="1"/>
  <c r="N8" i="12"/>
  <c r="Q8" i="12" s="1"/>
  <c r="T8" i="12" s="1"/>
  <c r="J11" i="11"/>
  <c r="G10" i="11"/>
  <c r="M9" i="11"/>
  <c r="I9" i="11"/>
  <c r="K9" i="11" s="1"/>
  <c r="L9" i="11" s="1"/>
  <c r="O8" i="11"/>
  <c r="R8" i="11" s="1"/>
  <c r="U8" i="11" s="1"/>
  <c r="P8" i="11"/>
  <c r="S8" i="11" s="1"/>
  <c r="V8" i="11" s="1"/>
  <c r="N8" i="11"/>
  <c r="Q8" i="11" s="1"/>
  <c r="T8" i="11" s="1"/>
  <c r="J11" i="10"/>
  <c r="G10" i="10"/>
  <c r="I9" i="10"/>
  <c r="K9" i="10" s="1"/>
  <c r="L9" i="10" s="1"/>
  <c r="M9" i="10"/>
  <c r="P8" i="10"/>
  <c r="S8" i="10" s="1"/>
  <c r="V8" i="10" s="1"/>
  <c r="O8" i="10"/>
  <c r="R8" i="10" s="1"/>
  <c r="U8" i="10" s="1"/>
  <c r="N8" i="10"/>
  <c r="Q8" i="10" s="1"/>
  <c r="T8" i="10" s="1"/>
  <c r="N8" i="9"/>
  <c r="O8" i="9"/>
  <c r="P8" i="9"/>
  <c r="I9" i="9"/>
  <c r="M9" i="9"/>
  <c r="K9" i="9"/>
  <c r="L9" i="9" s="1"/>
  <c r="J10" i="9"/>
  <c r="S82" i="9" l="1"/>
  <c r="V82" i="9" s="1"/>
  <c r="R82" i="9"/>
  <c r="U82" i="9" s="1"/>
  <c r="D7" i="16" a="1"/>
  <c r="Q82" i="9"/>
  <c r="T82" i="9" s="1"/>
  <c r="H86" i="9"/>
  <c r="I84" i="9"/>
  <c r="K84" i="9" s="1"/>
  <c r="L84" i="9" s="1"/>
  <c r="M84" i="9"/>
  <c r="J86" i="9"/>
  <c r="G85" i="9"/>
  <c r="O83" i="9"/>
  <c r="P83" i="9"/>
  <c r="N83" i="9"/>
  <c r="J12" i="15"/>
  <c r="G11" i="15"/>
  <c r="I10" i="15"/>
  <c r="K10" i="15" s="1"/>
  <c r="L10" i="15" s="1"/>
  <c r="M10" i="15"/>
  <c r="P9" i="15"/>
  <c r="S9" i="15" s="1"/>
  <c r="V9" i="15" s="1"/>
  <c r="O9" i="15"/>
  <c r="R9" i="15" s="1"/>
  <c r="U9" i="15" s="1"/>
  <c r="N9" i="15"/>
  <c r="Q9" i="15" s="1"/>
  <c r="T9" i="15" s="1"/>
  <c r="I10" i="14"/>
  <c r="K10" i="14" s="1"/>
  <c r="L10" i="14" s="1"/>
  <c r="M10" i="14"/>
  <c r="J12" i="14"/>
  <c r="G11" i="14"/>
  <c r="P9" i="14"/>
  <c r="O9" i="14"/>
  <c r="N9" i="14"/>
  <c r="Q9" i="14"/>
  <c r="T9" i="14" s="1"/>
  <c r="R9" i="14"/>
  <c r="U9" i="14" s="1"/>
  <c r="S9" i="14"/>
  <c r="V9" i="14" s="1"/>
  <c r="G11" i="13"/>
  <c r="J12" i="13"/>
  <c r="I10" i="13"/>
  <c r="K10" i="13" s="1"/>
  <c r="L10" i="13" s="1"/>
  <c r="M10" i="13"/>
  <c r="O9" i="13"/>
  <c r="R9" i="13" s="1"/>
  <c r="U9" i="13" s="1"/>
  <c r="N9" i="13"/>
  <c r="Q9" i="13" s="1"/>
  <c r="T9" i="13" s="1"/>
  <c r="P9" i="13"/>
  <c r="S9" i="13" s="1"/>
  <c r="V9" i="13" s="1"/>
  <c r="I10" i="12"/>
  <c r="K10" i="12" s="1"/>
  <c r="L10" i="12" s="1"/>
  <c r="M10" i="12"/>
  <c r="J12" i="12"/>
  <c r="G11" i="12"/>
  <c r="O9" i="12"/>
  <c r="R9" i="12" s="1"/>
  <c r="U9" i="12" s="1"/>
  <c r="N9" i="12"/>
  <c r="Q9" i="12" s="1"/>
  <c r="T9" i="12" s="1"/>
  <c r="P9" i="12"/>
  <c r="S9" i="12" s="1"/>
  <c r="V9" i="12" s="1"/>
  <c r="G11" i="11"/>
  <c r="J12" i="11"/>
  <c r="I10" i="11"/>
  <c r="K10" i="11" s="1"/>
  <c r="L10" i="11" s="1"/>
  <c r="M10" i="11"/>
  <c r="N9" i="11"/>
  <c r="Q9" i="11" s="1"/>
  <c r="T9" i="11" s="1"/>
  <c r="P9" i="11"/>
  <c r="S9" i="11" s="1"/>
  <c r="V9" i="11" s="1"/>
  <c r="O9" i="11"/>
  <c r="R9" i="11" s="1"/>
  <c r="U9" i="11" s="1"/>
  <c r="J12" i="10"/>
  <c r="G11" i="10"/>
  <c r="I10" i="10"/>
  <c r="K10" i="10" s="1"/>
  <c r="L10" i="10" s="1"/>
  <c r="M10" i="10"/>
  <c r="P9" i="10"/>
  <c r="O9" i="10"/>
  <c r="N9" i="10"/>
  <c r="Q9" i="10"/>
  <c r="T9" i="10" s="1"/>
  <c r="R9" i="10"/>
  <c r="U9" i="10" s="1"/>
  <c r="S9" i="10"/>
  <c r="V9" i="10" s="1"/>
  <c r="N9" i="9"/>
  <c r="O9" i="9"/>
  <c r="P9" i="9"/>
  <c r="G10" i="9"/>
  <c r="J11" i="9"/>
  <c r="R83" i="9" l="1"/>
  <c r="U83" i="9" s="1"/>
  <c r="S83" i="9"/>
  <c r="V83" i="9" s="1"/>
  <c r="Q83" i="9"/>
  <c r="T83" i="9" s="1"/>
  <c r="H87" i="9"/>
  <c r="N84" i="9"/>
  <c r="O84" i="9"/>
  <c r="P84" i="9"/>
  <c r="R84" i="9"/>
  <c r="U84" i="9" s="1"/>
  <c r="Q84" i="9"/>
  <c r="T84" i="9" s="1"/>
  <c r="S84" i="9"/>
  <c r="V84" i="9" s="1"/>
  <c r="J87" i="9"/>
  <c r="G86" i="9"/>
  <c r="I85" i="9"/>
  <c r="K85" i="9" s="1"/>
  <c r="L85" i="9" s="1"/>
  <c r="M85" i="9"/>
  <c r="J13" i="15"/>
  <c r="G12" i="15"/>
  <c r="I11" i="15"/>
  <c r="K11" i="15" s="1"/>
  <c r="L11" i="15" s="1"/>
  <c r="M11" i="15"/>
  <c r="P10" i="15"/>
  <c r="S10" i="15" s="1"/>
  <c r="V10" i="15" s="1"/>
  <c r="O10" i="15"/>
  <c r="R10" i="15" s="1"/>
  <c r="U10" i="15" s="1"/>
  <c r="N10" i="15"/>
  <c r="Q10" i="15" s="1"/>
  <c r="T10" i="15" s="1"/>
  <c r="P10" i="14"/>
  <c r="N10" i="14"/>
  <c r="O10" i="14"/>
  <c r="Q10" i="14"/>
  <c r="T10" i="14" s="1"/>
  <c r="S10" i="14"/>
  <c r="V10" i="14" s="1"/>
  <c r="R10" i="14"/>
  <c r="U10" i="14" s="1"/>
  <c r="G12" i="14"/>
  <c r="J13" i="14"/>
  <c r="M11" i="14"/>
  <c r="I11" i="14"/>
  <c r="K11" i="14" s="1"/>
  <c r="L11" i="14" s="1"/>
  <c r="M11" i="13"/>
  <c r="I11" i="13"/>
  <c r="K11" i="13" s="1"/>
  <c r="L11" i="13" s="1"/>
  <c r="J13" i="13"/>
  <c r="G12" i="13"/>
  <c r="O10" i="13"/>
  <c r="P10" i="13"/>
  <c r="N10" i="13"/>
  <c r="S10" i="13"/>
  <c r="V10" i="13" s="1"/>
  <c r="Q10" i="13"/>
  <c r="T10" i="13" s="1"/>
  <c r="R10" i="13"/>
  <c r="U10" i="13" s="1"/>
  <c r="O10" i="12"/>
  <c r="R10" i="12" s="1"/>
  <c r="U10" i="12" s="1"/>
  <c r="N10" i="12"/>
  <c r="P10" i="12"/>
  <c r="Q10" i="12"/>
  <c r="T10" i="12" s="1"/>
  <c r="S10" i="12"/>
  <c r="V10" i="12" s="1"/>
  <c r="J13" i="12"/>
  <c r="G12" i="12"/>
  <c r="I11" i="12"/>
  <c r="K11" i="12" s="1"/>
  <c r="L11" i="12" s="1"/>
  <c r="M11" i="12"/>
  <c r="M11" i="11"/>
  <c r="I11" i="11"/>
  <c r="K11" i="11" s="1"/>
  <c r="L11" i="11" s="1"/>
  <c r="J13" i="11"/>
  <c r="G12" i="11"/>
  <c r="O10" i="11"/>
  <c r="R10" i="11" s="1"/>
  <c r="U10" i="11" s="1"/>
  <c r="N10" i="11"/>
  <c r="Q10" i="11" s="1"/>
  <c r="T10" i="11" s="1"/>
  <c r="P10" i="11"/>
  <c r="S10" i="11" s="1"/>
  <c r="V10" i="11" s="1"/>
  <c r="J13" i="10"/>
  <c r="G12" i="10"/>
  <c r="I11" i="10"/>
  <c r="K11" i="10" s="1"/>
  <c r="L11" i="10" s="1"/>
  <c r="M11" i="10"/>
  <c r="P10" i="10"/>
  <c r="S10" i="10" s="1"/>
  <c r="V10" i="10" s="1"/>
  <c r="O10" i="10"/>
  <c r="R10" i="10" s="1"/>
  <c r="U10" i="10" s="1"/>
  <c r="N10" i="10"/>
  <c r="Q10" i="10"/>
  <c r="T10" i="10" s="1"/>
  <c r="I10" i="9"/>
  <c r="K10" i="9" s="1"/>
  <c r="L10" i="9" s="1"/>
  <c r="M10" i="9"/>
  <c r="J12" i="9"/>
  <c r="G11" i="9"/>
  <c r="H88" i="9" l="1"/>
  <c r="G87" i="9"/>
  <c r="J88" i="9"/>
  <c r="M86" i="9"/>
  <c r="I86" i="9"/>
  <c r="K86" i="9" s="1"/>
  <c r="L86" i="9" s="1"/>
  <c r="O85" i="9"/>
  <c r="N85" i="9"/>
  <c r="P85" i="9"/>
  <c r="Q85" i="9"/>
  <c r="T85" i="9" s="1"/>
  <c r="R85" i="9"/>
  <c r="U85" i="9" s="1"/>
  <c r="J14" i="15"/>
  <c r="G13" i="15"/>
  <c r="I12" i="15"/>
  <c r="K12" i="15" s="1"/>
  <c r="L12" i="15" s="1"/>
  <c r="M12" i="15"/>
  <c r="P11" i="15"/>
  <c r="S11" i="15" s="1"/>
  <c r="V11" i="15" s="1"/>
  <c r="O11" i="15"/>
  <c r="R11" i="15" s="1"/>
  <c r="U11" i="15" s="1"/>
  <c r="N11" i="15"/>
  <c r="Q11" i="15" s="1"/>
  <c r="T11" i="15" s="1"/>
  <c r="M12" i="14"/>
  <c r="I12" i="14"/>
  <c r="K12" i="14" s="1"/>
  <c r="L12" i="14" s="1"/>
  <c r="J14" i="14"/>
  <c r="G13" i="14"/>
  <c r="N11" i="14"/>
  <c r="Q11" i="14" s="1"/>
  <c r="T11" i="14" s="1"/>
  <c r="P11" i="14"/>
  <c r="S11" i="14" s="1"/>
  <c r="V11" i="14" s="1"/>
  <c r="O11" i="14"/>
  <c r="R11" i="14" s="1"/>
  <c r="U11" i="14" s="1"/>
  <c r="N11" i="13"/>
  <c r="Q11" i="13" s="1"/>
  <c r="T11" i="13" s="1"/>
  <c r="O11" i="13"/>
  <c r="R11" i="13" s="1"/>
  <c r="U11" i="13" s="1"/>
  <c r="P11" i="13"/>
  <c r="S11" i="13" s="1"/>
  <c r="V11" i="13" s="1"/>
  <c r="J14" i="13"/>
  <c r="G13" i="13"/>
  <c r="M12" i="13"/>
  <c r="I12" i="13"/>
  <c r="K12" i="13" s="1"/>
  <c r="L12" i="13" s="1"/>
  <c r="J14" i="12"/>
  <c r="G13" i="12"/>
  <c r="I12" i="12"/>
  <c r="K12" i="12" s="1"/>
  <c r="L12" i="12" s="1"/>
  <c r="M12" i="12"/>
  <c r="O11" i="12"/>
  <c r="R11" i="12" s="1"/>
  <c r="U11" i="12" s="1"/>
  <c r="P11" i="12"/>
  <c r="S11" i="12" s="1"/>
  <c r="V11" i="12" s="1"/>
  <c r="N11" i="12"/>
  <c r="Q11" i="12" s="1"/>
  <c r="T11" i="12" s="1"/>
  <c r="P11" i="11"/>
  <c r="S11" i="11" s="1"/>
  <c r="V11" i="11" s="1"/>
  <c r="N11" i="11"/>
  <c r="Q11" i="11" s="1"/>
  <c r="T11" i="11" s="1"/>
  <c r="O11" i="11"/>
  <c r="R11" i="11" s="1"/>
  <c r="U11" i="11" s="1"/>
  <c r="J14" i="11"/>
  <c r="G13" i="11"/>
  <c r="I12" i="11"/>
  <c r="K12" i="11" s="1"/>
  <c r="L12" i="11" s="1"/>
  <c r="M12" i="11"/>
  <c r="J14" i="10"/>
  <c r="G13" i="10"/>
  <c r="I12" i="10"/>
  <c r="K12" i="10" s="1"/>
  <c r="L12" i="10" s="1"/>
  <c r="M12" i="10"/>
  <c r="P11" i="10"/>
  <c r="O11" i="10"/>
  <c r="N11" i="10"/>
  <c r="Q11" i="10"/>
  <c r="T11" i="10" s="1"/>
  <c r="R11" i="10"/>
  <c r="U11" i="10" s="1"/>
  <c r="S11" i="10"/>
  <c r="V11" i="10" s="1"/>
  <c r="P10" i="9"/>
  <c r="O10" i="9"/>
  <c r="N10" i="9"/>
  <c r="I11" i="9"/>
  <c r="K11" i="9" s="1"/>
  <c r="L11" i="9" s="1"/>
  <c r="M11" i="9"/>
  <c r="J13" i="9"/>
  <c r="G12" i="9"/>
  <c r="D6" i="16" l="1" a="1"/>
  <c r="S85" i="9"/>
  <c r="V85" i="9" s="1"/>
  <c r="E4" i="16" a="1"/>
  <c r="H89" i="9"/>
  <c r="I87" i="9"/>
  <c r="K87" i="9" s="1"/>
  <c r="L87" i="9" s="1"/>
  <c r="M87" i="9"/>
  <c r="J89" i="9"/>
  <c r="G88" i="9"/>
  <c r="O86" i="9"/>
  <c r="N86" i="9"/>
  <c r="P86" i="9"/>
  <c r="J15" i="15"/>
  <c r="G14" i="15"/>
  <c r="I13" i="15"/>
  <c r="K13" i="15" s="1"/>
  <c r="L13" i="15" s="1"/>
  <c r="M13" i="15"/>
  <c r="P12" i="15"/>
  <c r="S12" i="15" s="1"/>
  <c r="V12" i="15" s="1"/>
  <c r="O12" i="15"/>
  <c r="R12" i="15" s="1"/>
  <c r="U12" i="15" s="1"/>
  <c r="N12" i="15"/>
  <c r="Q12" i="15" s="1"/>
  <c r="T12" i="15" s="1"/>
  <c r="N12" i="14"/>
  <c r="Q12" i="14" s="1"/>
  <c r="T12" i="14" s="1"/>
  <c r="P12" i="14"/>
  <c r="S12" i="14" s="1"/>
  <c r="V12" i="14" s="1"/>
  <c r="O12" i="14"/>
  <c r="R12" i="14" s="1"/>
  <c r="U12" i="14" s="1"/>
  <c r="J15" i="14"/>
  <c r="G14" i="14"/>
  <c r="M13" i="14"/>
  <c r="I13" i="14"/>
  <c r="K13" i="14" s="1"/>
  <c r="L13" i="14" s="1"/>
  <c r="J15" i="13"/>
  <c r="G14" i="13"/>
  <c r="I13" i="13"/>
  <c r="K13" i="13" s="1"/>
  <c r="L13" i="13" s="1"/>
  <c r="M13" i="13"/>
  <c r="P12" i="13"/>
  <c r="S12" i="13" s="1"/>
  <c r="V12" i="13" s="1"/>
  <c r="N12" i="13"/>
  <c r="Q12" i="13" s="1"/>
  <c r="T12" i="13" s="1"/>
  <c r="O12" i="13"/>
  <c r="R12" i="13" s="1"/>
  <c r="U12" i="13" s="1"/>
  <c r="J15" i="12"/>
  <c r="G14" i="12"/>
  <c r="I13" i="12"/>
  <c r="K13" i="12" s="1"/>
  <c r="L13" i="12" s="1"/>
  <c r="M13" i="12"/>
  <c r="O12" i="12"/>
  <c r="N12" i="12"/>
  <c r="P12" i="12"/>
  <c r="S12" i="12" s="1"/>
  <c r="V12" i="12" s="1"/>
  <c r="Q12" i="12"/>
  <c r="T12" i="12" s="1"/>
  <c r="R12" i="12"/>
  <c r="U12" i="12" s="1"/>
  <c r="J15" i="11"/>
  <c r="G14" i="11"/>
  <c r="I13" i="11"/>
  <c r="K13" i="11" s="1"/>
  <c r="L13" i="11" s="1"/>
  <c r="M13" i="11"/>
  <c r="P12" i="11"/>
  <c r="O12" i="11"/>
  <c r="N12" i="11"/>
  <c r="Q12" i="11"/>
  <c r="T12" i="11" s="1"/>
  <c r="R12" i="11"/>
  <c r="U12" i="11" s="1"/>
  <c r="S12" i="11"/>
  <c r="V12" i="11" s="1"/>
  <c r="J15" i="10"/>
  <c r="G14" i="10"/>
  <c r="I13" i="10"/>
  <c r="K13" i="10" s="1"/>
  <c r="L13" i="10" s="1"/>
  <c r="M13" i="10"/>
  <c r="P12" i="10"/>
  <c r="S12" i="10" s="1"/>
  <c r="V12" i="10" s="1"/>
  <c r="O12" i="10"/>
  <c r="R12" i="10" s="1"/>
  <c r="U12" i="10" s="1"/>
  <c r="N12" i="10"/>
  <c r="Q12" i="10" s="1"/>
  <c r="T12" i="10" s="1"/>
  <c r="P11" i="9"/>
  <c r="O11" i="9"/>
  <c r="N11" i="9"/>
  <c r="I12" i="9"/>
  <c r="K12" i="9" s="1"/>
  <c r="L12" i="9" s="1"/>
  <c r="M12" i="9"/>
  <c r="J14" i="9"/>
  <c r="G13" i="9"/>
  <c r="R86" i="9" l="1"/>
  <c r="U86" i="9" s="1"/>
  <c r="Q86" i="9"/>
  <c r="T86" i="9" s="1"/>
  <c r="S86" i="9"/>
  <c r="V86" i="9" s="1"/>
  <c r="H90" i="9"/>
  <c r="P87" i="9"/>
  <c r="N87" i="9"/>
  <c r="O87" i="9"/>
  <c r="R87" i="9"/>
  <c r="U87" i="9" s="1"/>
  <c r="S87" i="9"/>
  <c r="V87" i="9" s="1"/>
  <c r="Q87" i="9"/>
  <c r="T87" i="9" s="1"/>
  <c r="J90" i="9"/>
  <c r="G89" i="9"/>
  <c r="I88" i="9"/>
  <c r="K88" i="9" s="1"/>
  <c r="L88" i="9" s="1"/>
  <c r="M88" i="9"/>
  <c r="J16" i="15"/>
  <c r="G15" i="15"/>
  <c r="I14" i="15"/>
  <c r="K14" i="15" s="1"/>
  <c r="L14" i="15" s="1"/>
  <c r="M14" i="15"/>
  <c r="P13" i="15"/>
  <c r="S13" i="15" s="1"/>
  <c r="V13" i="15" s="1"/>
  <c r="O13" i="15"/>
  <c r="R13" i="15" s="1"/>
  <c r="U13" i="15" s="1"/>
  <c r="N13" i="15"/>
  <c r="Q13" i="15" s="1"/>
  <c r="T13" i="15" s="1"/>
  <c r="J16" i="14"/>
  <c r="G15" i="14"/>
  <c r="I14" i="14"/>
  <c r="K14" i="14" s="1"/>
  <c r="L14" i="14" s="1"/>
  <c r="M14" i="14"/>
  <c r="P13" i="14"/>
  <c r="S13" i="14" s="1"/>
  <c r="V13" i="14" s="1"/>
  <c r="N13" i="14"/>
  <c r="Q13" i="14" s="1"/>
  <c r="T13" i="14" s="1"/>
  <c r="O13" i="14"/>
  <c r="R13" i="14" s="1"/>
  <c r="U13" i="14" s="1"/>
  <c r="J16" i="13"/>
  <c r="G15" i="13"/>
  <c r="I14" i="13"/>
  <c r="K14" i="13" s="1"/>
  <c r="L14" i="13" s="1"/>
  <c r="M14" i="13"/>
  <c r="P13" i="13"/>
  <c r="N13" i="13"/>
  <c r="O13" i="13"/>
  <c r="S13" i="13"/>
  <c r="V13" i="13" s="1"/>
  <c r="R13" i="13"/>
  <c r="U13" i="13" s="1"/>
  <c r="Q13" i="13"/>
  <c r="T13" i="13" s="1"/>
  <c r="J16" i="12"/>
  <c r="G15" i="12"/>
  <c r="I14" i="12"/>
  <c r="K14" i="12" s="1"/>
  <c r="L14" i="12" s="1"/>
  <c r="M14" i="12"/>
  <c r="P13" i="12"/>
  <c r="O13" i="12"/>
  <c r="N13" i="12"/>
  <c r="Q13" i="12"/>
  <c r="T13" i="12" s="1"/>
  <c r="R13" i="12"/>
  <c r="U13" i="12" s="1"/>
  <c r="S13" i="12"/>
  <c r="V13" i="12" s="1"/>
  <c r="J16" i="11"/>
  <c r="G15" i="11"/>
  <c r="I14" i="11"/>
  <c r="K14" i="11" s="1"/>
  <c r="L14" i="11" s="1"/>
  <c r="M14" i="11"/>
  <c r="P13" i="11"/>
  <c r="S13" i="11" s="1"/>
  <c r="V13" i="11" s="1"/>
  <c r="O13" i="11"/>
  <c r="R13" i="11" s="1"/>
  <c r="U13" i="11" s="1"/>
  <c r="N13" i="11"/>
  <c r="Q13" i="11" s="1"/>
  <c r="T13" i="11" s="1"/>
  <c r="J16" i="10"/>
  <c r="G15" i="10"/>
  <c r="I14" i="10"/>
  <c r="K14" i="10" s="1"/>
  <c r="L14" i="10" s="1"/>
  <c r="M14" i="10"/>
  <c r="P13" i="10"/>
  <c r="S13" i="10" s="1"/>
  <c r="V13" i="10" s="1"/>
  <c r="O13" i="10"/>
  <c r="R13" i="10" s="1"/>
  <c r="U13" i="10" s="1"/>
  <c r="N13" i="10"/>
  <c r="Q13" i="10"/>
  <c r="T13" i="10" s="1"/>
  <c r="P12" i="9"/>
  <c r="O12" i="9"/>
  <c r="N12" i="9"/>
  <c r="I13" i="9"/>
  <c r="K13" i="9" s="1"/>
  <c r="L13" i="9" s="1"/>
  <c r="M13" i="9"/>
  <c r="J15" i="9"/>
  <c r="G14" i="9"/>
  <c r="H92" i="9" l="1"/>
  <c r="H91" i="9"/>
  <c r="G90" i="9"/>
  <c r="J91" i="9"/>
  <c r="M89" i="9"/>
  <c r="I89" i="9"/>
  <c r="K89" i="9" s="1"/>
  <c r="L89" i="9" s="1"/>
  <c r="P88" i="9"/>
  <c r="N88" i="9"/>
  <c r="O88" i="9"/>
  <c r="S88" i="9"/>
  <c r="V88" i="9" s="1"/>
  <c r="Q88" i="9"/>
  <c r="T88" i="9" s="1"/>
  <c r="R88" i="9"/>
  <c r="U88" i="9" s="1"/>
  <c r="J17" i="15"/>
  <c r="G16" i="15"/>
  <c r="I15" i="15"/>
  <c r="K15" i="15" s="1"/>
  <c r="L15" i="15" s="1"/>
  <c r="M15" i="15"/>
  <c r="P14" i="15"/>
  <c r="S14" i="15" s="1"/>
  <c r="V14" i="15" s="1"/>
  <c r="O14" i="15"/>
  <c r="R14" i="15" s="1"/>
  <c r="U14" i="15" s="1"/>
  <c r="N14" i="15"/>
  <c r="Q14" i="15"/>
  <c r="T14" i="15" s="1"/>
  <c r="J17" i="14"/>
  <c r="G16" i="14"/>
  <c r="I15" i="14"/>
  <c r="K15" i="14" s="1"/>
  <c r="L15" i="14" s="1"/>
  <c r="M15" i="14"/>
  <c r="P14" i="14"/>
  <c r="O14" i="14"/>
  <c r="R14" i="14" s="1"/>
  <c r="U14" i="14" s="1"/>
  <c r="N14" i="14"/>
  <c r="Q14" i="14"/>
  <c r="T14" i="14" s="1"/>
  <c r="S14" i="14"/>
  <c r="V14" i="14" s="1"/>
  <c r="J17" i="13"/>
  <c r="G16" i="13"/>
  <c r="I15" i="13"/>
  <c r="K15" i="13" s="1"/>
  <c r="L15" i="13" s="1"/>
  <c r="M15" i="13"/>
  <c r="P14" i="13"/>
  <c r="S14" i="13" s="1"/>
  <c r="V14" i="13" s="1"/>
  <c r="O14" i="13"/>
  <c r="R14" i="13" s="1"/>
  <c r="U14" i="13" s="1"/>
  <c r="N14" i="13"/>
  <c r="Q14" i="13"/>
  <c r="T14" i="13" s="1"/>
  <c r="J17" i="12"/>
  <c r="G16" i="12"/>
  <c r="I15" i="12"/>
  <c r="K15" i="12" s="1"/>
  <c r="L15" i="12" s="1"/>
  <c r="M15" i="12"/>
  <c r="P14" i="12"/>
  <c r="O14" i="12"/>
  <c r="N14" i="12"/>
  <c r="Q14" i="12"/>
  <c r="T14" i="12" s="1"/>
  <c r="R14" i="12"/>
  <c r="U14" i="12" s="1"/>
  <c r="S14" i="12"/>
  <c r="V14" i="12" s="1"/>
  <c r="J17" i="11"/>
  <c r="G16" i="11"/>
  <c r="I15" i="11"/>
  <c r="K15" i="11" s="1"/>
  <c r="L15" i="11" s="1"/>
  <c r="M15" i="11"/>
  <c r="P14" i="11"/>
  <c r="S14" i="11" s="1"/>
  <c r="V14" i="11" s="1"/>
  <c r="O14" i="11"/>
  <c r="R14" i="11" s="1"/>
  <c r="U14" i="11" s="1"/>
  <c r="N14" i="11"/>
  <c r="Q14" i="11" s="1"/>
  <c r="T14" i="11" s="1"/>
  <c r="J17" i="10"/>
  <c r="G16" i="10"/>
  <c r="I15" i="10"/>
  <c r="K15" i="10" s="1"/>
  <c r="L15" i="10" s="1"/>
  <c r="M15" i="10"/>
  <c r="P14" i="10"/>
  <c r="O14" i="10"/>
  <c r="N14" i="10"/>
  <c r="Q14" i="10"/>
  <c r="T14" i="10" s="1"/>
  <c r="R14" i="10"/>
  <c r="U14" i="10" s="1"/>
  <c r="S14" i="10"/>
  <c r="V14" i="10" s="1"/>
  <c r="P13" i="9"/>
  <c r="O13" i="9"/>
  <c r="N13" i="9"/>
  <c r="I14" i="9"/>
  <c r="K14" i="9" s="1"/>
  <c r="L14" i="9" s="1"/>
  <c r="M14" i="9"/>
  <c r="J16" i="9"/>
  <c r="G15" i="9"/>
  <c r="E3" i="16" l="1" a="1"/>
  <c r="C7" i="16" a="1"/>
  <c r="I90" i="9"/>
  <c r="K90" i="9" s="1"/>
  <c r="L90" i="9" s="1"/>
  <c r="M90" i="9"/>
  <c r="G91" i="9"/>
  <c r="J92" i="9"/>
  <c r="O89" i="9"/>
  <c r="P89" i="9"/>
  <c r="N89" i="9"/>
  <c r="J18" i="15"/>
  <c r="G17" i="15"/>
  <c r="I16" i="15"/>
  <c r="K16" i="15" s="1"/>
  <c r="L16" i="15" s="1"/>
  <c r="M16" i="15"/>
  <c r="P15" i="15"/>
  <c r="S15" i="15" s="1"/>
  <c r="V15" i="15" s="1"/>
  <c r="O15" i="15"/>
  <c r="R15" i="15" s="1"/>
  <c r="U15" i="15" s="1"/>
  <c r="N15" i="15"/>
  <c r="Q15" i="15" s="1"/>
  <c r="T15" i="15" s="1"/>
  <c r="J18" i="14"/>
  <c r="G17" i="14"/>
  <c r="I16" i="14"/>
  <c r="K16" i="14" s="1"/>
  <c r="L16" i="14" s="1"/>
  <c r="M16" i="14"/>
  <c r="P15" i="14"/>
  <c r="O15" i="14"/>
  <c r="R15" i="14" s="1"/>
  <c r="U15" i="14" s="1"/>
  <c r="N15" i="14"/>
  <c r="Q15" i="14" s="1"/>
  <c r="T15" i="14" s="1"/>
  <c r="S15" i="14"/>
  <c r="V15" i="14" s="1"/>
  <c r="J18" i="13"/>
  <c r="G17" i="13"/>
  <c r="I16" i="13"/>
  <c r="K16" i="13" s="1"/>
  <c r="L16" i="13" s="1"/>
  <c r="M16" i="13"/>
  <c r="P15" i="13"/>
  <c r="O15" i="13"/>
  <c r="N15" i="13"/>
  <c r="Q15" i="13"/>
  <c r="T15" i="13" s="1"/>
  <c r="R15" i="13"/>
  <c r="U15" i="13" s="1"/>
  <c r="S15" i="13"/>
  <c r="V15" i="13" s="1"/>
  <c r="J18" i="12"/>
  <c r="G17" i="12"/>
  <c r="I16" i="12"/>
  <c r="K16" i="12" s="1"/>
  <c r="L16" i="12" s="1"/>
  <c r="M16" i="12"/>
  <c r="P15" i="12"/>
  <c r="O15" i="12"/>
  <c r="N15" i="12"/>
  <c r="Q15" i="12"/>
  <c r="T15" i="12" s="1"/>
  <c r="R15" i="12"/>
  <c r="U15" i="12" s="1"/>
  <c r="S15" i="12"/>
  <c r="V15" i="12" s="1"/>
  <c r="J18" i="11"/>
  <c r="G17" i="11"/>
  <c r="I16" i="11"/>
  <c r="K16" i="11" s="1"/>
  <c r="L16" i="11" s="1"/>
  <c r="M16" i="11"/>
  <c r="P15" i="11"/>
  <c r="S15" i="11" s="1"/>
  <c r="V15" i="11" s="1"/>
  <c r="O15" i="11"/>
  <c r="R15" i="11" s="1"/>
  <c r="U15" i="11" s="1"/>
  <c r="N15" i="11"/>
  <c r="Q15" i="11" s="1"/>
  <c r="T15" i="11" s="1"/>
  <c r="J18" i="10"/>
  <c r="G17" i="10"/>
  <c r="I16" i="10"/>
  <c r="K16" i="10" s="1"/>
  <c r="L16" i="10" s="1"/>
  <c r="M16" i="10"/>
  <c r="P15" i="10"/>
  <c r="O15" i="10"/>
  <c r="R15" i="10" s="1"/>
  <c r="U15" i="10" s="1"/>
  <c r="N15" i="10"/>
  <c r="Q15" i="10"/>
  <c r="T15" i="10" s="1"/>
  <c r="S15" i="10"/>
  <c r="V15" i="10" s="1"/>
  <c r="P14" i="9"/>
  <c r="O14" i="9"/>
  <c r="N14" i="9"/>
  <c r="I15" i="9"/>
  <c r="K15" i="9" s="1"/>
  <c r="L15" i="9" s="1"/>
  <c r="M15" i="9"/>
  <c r="J17" i="9"/>
  <c r="G16" i="9"/>
  <c r="R89" i="9" l="1"/>
  <c r="U89" i="9" s="1"/>
  <c r="D5" i="16" a="1"/>
  <c r="S89" i="9"/>
  <c r="V89" i="9" s="1"/>
  <c r="Q89" i="9"/>
  <c r="T89" i="9" s="1"/>
  <c r="G92" i="9"/>
  <c r="J93" i="9"/>
  <c r="P90" i="9"/>
  <c r="N90" i="9"/>
  <c r="O90" i="9"/>
  <c r="R90" i="9"/>
  <c r="U90" i="9" s="1"/>
  <c r="S90" i="9"/>
  <c r="V90" i="9" s="1"/>
  <c r="Q90" i="9"/>
  <c r="T90" i="9" s="1"/>
  <c r="I91" i="9"/>
  <c r="K91" i="9" s="1"/>
  <c r="L91" i="9" s="1"/>
  <c r="M91" i="9"/>
  <c r="J19" i="15"/>
  <c r="G18" i="15"/>
  <c r="I17" i="15"/>
  <c r="K17" i="15" s="1"/>
  <c r="L17" i="15" s="1"/>
  <c r="M17" i="15"/>
  <c r="P16" i="15"/>
  <c r="S16" i="15" s="1"/>
  <c r="V16" i="15" s="1"/>
  <c r="O16" i="15"/>
  <c r="R16" i="15" s="1"/>
  <c r="U16" i="15" s="1"/>
  <c r="N16" i="15"/>
  <c r="Q16" i="15" s="1"/>
  <c r="T16" i="15" s="1"/>
  <c r="J19" i="14"/>
  <c r="G18" i="14"/>
  <c r="I17" i="14"/>
  <c r="K17" i="14" s="1"/>
  <c r="L17" i="14" s="1"/>
  <c r="M17" i="14"/>
  <c r="P16" i="14"/>
  <c r="O16" i="14"/>
  <c r="N16" i="14"/>
  <c r="Q16" i="14" s="1"/>
  <c r="T16" i="14" s="1"/>
  <c r="R16" i="14"/>
  <c r="U16" i="14" s="1"/>
  <c r="S16" i="14"/>
  <c r="V16" i="14" s="1"/>
  <c r="J19" i="13"/>
  <c r="G18" i="13"/>
  <c r="I17" i="13"/>
  <c r="K17" i="13" s="1"/>
  <c r="L17" i="13" s="1"/>
  <c r="M17" i="13"/>
  <c r="P16" i="13"/>
  <c r="O16" i="13"/>
  <c r="N16" i="13"/>
  <c r="Q16" i="13"/>
  <c r="T16" i="13" s="1"/>
  <c r="R16" i="13"/>
  <c r="U16" i="13" s="1"/>
  <c r="S16" i="13"/>
  <c r="V16" i="13" s="1"/>
  <c r="J19" i="12"/>
  <c r="G18" i="12"/>
  <c r="I17" i="12"/>
  <c r="K17" i="12" s="1"/>
  <c r="L17" i="12" s="1"/>
  <c r="M17" i="12"/>
  <c r="P16" i="12"/>
  <c r="S16" i="12" s="1"/>
  <c r="V16" i="12" s="1"/>
  <c r="O16" i="12"/>
  <c r="R16" i="12" s="1"/>
  <c r="U16" i="12" s="1"/>
  <c r="N16" i="12"/>
  <c r="Q16" i="12" s="1"/>
  <c r="T16" i="12" s="1"/>
  <c r="J19" i="11"/>
  <c r="G18" i="11"/>
  <c r="I17" i="11"/>
  <c r="K17" i="11" s="1"/>
  <c r="L17" i="11" s="1"/>
  <c r="M17" i="11"/>
  <c r="P16" i="11"/>
  <c r="O16" i="11"/>
  <c r="N16" i="11"/>
  <c r="Q16" i="11" s="1"/>
  <c r="T16" i="11" s="1"/>
  <c r="R16" i="11"/>
  <c r="U16" i="11" s="1"/>
  <c r="S16" i="11"/>
  <c r="V16" i="11" s="1"/>
  <c r="J19" i="10"/>
  <c r="G18" i="10"/>
  <c r="I17" i="10"/>
  <c r="K17" i="10" s="1"/>
  <c r="L17" i="10" s="1"/>
  <c r="M17" i="10"/>
  <c r="P16" i="10"/>
  <c r="O16" i="10"/>
  <c r="N16" i="10"/>
  <c r="Q16" i="10" s="1"/>
  <c r="T16" i="10" s="1"/>
  <c r="R16" i="10"/>
  <c r="U16" i="10" s="1"/>
  <c r="S16" i="10"/>
  <c r="V16" i="10" s="1"/>
  <c r="P15" i="9"/>
  <c r="O15" i="9"/>
  <c r="N15" i="9"/>
  <c r="I16" i="9"/>
  <c r="K16" i="9" s="1"/>
  <c r="L16" i="9" s="1"/>
  <c r="M16" i="9"/>
  <c r="J18" i="9"/>
  <c r="G17" i="9"/>
  <c r="I92" i="9" l="1"/>
  <c r="K92" i="9" s="1"/>
  <c r="L92" i="9" s="1"/>
  <c r="P92" i="9" s="1"/>
  <c r="M92" i="9"/>
  <c r="C6" i="16" a="1"/>
  <c r="J94" i="9"/>
  <c r="G93" i="9"/>
  <c r="P91" i="9"/>
  <c r="N91" i="9"/>
  <c r="O91" i="9"/>
  <c r="S91" i="9"/>
  <c r="V91" i="9" s="1"/>
  <c r="Q91" i="9"/>
  <c r="T91" i="9" s="1"/>
  <c r="R91" i="9"/>
  <c r="U91" i="9" s="1"/>
  <c r="O92" i="9"/>
  <c r="N92" i="9"/>
  <c r="J20" i="15"/>
  <c r="G19" i="15"/>
  <c r="I18" i="15"/>
  <c r="K18" i="15" s="1"/>
  <c r="L18" i="15" s="1"/>
  <c r="M18" i="15"/>
  <c r="P17" i="15"/>
  <c r="S17" i="15" s="1"/>
  <c r="V17" i="15" s="1"/>
  <c r="O17" i="15"/>
  <c r="R17" i="15" s="1"/>
  <c r="U17" i="15" s="1"/>
  <c r="N17" i="15"/>
  <c r="Q17" i="15" s="1"/>
  <c r="T17" i="15" s="1"/>
  <c r="J20" i="14"/>
  <c r="G19" i="14"/>
  <c r="I18" i="14"/>
  <c r="K18" i="14" s="1"/>
  <c r="L18" i="14" s="1"/>
  <c r="M18" i="14"/>
  <c r="P17" i="14"/>
  <c r="S17" i="14" s="1"/>
  <c r="V17" i="14" s="1"/>
  <c r="O17" i="14"/>
  <c r="R17" i="14" s="1"/>
  <c r="U17" i="14" s="1"/>
  <c r="N17" i="14"/>
  <c r="Q17" i="14" s="1"/>
  <c r="T17" i="14" s="1"/>
  <c r="J20" i="13"/>
  <c r="G19" i="13"/>
  <c r="I18" i="13"/>
  <c r="K18" i="13" s="1"/>
  <c r="L18" i="13" s="1"/>
  <c r="M18" i="13"/>
  <c r="P17" i="13"/>
  <c r="O17" i="13"/>
  <c r="N17" i="13"/>
  <c r="Q17" i="13"/>
  <c r="T17" i="13" s="1"/>
  <c r="R17" i="13"/>
  <c r="U17" i="13" s="1"/>
  <c r="S17" i="13"/>
  <c r="V17" i="13" s="1"/>
  <c r="J20" i="12"/>
  <c r="G19" i="12"/>
  <c r="I18" i="12"/>
  <c r="K18" i="12" s="1"/>
  <c r="L18" i="12" s="1"/>
  <c r="M18" i="12"/>
  <c r="P17" i="12"/>
  <c r="O17" i="12"/>
  <c r="N17" i="12"/>
  <c r="Q17" i="12" s="1"/>
  <c r="T17" i="12" s="1"/>
  <c r="R17" i="12"/>
  <c r="U17" i="12" s="1"/>
  <c r="S17" i="12"/>
  <c r="V17" i="12" s="1"/>
  <c r="J20" i="11"/>
  <c r="G19" i="11"/>
  <c r="I18" i="11"/>
  <c r="K18" i="11" s="1"/>
  <c r="L18" i="11" s="1"/>
  <c r="M18" i="11"/>
  <c r="P17" i="11"/>
  <c r="O17" i="11"/>
  <c r="N17" i="11"/>
  <c r="Q17" i="11"/>
  <c r="T17" i="11" s="1"/>
  <c r="R17" i="11"/>
  <c r="U17" i="11" s="1"/>
  <c r="S17" i="11"/>
  <c r="V17" i="11" s="1"/>
  <c r="J20" i="10"/>
  <c r="G19" i="10"/>
  <c r="I18" i="10"/>
  <c r="K18" i="10" s="1"/>
  <c r="L18" i="10" s="1"/>
  <c r="M18" i="10"/>
  <c r="P17" i="10"/>
  <c r="O17" i="10"/>
  <c r="N17" i="10"/>
  <c r="Q17" i="10"/>
  <c r="T17" i="10" s="1"/>
  <c r="R17" i="10"/>
  <c r="U17" i="10" s="1"/>
  <c r="S17" i="10"/>
  <c r="V17" i="10" s="1"/>
  <c r="P16" i="9"/>
  <c r="O16" i="9"/>
  <c r="N16" i="9"/>
  <c r="I17" i="9"/>
  <c r="K17" i="9" s="1"/>
  <c r="L17" i="9" s="1"/>
  <c r="M17" i="9"/>
  <c r="J19" i="9"/>
  <c r="G18" i="9"/>
  <c r="S92" i="9" l="1"/>
  <c r="V92" i="9" s="1"/>
  <c r="Q92" i="9"/>
  <c r="T92" i="9" s="1"/>
  <c r="R92" i="9"/>
  <c r="U92" i="9" s="1"/>
  <c r="G94" i="9"/>
  <c r="J95" i="9"/>
  <c r="I93" i="9"/>
  <c r="K93" i="9" s="1"/>
  <c r="L93" i="9" s="1"/>
  <c r="M93" i="9"/>
  <c r="J21" i="15"/>
  <c r="G20" i="15"/>
  <c r="I19" i="15"/>
  <c r="K19" i="15" s="1"/>
  <c r="L19" i="15" s="1"/>
  <c r="M19" i="15"/>
  <c r="P18" i="15"/>
  <c r="S18" i="15" s="1"/>
  <c r="V18" i="15" s="1"/>
  <c r="O18" i="15"/>
  <c r="R18" i="15" s="1"/>
  <c r="U18" i="15" s="1"/>
  <c r="N18" i="15"/>
  <c r="Q18" i="15" s="1"/>
  <c r="T18" i="15" s="1"/>
  <c r="J21" i="14"/>
  <c r="G20" i="14"/>
  <c r="I19" i="14"/>
  <c r="K19" i="14" s="1"/>
  <c r="L19" i="14" s="1"/>
  <c r="M19" i="14"/>
  <c r="P18" i="14"/>
  <c r="O18" i="14"/>
  <c r="N18" i="14"/>
  <c r="Q18" i="14"/>
  <c r="T18" i="14" s="1"/>
  <c r="R18" i="14"/>
  <c r="U18" i="14" s="1"/>
  <c r="S18" i="14"/>
  <c r="V18" i="14" s="1"/>
  <c r="J21" i="13"/>
  <c r="G20" i="13"/>
  <c r="I19" i="13"/>
  <c r="K19" i="13" s="1"/>
  <c r="L19" i="13" s="1"/>
  <c r="M19" i="13"/>
  <c r="P18" i="13"/>
  <c r="O18" i="13"/>
  <c r="N18" i="13"/>
  <c r="Q18" i="13"/>
  <c r="T18" i="13" s="1"/>
  <c r="R18" i="13"/>
  <c r="U18" i="13" s="1"/>
  <c r="S18" i="13"/>
  <c r="V18" i="13" s="1"/>
  <c r="J21" i="12"/>
  <c r="G20" i="12"/>
  <c r="I19" i="12"/>
  <c r="K19" i="12" s="1"/>
  <c r="L19" i="12" s="1"/>
  <c r="M19" i="12"/>
  <c r="P18" i="12"/>
  <c r="O18" i="12"/>
  <c r="N18" i="12"/>
  <c r="Q18" i="12" s="1"/>
  <c r="T18" i="12" s="1"/>
  <c r="R18" i="12"/>
  <c r="U18" i="12" s="1"/>
  <c r="S18" i="12"/>
  <c r="V18" i="12" s="1"/>
  <c r="J21" i="11"/>
  <c r="G20" i="11"/>
  <c r="I19" i="11"/>
  <c r="K19" i="11" s="1"/>
  <c r="L19" i="11" s="1"/>
  <c r="M19" i="11"/>
  <c r="P18" i="11"/>
  <c r="S18" i="11" s="1"/>
  <c r="V18" i="11" s="1"/>
  <c r="O18" i="11"/>
  <c r="N18" i="11"/>
  <c r="Q18" i="11"/>
  <c r="T18" i="11" s="1"/>
  <c r="R18" i="11"/>
  <c r="U18" i="11" s="1"/>
  <c r="J21" i="10"/>
  <c r="G20" i="10"/>
  <c r="I19" i="10"/>
  <c r="K19" i="10" s="1"/>
  <c r="L19" i="10" s="1"/>
  <c r="M19" i="10"/>
  <c r="P18" i="10"/>
  <c r="S18" i="10" s="1"/>
  <c r="V18" i="10" s="1"/>
  <c r="O18" i="10"/>
  <c r="R18" i="10" s="1"/>
  <c r="U18" i="10" s="1"/>
  <c r="N18" i="10"/>
  <c r="Q18" i="10"/>
  <c r="T18" i="10" s="1"/>
  <c r="P17" i="9"/>
  <c r="O17" i="9"/>
  <c r="N17" i="9"/>
  <c r="I18" i="9"/>
  <c r="K18" i="9" s="1"/>
  <c r="L18" i="9" s="1"/>
  <c r="M18" i="9"/>
  <c r="J20" i="9"/>
  <c r="G19" i="9"/>
  <c r="D3" i="16" l="1" a="1"/>
  <c r="I94" i="9"/>
  <c r="K94" i="9" s="1"/>
  <c r="L94" i="9" s="1"/>
  <c r="M94" i="9"/>
  <c r="G95" i="9"/>
  <c r="J96" i="9"/>
  <c r="N93" i="9"/>
  <c r="O93" i="9"/>
  <c r="R93" i="9" s="1"/>
  <c r="U93" i="9" s="1"/>
  <c r="P93" i="9"/>
  <c r="S93" i="9" s="1"/>
  <c r="V93" i="9" s="1"/>
  <c r="Q93" i="9"/>
  <c r="T93" i="9" s="1"/>
  <c r="J22" i="15"/>
  <c r="G21" i="15"/>
  <c r="I20" i="15"/>
  <c r="K20" i="15" s="1"/>
  <c r="L20" i="15" s="1"/>
  <c r="M20" i="15"/>
  <c r="P19" i="15"/>
  <c r="S19" i="15" s="1"/>
  <c r="V19" i="15" s="1"/>
  <c r="O19" i="15"/>
  <c r="R19" i="15" s="1"/>
  <c r="U19" i="15" s="1"/>
  <c r="N19" i="15"/>
  <c r="Q19" i="15"/>
  <c r="T19" i="15" s="1"/>
  <c r="J22" i="14"/>
  <c r="G21" i="14"/>
  <c r="I20" i="14"/>
  <c r="K20" i="14" s="1"/>
  <c r="L20" i="14" s="1"/>
  <c r="M20" i="14"/>
  <c r="P19" i="14"/>
  <c r="O19" i="14"/>
  <c r="N19" i="14"/>
  <c r="Q19" i="14" s="1"/>
  <c r="T19" i="14" s="1"/>
  <c r="R19" i="14"/>
  <c r="U19" i="14" s="1"/>
  <c r="S19" i="14"/>
  <c r="V19" i="14" s="1"/>
  <c r="J22" i="13"/>
  <c r="G21" i="13"/>
  <c r="I20" i="13"/>
  <c r="K20" i="13" s="1"/>
  <c r="L20" i="13" s="1"/>
  <c r="M20" i="13"/>
  <c r="P19" i="13"/>
  <c r="O19" i="13"/>
  <c r="N19" i="13"/>
  <c r="Q19" i="13"/>
  <c r="T19" i="13" s="1"/>
  <c r="R19" i="13"/>
  <c r="U19" i="13" s="1"/>
  <c r="S19" i="13"/>
  <c r="V19" i="13" s="1"/>
  <c r="J22" i="12"/>
  <c r="G21" i="12"/>
  <c r="I20" i="12"/>
  <c r="K20" i="12" s="1"/>
  <c r="L20" i="12" s="1"/>
  <c r="M20" i="12"/>
  <c r="P19" i="12"/>
  <c r="O19" i="12"/>
  <c r="R19" i="12" s="1"/>
  <c r="U19" i="12" s="1"/>
  <c r="N19" i="12"/>
  <c r="Q19" i="12"/>
  <c r="T19" i="12" s="1"/>
  <c r="S19" i="12"/>
  <c r="V19" i="12" s="1"/>
  <c r="J22" i="11"/>
  <c r="G21" i="11"/>
  <c r="I20" i="11"/>
  <c r="K20" i="11" s="1"/>
  <c r="L20" i="11" s="1"/>
  <c r="M20" i="11"/>
  <c r="P19" i="11"/>
  <c r="O19" i="11"/>
  <c r="N19" i="11"/>
  <c r="Q19" i="11" s="1"/>
  <c r="T19" i="11" s="1"/>
  <c r="R19" i="11"/>
  <c r="U19" i="11" s="1"/>
  <c r="S19" i="11"/>
  <c r="V19" i="11" s="1"/>
  <c r="J22" i="10"/>
  <c r="G21" i="10"/>
  <c r="I20" i="10"/>
  <c r="K20" i="10" s="1"/>
  <c r="L20" i="10" s="1"/>
  <c r="M20" i="10"/>
  <c r="P19" i="10"/>
  <c r="O19" i="10"/>
  <c r="N19" i="10"/>
  <c r="Q19" i="10"/>
  <c r="T19" i="10" s="1"/>
  <c r="R19" i="10"/>
  <c r="U19" i="10" s="1"/>
  <c r="S19" i="10"/>
  <c r="V19" i="10" s="1"/>
  <c r="P18" i="9"/>
  <c r="O18" i="9"/>
  <c r="N18" i="9"/>
  <c r="I19" i="9"/>
  <c r="K19" i="9" s="1"/>
  <c r="L19" i="9" s="1"/>
  <c r="M19" i="9"/>
  <c r="J21" i="9"/>
  <c r="G20" i="9"/>
  <c r="N94" i="9" l="1"/>
  <c r="O94" i="9"/>
  <c r="P94" i="9"/>
  <c r="M95" i="9"/>
  <c r="I95" i="9"/>
  <c r="K95" i="9" s="1"/>
  <c r="L95" i="9" s="1"/>
  <c r="G96" i="9"/>
  <c r="J97" i="9"/>
  <c r="J23" i="15"/>
  <c r="G22" i="15"/>
  <c r="I21" i="15"/>
  <c r="K21" i="15" s="1"/>
  <c r="L21" i="15" s="1"/>
  <c r="M21" i="15"/>
  <c r="P20" i="15"/>
  <c r="S20" i="15" s="1"/>
  <c r="V20" i="15" s="1"/>
  <c r="O20" i="15"/>
  <c r="R20" i="15" s="1"/>
  <c r="U20" i="15" s="1"/>
  <c r="N20" i="15"/>
  <c r="Q20" i="15" s="1"/>
  <c r="T20" i="15" s="1"/>
  <c r="J23" i="14"/>
  <c r="G22" i="14"/>
  <c r="I21" i="14"/>
  <c r="K21" i="14" s="1"/>
  <c r="L21" i="14" s="1"/>
  <c r="M21" i="14"/>
  <c r="P20" i="14"/>
  <c r="S20" i="14" s="1"/>
  <c r="V20" i="14" s="1"/>
  <c r="O20" i="14"/>
  <c r="R20" i="14" s="1"/>
  <c r="U20" i="14" s="1"/>
  <c r="N20" i="14"/>
  <c r="Q20" i="14" s="1"/>
  <c r="T20" i="14" s="1"/>
  <c r="J23" i="13"/>
  <c r="G22" i="13"/>
  <c r="I21" i="13"/>
  <c r="K21" i="13" s="1"/>
  <c r="L21" i="13" s="1"/>
  <c r="M21" i="13"/>
  <c r="P20" i="13"/>
  <c r="O20" i="13"/>
  <c r="N20" i="13"/>
  <c r="Q20" i="13"/>
  <c r="T20" i="13" s="1"/>
  <c r="R20" i="13"/>
  <c r="U20" i="13" s="1"/>
  <c r="S20" i="13"/>
  <c r="V20" i="13" s="1"/>
  <c r="J23" i="12"/>
  <c r="G22" i="12"/>
  <c r="I21" i="12"/>
  <c r="K21" i="12" s="1"/>
  <c r="L21" i="12" s="1"/>
  <c r="M21" i="12"/>
  <c r="P20" i="12"/>
  <c r="O20" i="12"/>
  <c r="N20" i="12"/>
  <c r="Q20" i="12"/>
  <c r="T20" i="12" s="1"/>
  <c r="R20" i="12"/>
  <c r="U20" i="12" s="1"/>
  <c r="S20" i="12"/>
  <c r="V20" i="12" s="1"/>
  <c r="G22" i="11"/>
  <c r="J23" i="11"/>
  <c r="I21" i="11"/>
  <c r="K21" i="11" s="1"/>
  <c r="L21" i="11" s="1"/>
  <c r="M21" i="11"/>
  <c r="P20" i="11"/>
  <c r="O20" i="11"/>
  <c r="N20" i="11"/>
  <c r="Q20" i="11"/>
  <c r="T20" i="11" s="1"/>
  <c r="R20" i="11"/>
  <c r="U20" i="11" s="1"/>
  <c r="S20" i="11"/>
  <c r="V20" i="11" s="1"/>
  <c r="J23" i="10"/>
  <c r="G22" i="10"/>
  <c r="M21" i="10"/>
  <c r="I21" i="10"/>
  <c r="K21" i="10" s="1"/>
  <c r="L21" i="10" s="1"/>
  <c r="P20" i="10"/>
  <c r="N20" i="10"/>
  <c r="Q20" i="10" s="1"/>
  <c r="T20" i="10" s="1"/>
  <c r="O20" i="10"/>
  <c r="S20" i="10"/>
  <c r="V20" i="10" s="1"/>
  <c r="R20" i="10"/>
  <c r="U20" i="10" s="1"/>
  <c r="P19" i="9"/>
  <c r="O19" i="9"/>
  <c r="N19" i="9"/>
  <c r="I20" i="9"/>
  <c r="K20" i="9" s="1"/>
  <c r="L20" i="9" s="1"/>
  <c r="M20" i="9"/>
  <c r="J22" i="9"/>
  <c r="G21" i="9"/>
  <c r="Q94" i="9" l="1"/>
  <c r="T94" i="9" s="1"/>
  <c r="C5" i="16" a="1"/>
  <c r="R94" i="9"/>
  <c r="U94" i="9" s="1"/>
  <c r="D4" i="16" a="1"/>
  <c r="S94" i="9"/>
  <c r="V94" i="9" s="1"/>
  <c r="P95" i="9"/>
  <c r="N95" i="9"/>
  <c r="O95" i="9"/>
  <c r="I96" i="9"/>
  <c r="K96" i="9" s="1"/>
  <c r="L96" i="9" s="1"/>
  <c r="M96" i="9"/>
  <c r="J98" i="9"/>
  <c r="G97" i="9"/>
  <c r="J24" i="15"/>
  <c r="G23" i="15"/>
  <c r="I22" i="15"/>
  <c r="K22" i="15" s="1"/>
  <c r="L22" i="15" s="1"/>
  <c r="M22" i="15"/>
  <c r="P21" i="15"/>
  <c r="S21" i="15" s="1"/>
  <c r="V21" i="15" s="1"/>
  <c r="O21" i="15"/>
  <c r="R21" i="15" s="1"/>
  <c r="U21" i="15" s="1"/>
  <c r="N21" i="15"/>
  <c r="Q21" i="15"/>
  <c r="T21" i="15" s="1"/>
  <c r="J24" i="14"/>
  <c r="G23" i="14"/>
  <c r="I22" i="14"/>
  <c r="K22" i="14" s="1"/>
  <c r="L22" i="14" s="1"/>
  <c r="M22" i="14"/>
  <c r="P21" i="14"/>
  <c r="S21" i="14" s="1"/>
  <c r="V21" i="14" s="1"/>
  <c r="O21" i="14"/>
  <c r="R21" i="14" s="1"/>
  <c r="U21" i="14" s="1"/>
  <c r="N21" i="14"/>
  <c r="Q21" i="14"/>
  <c r="T21" i="14" s="1"/>
  <c r="J24" i="13"/>
  <c r="G23" i="13"/>
  <c r="I22" i="13"/>
  <c r="K22" i="13" s="1"/>
  <c r="L22" i="13" s="1"/>
  <c r="M22" i="13"/>
  <c r="P21" i="13"/>
  <c r="O21" i="13"/>
  <c r="N21" i="13"/>
  <c r="Q21" i="13" s="1"/>
  <c r="T21" i="13" s="1"/>
  <c r="R21" i="13"/>
  <c r="U21" i="13" s="1"/>
  <c r="S21" i="13"/>
  <c r="V21" i="13" s="1"/>
  <c r="J24" i="12"/>
  <c r="G23" i="12"/>
  <c r="I22" i="12"/>
  <c r="K22" i="12" s="1"/>
  <c r="L22" i="12" s="1"/>
  <c r="M22" i="12"/>
  <c r="P21" i="12"/>
  <c r="O21" i="12"/>
  <c r="N21" i="12"/>
  <c r="Q21" i="12"/>
  <c r="T21" i="12" s="1"/>
  <c r="R21" i="12"/>
  <c r="U21" i="12" s="1"/>
  <c r="S21" i="12"/>
  <c r="V21" i="12" s="1"/>
  <c r="I22" i="11"/>
  <c r="K22" i="11" s="1"/>
  <c r="L22" i="11" s="1"/>
  <c r="M22" i="11"/>
  <c r="J24" i="11"/>
  <c r="G23" i="11"/>
  <c r="P21" i="11"/>
  <c r="O21" i="11"/>
  <c r="N21" i="11"/>
  <c r="Q21" i="11"/>
  <c r="T21" i="11" s="1"/>
  <c r="R21" i="11"/>
  <c r="U21" i="11" s="1"/>
  <c r="S21" i="11"/>
  <c r="V21" i="11" s="1"/>
  <c r="G23" i="10"/>
  <c r="J24" i="10"/>
  <c r="I22" i="10"/>
  <c r="K22" i="10" s="1"/>
  <c r="L22" i="10" s="1"/>
  <c r="M22" i="10"/>
  <c r="S21" i="10"/>
  <c r="V21" i="10" s="1"/>
  <c r="P21" i="10"/>
  <c r="N21" i="10"/>
  <c r="Q21" i="10" s="1"/>
  <c r="T21" i="10" s="1"/>
  <c r="O21" i="10"/>
  <c r="R21" i="10" s="1"/>
  <c r="U21" i="10" s="1"/>
  <c r="P20" i="9"/>
  <c r="O20" i="9"/>
  <c r="N20" i="9"/>
  <c r="I21" i="9"/>
  <c r="K21" i="9" s="1"/>
  <c r="L21" i="9" s="1"/>
  <c r="M21" i="9"/>
  <c r="J23" i="9"/>
  <c r="G22" i="9"/>
  <c r="R95" i="9" l="1"/>
  <c r="U95" i="9" s="1"/>
  <c r="S95" i="9"/>
  <c r="V95" i="9" s="1"/>
  <c r="Q95" i="9"/>
  <c r="T95" i="9" s="1"/>
  <c r="N96" i="9"/>
  <c r="P96" i="9"/>
  <c r="O96" i="9"/>
  <c r="J99" i="9"/>
  <c r="G98" i="9"/>
  <c r="M97" i="9"/>
  <c r="I97" i="9"/>
  <c r="K97" i="9" s="1"/>
  <c r="L97" i="9" s="1"/>
  <c r="G24" i="15"/>
  <c r="J25" i="15"/>
  <c r="M23" i="15"/>
  <c r="I23" i="15"/>
  <c r="K23" i="15" s="1"/>
  <c r="L23" i="15" s="1"/>
  <c r="P22" i="15"/>
  <c r="S22" i="15" s="1"/>
  <c r="V22" i="15" s="1"/>
  <c r="N22" i="15"/>
  <c r="Q22" i="15" s="1"/>
  <c r="T22" i="15" s="1"/>
  <c r="O22" i="15"/>
  <c r="R22" i="15" s="1"/>
  <c r="U22" i="15" s="1"/>
  <c r="J25" i="14"/>
  <c r="G24" i="14"/>
  <c r="I23" i="14"/>
  <c r="K23" i="14" s="1"/>
  <c r="L23" i="14" s="1"/>
  <c r="M23" i="14"/>
  <c r="P22" i="14"/>
  <c r="O22" i="14"/>
  <c r="N22" i="14"/>
  <c r="Q22" i="14" s="1"/>
  <c r="T22" i="14" s="1"/>
  <c r="R22" i="14"/>
  <c r="U22" i="14" s="1"/>
  <c r="S22" i="14"/>
  <c r="V22" i="14" s="1"/>
  <c r="J25" i="13"/>
  <c r="G24" i="13"/>
  <c r="I23" i="13"/>
  <c r="K23" i="13" s="1"/>
  <c r="L23" i="13" s="1"/>
  <c r="M23" i="13"/>
  <c r="P22" i="13"/>
  <c r="S22" i="13" s="1"/>
  <c r="V22" i="13" s="1"/>
  <c r="O22" i="13"/>
  <c r="N22" i="13"/>
  <c r="Q22" i="13"/>
  <c r="T22" i="13" s="1"/>
  <c r="R22" i="13"/>
  <c r="U22" i="13" s="1"/>
  <c r="G24" i="12"/>
  <c r="J25" i="12"/>
  <c r="I23" i="12"/>
  <c r="K23" i="12" s="1"/>
  <c r="L23" i="12" s="1"/>
  <c r="M23" i="12"/>
  <c r="P22" i="12"/>
  <c r="O22" i="12"/>
  <c r="N22" i="12"/>
  <c r="Q22" i="12" s="1"/>
  <c r="T22" i="12" s="1"/>
  <c r="R22" i="12"/>
  <c r="U22" i="12" s="1"/>
  <c r="S22" i="12"/>
  <c r="V22" i="12" s="1"/>
  <c r="N22" i="11"/>
  <c r="P22" i="11"/>
  <c r="O22" i="11"/>
  <c r="S22" i="11"/>
  <c r="V22" i="11" s="1"/>
  <c r="Q22" i="11"/>
  <c r="T22" i="11" s="1"/>
  <c r="R22" i="11"/>
  <c r="U22" i="11" s="1"/>
  <c r="G24" i="11"/>
  <c r="J25" i="11"/>
  <c r="M23" i="11"/>
  <c r="I23" i="11"/>
  <c r="K23" i="11" s="1"/>
  <c r="L23" i="11" s="1"/>
  <c r="M23" i="10"/>
  <c r="I23" i="10"/>
  <c r="K23" i="10" s="1"/>
  <c r="L23" i="10" s="1"/>
  <c r="G24" i="10"/>
  <c r="J25" i="10"/>
  <c r="O22" i="10"/>
  <c r="N22" i="10"/>
  <c r="P22" i="10"/>
  <c r="R22" i="10"/>
  <c r="U22" i="10" s="1"/>
  <c r="Q22" i="10"/>
  <c r="T22" i="10" s="1"/>
  <c r="S22" i="10"/>
  <c r="V22" i="10" s="1"/>
  <c r="P21" i="9"/>
  <c r="O21" i="9"/>
  <c r="N21" i="9"/>
  <c r="I22" i="9"/>
  <c r="K22" i="9" s="1"/>
  <c r="L22" i="9" s="1"/>
  <c r="M22" i="9"/>
  <c r="J24" i="9"/>
  <c r="G23" i="9"/>
  <c r="Q96" i="9" l="1"/>
  <c r="T96" i="9" s="1"/>
  <c r="C3" i="16" a="1"/>
  <c r="S96" i="9"/>
  <c r="V96" i="9" s="1"/>
  <c r="R96" i="9"/>
  <c r="U96" i="9" s="1"/>
  <c r="J100" i="9"/>
  <c r="G99" i="9"/>
  <c r="I98" i="9"/>
  <c r="K98" i="9" s="1"/>
  <c r="L98" i="9" s="1"/>
  <c r="M98" i="9"/>
  <c r="P97" i="9"/>
  <c r="S97" i="9" s="1"/>
  <c r="V97" i="9" s="1"/>
  <c r="O97" i="9"/>
  <c r="N97" i="9"/>
  <c r="M24" i="15"/>
  <c r="I24" i="15"/>
  <c r="K24" i="15" s="1"/>
  <c r="L24" i="15" s="1"/>
  <c r="J26" i="15"/>
  <c r="G25" i="15"/>
  <c r="N23" i="15"/>
  <c r="Q23" i="15" s="1"/>
  <c r="T23" i="15" s="1"/>
  <c r="P23" i="15"/>
  <c r="S23" i="15" s="1"/>
  <c r="V23" i="15" s="1"/>
  <c r="O23" i="15"/>
  <c r="R23" i="15" s="1"/>
  <c r="U23" i="15" s="1"/>
  <c r="J26" i="14"/>
  <c r="G25" i="14"/>
  <c r="I24" i="14"/>
  <c r="K24" i="14" s="1"/>
  <c r="L24" i="14" s="1"/>
  <c r="M24" i="14"/>
  <c r="P23" i="14"/>
  <c r="O23" i="14"/>
  <c r="N23" i="14"/>
  <c r="Q23" i="14" s="1"/>
  <c r="T23" i="14" s="1"/>
  <c r="R23" i="14"/>
  <c r="U23" i="14" s="1"/>
  <c r="S23" i="14"/>
  <c r="V23" i="14" s="1"/>
  <c r="G25" i="13"/>
  <c r="J26" i="13"/>
  <c r="I24" i="13"/>
  <c r="K24" i="13" s="1"/>
  <c r="L24" i="13" s="1"/>
  <c r="M24" i="13"/>
  <c r="P23" i="13"/>
  <c r="O23" i="13"/>
  <c r="N23" i="13"/>
  <c r="Q23" i="13"/>
  <c r="T23" i="13" s="1"/>
  <c r="R23" i="13"/>
  <c r="U23" i="13" s="1"/>
  <c r="S23" i="13"/>
  <c r="V23" i="13" s="1"/>
  <c r="I24" i="12"/>
  <c r="K24" i="12" s="1"/>
  <c r="L24" i="12" s="1"/>
  <c r="M24" i="12"/>
  <c r="J26" i="12"/>
  <c r="G25" i="12"/>
  <c r="P23" i="12"/>
  <c r="O23" i="12"/>
  <c r="N23" i="12"/>
  <c r="Q23" i="12"/>
  <c r="T23" i="12" s="1"/>
  <c r="R23" i="12"/>
  <c r="U23" i="12" s="1"/>
  <c r="S23" i="12"/>
  <c r="V23" i="12" s="1"/>
  <c r="I24" i="11"/>
  <c r="K24" i="11" s="1"/>
  <c r="L24" i="11" s="1"/>
  <c r="M24" i="11"/>
  <c r="J26" i="11"/>
  <c r="G25" i="11"/>
  <c r="N23" i="11"/>
  <c r="Q23" i="11" s="1"/>
  <c r="T23" i="11" s="1"/>
  <c r="O23" i="11"/>
  <c r="R23" i="11" s="1"/>
  <c r="U23" i="11" s="1"/>
  <c r="P23" i="11"/>
  <c r="S23" i="11" s="1"/>
  <c r="V23" i="11" s="1"/>
  <c r="P23" i="10"/>
  <c r="S23" i="10" s="1"/>
  <c r="V23" i="10" s="1"/>
  <c r="N23" i="10"/>
  <c r="Q23" i="10" s="1"/>
  <c r="T23" i="10" s="1"/>
  <c r="O23" i="10"/>
  <c r="R23" i="10" s="1"/>
  <c r="U23" i="10" s="1"/>
  <c r="M24" i="10"/>
  <c r="I24" i="10"/>
  <c r="K24" i="10" s="1"/>
  <c r="L24" i="10" s="1"/>
  <c r="G25" i="10"/>
  <c r="J26" i="10"/>
  <c r="P22" i="9"/>
  <c r="O22" i="9"/>
  <c r="N22" i="9"/>
  <c r="I23" i="9"/>
  <c r="K23" i="9" s="1"/>
  <c r="L23" i="9" s="1"/>
  <c r="M23" i="9"/>
  <c r="J25" i="9"/>
  <c r="G24" i="9"/>
  <c r="R97" i="9" l="1"/>
  <c r="U97" i="9" s="1"/>
  <c r="Q97" i="9"/>
  <c r="T97" i="9" s="1"/>
  <c r="J101" i="9"/>
  <c r="G100" i="9"/>
  <c r="I99" i="9"/>
  <c r="K99" i="9" s="1"/>
  <c r="L99" i="9" s="1"/>
  <c r="M99" i="9"/>
  <c r="O98" i="9"/>
  <c r="P98" i="9"/>
  <c r="N98" i="9"/>
  <c r="S98" i="9"/>
  <c r="V98" i="9" s="1"/>
  <c r="Q98" i="9"/>
  <c r="T98" i="9" s="1"/>
  <c r="P24" i="15"/>
  <c r="S24" i="15" s="1"/>
  <c r="V24" i="15" s="1"/>
  <c r="N24" i="15"/>
  <c r="Q24" i="15" s="1"/>
  <c r="T24" i="15" s="1"/>
  <c r="O24" i="15"/>
  <c r="R24" i="15" s="1"/>
  <c r="U24" i="15" s="1"/>
  <c r="J27" i="15"/>
  <c r="G26" i="15"/>
  <c r="I25" i="15"/>
  <c r="K25" i="15" s="1"/>
  <c r="L25" i="15" s="1"/>
  <c r="M25" i="15"/>
  <c r="J27" i="14"/>
  <c r="G26" i="14"/>
  <c r="I25" i="14"/>
  <c r="K25" i="14" s="1"/>
  <c r="L25" i="14" s="1"/>
  <c r="M25" i="14"/>
  <c r="P24" i="14"/>
  <c r="O24" i="14"/>
  <c r="N24" i="14"/>
  <c r="Q24" i="14"/>
  <c r="T24" i="14" s="1"/>
  <c r="R24" i="14"/>
  <c r="U24" i="14" s="1"/>
  <c r="S24" i="14"/>
  <c r="V24" i="14" s="1"/>
  <c r="M25" i="13"/>
  <c r="I25" i="13"/>
  <c r="K25" i="13" s="1"/>
  <c r="L25" i="13" s="1"/>
  <c r="G26" i="13"/>
  <c r="J27" i="13"/>
  <c r="P24" i="13"/>
  <c r="O24" i="13"/>
  <c r="N24" i="13"/>
  <c r="Q24" i="13" s="1"/>
  <c r="T24" i="13" s="1"/>
  <c r="R24" i="13"/>
  <c r="U24" i="13" s="1"/>
  <c r="S24" i="13"/>
  <c r="V24" i="13" s="1"/>
  <c r="N24" i="12"/>
  <c r="Q24" i="12" s="1"/>
  <c r="T24" i="12" s="1"/>
  <c r="P24" i="12"/>
  <c r="S24" i="12" s="1"/>
  <c r="V24" i="12" s="1"/>
  <c r="O24" i="12"/>
  <c r="R24" i="12" s="1"/>
  <c r="U24" i="12" s="1"/>
  <c r="G26" i="12"/>
  <c r="J27" i="12"/>
  <c r="I25" i="12"/>
  <c r="K25" i="12" s="1"/>
  <c r="L25" i="12" s="1"/>
  <c r="M25" i="12"/>
  <c r="P24" i="11"/>
  <c r="S24" i="11" s="1"/>
  <c r="V24" i="11" s="1"/>
  <c r="N24" i="11"/>
  <c r="O24" i="11"/>
  <c r="Q24" i="11"/>
  <c r="T24" i="11" s="1"/>
  <c r="R24" i="11"/>
  <c r="U24" i="11" s="1"/>
  <c r="J27" i="11"/>
  <c r="G26" i="11"/>
  <c r="I25" i="11"/>
  <c r="K25" i="11" s="1"/>
  <c r="L25" i="11" s="1"/>
  <c r="M25" i="11"/>
  <c r="N24" i="10"/>
  <c r="Q24" i="10" s="1"/>
  <c r="T24" i="10" s="1"/>
  <c r="P24" i="10"/>
  <c r="S24" i="10" s="1"/>
  <c r="V24" i="10" s="1"/>
  <c r="O24" i="10"/>
  <c r="R24" i="10" s="1"/>
  <c r="U24" i="10" s="1"/>
  <c r="M25" i="10"/>
  <c r="I25" i="10"/>
  <c r="K25" i="10" s="1"/>
  <c r="L25" i="10" s="1"/>
  <c r="G26" i="10"/>
  <c r="J27" i="10"/>
  <c r="P23" i="9"/>
  <c r="O23" i="9"/>
  <c r="N23" i="9"/>
  <c r="I24" i="9"/>
  <c r="K24" i="9" s="1"/>
  <c r="L24" i="9" s="1"/>
  <c r="M24" i="9"/>
  <c r="J26" i="9"/>
  <c r="G25" i="9"/>
  <c r="R98" i="9" l="1"/>
  <c r="U98" i="9" s="1"/>
  <c r="J102" i="9"/>
  <c r="G101" i="9"/>
  <c r="M100" i="9"/>
  <c r="I100" i="9"/>
  <c r="K100" i="9" s="1"/>
  <c r="L100" i="9" s="1"/>
  <c r="P99" i="9"/>
  <c r="O99" i="9"/>
  <c r="R99" i="9" s="1"/>
  <c r="U99" i="9" s="1"/>
  <c r="N99" i="9"/>
  <c r="Q99" i="9"/>
  <c r="T99" i="9" s="1"/>
  <c r="S99" i="9"/>
  <c r="V99" i="9" s="1"/>
  <c r="J28" i="15"/>
  <c r="G27" i="15"/>
  <c r="I26" i="15"/>
  <c r="K26" i="15" s="1"/>
  <c r="L26" i="15" s="1"/>
  <c r="M26" i="15"/>
  <c r="N25" i="15"/>
  <c r="Q25" i="15" s="1"/>
  <c r="T25" i="15" s="1"/>
  <c r="P25" i="15"/>
  <c r="S25" i="15" s="1"/>
  <c r="V25" i="15" s="1"/>
  <c r="O25" i="15"/>
  <c r="R25" i="15" s="1"/>
  <c r="U25" i="15" s="1"/>
  <c r="J28" i="14"/>
  <c r="G27" i="14"/>
  <c r="I26" i="14"/>
  <c r="K26" i="14" s="1"/>
  <c r="L26" i="14" s="1"/>
  <c r="M26" i="14"/>
  <c r="P25" i="14"/>
  <c r="O25" i="14"/>
  <c r="N25" i="14"/>
  <c r="Q25" i="14" s="1"/>
  <c r="T25" i="14" s="1"/>
  <c r="R25" i="14"/>
  <c r="U25" i="14" s="1"/>
  <c r="S25" i="14"/>
  <c r="V25" i="14" s="1"/>
  <c r="P25" i="13"/>
  <c r="S25" i="13" s="1"/>
  <c r="V25" i="13" s="1"/>
  <c r="N25" i="13"/>
  <c r="Q25" i="13" s="1"/>
  <c r="T25" i="13" s="1"/>
  <c r="O25" i="13"/>
  <c r="R25" i="13" s="1"/>
  <c r="U25" i="13" s="1"/>
  <c r="I26" i="13"/>
  <c r="K26" i="13" s="1"/>
  <c r="L26" i="13" s="1"/>
  <c r="M26" i="13"/>
  <c r="J28" i="13"/>
  <c r="G27" i="13"/>
  <c r="M26" i="12"/>
  <c r="I26" i="12"/>
  <c r="K26" i="12" s="1"/>
  <c r="L26" i="12" s="1"/>
  <c r="G27" i="12"/>
  <c r="J28" i="12"/>
  <c r="N25" i="12"/>
  <c r="P25" i="12"/>
  <c r="O25" i="12"/>
  <c r="Q25" i="12"/>
  <c r="T25" i="12" s="1"/>
  <c r="R25" i="12"/>
  <c r="U25" i="12" s="1"/>
  <c r="S25" i="12"/>
  <c r="V25" i="12" s="1"/>
  <c r="J28" i="11"/>
  <c r="G27" i="11"/>
  <c r="I26" i="11"/>
  <c r="K26" i="11" s="1"/>
  <c r="L26" i="11" s="1"/>
  <c r="M26" i="11"/>
  <c r="O25" i="11"/>
  <c r="P25" i="11"/>
  <c r="N25" i="11"/>
  <c r="S25" i="11"/>
  <c r="V25" i="11" s="1"/>
  <c r="Q25" i="11"/>
  <c r="T25" i="11" s="1"/>
  <c r="R25" i="11"/>
  <c r="U25" i="11" s="1"/>
  <c r="P25" i="10"/>
  <c r="S25" i="10" s="1"/>
  <c r="V25" i="10" s="1"/>
  <c r="O25" i="10"/>
  <c r="R25" i="10" s="1"/>
  <c r="U25" i="10" s="1"/>
  <c r="N25" i="10"/>
  <c r="Q25" i="10" s="1"/>
  <c r="T25" i="10" s="1"/>
  <c r="I26" i="10"/>
  <c r="K26" i="10" s="1"/>
  <c r="L26" i="10" s="1"/>
  <c r="M26" i="10"/>
  <c r="J28" i="10"/>
  <c r="G27" i="10"/>
  <c r="P24" i="9"/>
  <c r="O24" i="9"/>
  <c r="N24" i="9"/>
  <c r="I25" i="9"/>
  <c r="K25" i="9" s="1"/>
  <c r="L25" i="9" s="1"/>
  <c r="M25" i="9"/>
  <c r="J27" i="9"/>
  <c r="G26" i="9"/>
  <c r="C4" i="16" l="1" a="1"/>
  <c r="J103" i="9"/>
  <c r="G102" i="9"/>
  <c r="M101" i="9"/>
  <c r="I101" i="9"/>
  <c r="K101" i="9" s="1"/>
  <c r="L101" i="9" s="1"/>
  <c r="O100" i="9"/>
  <c r="P100" i="9"/>
  <c r="N100" i="9"/>
  <c r="J29" i="15"/>
  <c r="G28" i="15"/>
  <c r="I27" i="15"/>
  <c r="K27" i="15" s="1"/>
  <c r="L27" i="15" s="1"/>
  <c r="M27" i="15"/>
  <c r="N26" i="15"/>
  <c r="Q26" i="15" s="1"/>
  <c r="T26" i="15" s="1"/>
  <c r="O26" i="15"/>
  <c r="R26" i="15" s="1"/>
  <c r="U26" i="15" s="1"/>
  <c r="P26" i="15"/>
  <c r="S26" i="15" s="1"/>
  <c r="V26" i="15" s="1"/>
  <c r="G28" i="14"/>
  <c r="J29" i="14"/>
  <c r="I27" i="14"/>
  <c r="K27" i="14" s="1"/>
  <c r="L27" i="14" s="1"/>
  <c r="M27" i="14"/>
  <c r="P26" i="14"/>
  <c r="S26" i="14" s="1"/>
  <c r="V26" i="14" s="1"/>
  <c r="O26" i="14"/>
  <c r="R26" i="14" s="1"/>
  <c r="U26" i="14" s="1"/>
  <c r="N26" i="14"/>
  <c r="Q26" i="14" s="1"/>
  <c r="T26" i="14" s="1"/>
  <c r="N26" i="13"/>
  <c r="P26" i="13"/>
  <c r="O26" i="13"/>
  <c r="Q26" i="13"/>
  <c r="T26" i="13" s="1"/>
  <c r="R26" i="13"/>
  <c r="U26" i="13" s="1"/>
  <c r="S26" i="13"/>
  <c r="V26" i="13" s="1"/>
  <c r="G28" i="13"/>
  <c r="J29" i="13"/>
  <c r="M27" i="13"/>
  <c r="I27" i="13"/>
  <c r="K27" i="13" s="1"/>
  <c r="L27" i="13" s="1"/>
  <c r="P26" i="12"/>
  <c r="S26" i="12" s="1"/>
  <c r="V26" i="12" s="1"/>
  <c r="N26" i="12"/>
  <c r="Q26" i="12" s="1"/>
  <c r="T26" i="12" s="1"/>
  <c r="O26" i="12"/>
  <c r="R26" i="12" s="1"/>
  <c r="U26" i="12" s="1"/>
  <c r="I27" i="12"/>
  <c r="K27" i="12" s="1"/>
  <c r="L27" i="12" s="1"/>
  <c r="M27" i="12"/>
  <c r="G28" i="12"/>
  <c r="J29" i="12"/>
  <c r="G28" i="11"/>
  <c r="J29" i="11"/>
  <c r="I27" i="11"/>
  <c r="K27" i="11" s="1"/>
  <c r="L27" i="11" s="1"/>
  <c r="M27" i="11"/>
  <c r="P26" i="11"/>
  <c r="O26" i="11"/>
  <c r="N26" i="11"/>
  <c r="S26" i="11"/>
  <c r="V26" i="11" s="1"/>
  <c r="R26" i="11"/>
  <c r="U26" i="11" s="1"/>
  <c r="Q26" i="11"/>
  <c r="T26" i="11" s="1"/>
  <c r="P26" i="10"/>
  <c r="O26" i="10"/>
  <c r="N26" i="10"/>
  <c r="S26" i="10"/>
  <c r="V26" i="10" s="1"/>
  <c r="Q26" i="10"/>
  <c r="T26" i="10" s="1"/>
  <c r="R26" i="10"/>
  <c r="U26" i="10" s="1"/>
  <c r="J29" i="10"/>
  <c r="G28" i="10"/>
  <c r="M27" i="10"/>
  <c r="I27" i="10"/>
  <c r="K27" i="10" s="1"/>
  <c r="L27" i="10" s="1"/>
  <c r="P25" i="9"/>
  <c r="O25" i="9"/>
  <c r="N25" i="9"/>
  <c r="I26" i="9"/>
  <c r="K26" i="9" s="1"/>
  <c r="L26" i="9" s="1"/>
  <c r="M26" i="9"/>
  <c r="J28" i="9"/>
  <c r="G27" i="9"/>
  <c r="R100" i="9" l="1"/>
  <c r="U100" i="9" s="1"/>
  <c r="S100" i="9"/>
  <c r="V100" i="9" s="1"/>
  <c r="Q100" i="9"/>
  <c r="T100" i="9" s="1"/>
  <c r="J104" i="9"/>
  <c r="G103" i="9"/>
  <c r="M102" i="9"/>
  <c r="I102" i="9"/>
  <c r="K102" i="9" s="1"/>
  <c r="L102" i="9" s="1"/>
  <c r="P101" i="9"/>
  <c r="S101" i="9" s="1"/>
  <c r="V101" i="9" s="1"/>
  <c r="O101" i="9"/>
  <c r="N101" i="9"/>
  <c r="J30" i="15"/>
  <c r="G29" i="15"/>
  <c r="I28" i="15"/>
  <c r="K28" i="15" s="1"/>
  <c r="L28" i="15" s="1"/>
  <c r="M28" i="15"/>
  <c r="O27" i="15"/>
  <c r="R27" i="15" s="1"/>
  <c r="U27" i="15" s="1"/>
  <c r="P27" i="15"/>
  <c r="S27" i="15" s="1"/>
  <c r="V27" i="15" s="1"/>
  <c r="N27" i="15"/>
  <c r="Q27" i="15"/>
  <c r="T27" i="15" s="1"/>
  <c r="I28" i="14"/>
  <c r="K28" i="14" s="1"/>
  <c r="L28" i="14" s="1"/>
  <c r="M28" i="14"/>
  <c r="J30" i="14"/>
  <c r="G29" i="14"/>
  <c r="O27" i="14"/>
  <c r="P27" i="14"/>
  <c r="N27" i="14"/>
  <c r="R27" i="14"/>
  <c r="U27" i="14" s="1"/>
  <c r="Q27" i="14"/>
  <c r="T27" i="14" s="1"/>
  <c r="S27" i="14"/>
  <c r="V27" i="14" s="1"/>
  <c r="I28" i="13"/>
  <c r="K28" i="13" s="1"/>
  <c r="L28" i="13" s="1"/>
  <c r="M28" i="13"/>
  <c r="J30" i="13"/>
  <c r="G29" i="13"/>
  <c r="P27" i="13"/>
  <c r="S27" i="13" s="1"/>
  <c r="V27" i="13" s="1"/>
  <c r="N27" i="13"/>
  <c r="Q27" i="13" s="1"/>
  <c r="T27" i="13" s="1"/>
  <c r="O27" i="13"/>
  <c r="R27" i="13" s="1"/>
  <c r="U27" i="13" s="1"/>
  <c r="P27" i="12"/>
  <c r="N27" i="12"/>
  <c r="O27" i="12"/>
  <c r="R27" i="12"/>
  <c r="U27" i="12" s="1"/>
  <c r="S27" i="12"/>
  <c r="V27" i="12" s="1"/>
  <c r="Q27" i="12"/>
  <c r="T27" i="12" s="1"/>
  <c r="I28" i="12"/>
  <c r="K28" i="12" s="1"/>
  <c r="L28" i="12" s="1"/>
  <c r="M28" i="12"/>
  <c r="G29" i="12"/>
  <c r="J30" i="12"/>
  <c r="M28" i="11"/>
  <c r="I28" i="11"/>
  <c r="K28" i="11" s="1"/>
  <c r="L28" i="11" s="1"/>
  <c r="J30" i="11"/>
  <c r="G29" i="11"/>
  <c r="O27" i="11"/>
  <c r="N27" i="11"/>
  <c r="P27" i="11"/>
  <c r="S27" i="11"/>
  <c r="V27" i="11" s="1"/>
  <c r="Q27" i="11"/>
  <c r="T27" i="11" s="1"/>
  <c r="R27" i="11"/>
  <c r="U27" i="11" s="1"/>
  <c r="J30" i="10"/>
  <c r="G29" i="10"/>
  <c r="I28" i="10"/>
  <c r="K28" i="10" s="1"/>
  <c r="L28" i="10" s="1"/>
  <c r="M28" i="10"/>
  <c r="O27" i="10"/>
  <c r="R27" i="10" s="1"/>
  <c r="U27" i="10" s="1"/>
  <c r="N27" i="10"/>
  <c r="Q27" i="10" s="1"/>
  <c r="T27" i="10" s="1"/>
  <c r="P27" i="10"/>
  <c r="S27" i="10" s="1"/>
  <c r="V27" i="10" s="1"/>
  <c r="P26" i="9"/>
  <c r="O26" i="9"/>
  <c r="N26" i="9"/>
  <c r="I27" i="9"/>
  <c r="K27" i="9" s="1"/>
  <c r="L27" i="9" s="1"/>
  <c r="M27" i="9"/>
  <c r="J29" i="9"/>
  <c r="G28" i="9"/>
  <c r="R101" i="9" l="1"/>
  <c r="U101" i="9" s="1"/>
  <c r="Q101" i="9"/>
  <c r="T101" i="9" s="1"/>
  <c r="G104" i="9"/>
  <c r="J105" i="9"/>
  <c r="I103" i="9"/>
  <c r="K103" i="9" s="1"/>
  <c r="L103" i="9" s="1"/>
  <c r="M103" i="9"/>
  <c r="N102" i="9"/>
  <c r="O102" i="9"/>
  <c r="P102" i="9"/>
  <c r="G30" i="15"/>
  <c r="J31" i="15"/>
  <c r="M29" i="15"/>
  <c r="I29" i="15"/>
  <c r="K29" i="15" s="1"/>
  <c r="L29" i="15" s="1"/>
  <c r="O28" i="15"/>
  <c r="R28" i="15" s="1"/>
  <c r="U28" i="15" s="1"/>
  <c r="P28" i="15"/>
  <c r="S28" i="15" s="1"/>
  <c r="V28" i="15" s="1"/>
  <c r="N28" i="15"/>
  <c r="Q28" i="15" s="1"/>
  <c r="T28" i="15" s="1"/>
  <c r="N28" i="14"/>
  <c r="O28" i="14"/>
  <c r="P28" i="14"/>
  <c r="R28" i="14"/>
  <c r="U28" i="14" s="1"/>
  <c r="Q28" i="14"/>
  <c r="T28" i="14" s="1"/>
  <c r="S28" i="14"/>
  <c r="V28" i="14" s="1"/>
  <c r="J31" i="14"/>
  <c r="G30" i="14"/>
  <c r="M29" i="14"/>
  <c r="I29" i="14"/>
  <c r="K29" i="14" s="1"/>
  <c r="L29" i="14" s="1"/>
  <c r="O28" i="13"/>
  <c r="R28" i="13" s="1"/>
  <c r="U28" i="13" s="1"/>
  <c r="P28" i="13"/>
  <c r="S28" i="13" s="1"/>
  <c r="V28" i="13" s="1"/>
  <c r="N28" i="13"/>
  <c r="Q28" i="13" s="1"/>
  <c r="T28" i="13" s="1"/>
  <c r="G30" i="13"/>
  <c r="J31" i="13"/>
  <c r="I29" i="13"/>
  <c r="K29" i="13" s="1"/>
  <c r="L29" i="13" s="1"/>
  <c r="M29" i="13"/>
  <c r="O28" i="12"/>
  <c r="N28" i="12"/>
  <c r="P28" i="12"/>
  <c r="Q28" i="12"/>
  <c r="T28" i="12" s="1"/>
  <c r="R28" i="12"/>
  <c r="U28" i="12" s="1"/>
  <c r="S28" i="12"/>
  <c r="V28" i="12" s="1"/>
  <c r="I29" i="12"/>
  <c r="K29" i="12" s="1"/>
  <c r="L29" i="12" s="1"/>
  <c r="M29" i="12"/>
  <c r="J31" i="12"/>
  <c r="G30" i="12"/>
  <c r="P28" i="11"/>
  <c r="S28" i="11" s="1"/>
  <c r="V28" i="11" s="1"/>
  <c r="N28" i="11"/>
  <c r="Q28" i="11" s="1"/>
  <c r="T28" i="11" s="1"/>
  <c r="O28" i="11"/>
  <c r="R28" i="11" s="1"/>
  <c r="U28" i="11" s="1"/>
  <c r="J31" i="11"/>
  <c r="G30" i="11"/>
  <c r="I29" i="11"/>
  <c r="K29" i="11" s="1"/>
  <c r="L29" i="11" s="1"/>
  <c r="M29" i="11"/>
  <c r="J31" i="10"/>
  <c r="G30" i="10"/>
  <c r="I29" i="10"/>
  <c r="K29" i="10" s="1"/>
  <c r="L29" i="10" s="1"/>
  <c r="M29" i="10"/>
  <c r="P28" i="10"/>
  <c r="S28" i="10" s="1"/>
  <c r="V28" i="10" s="1"/>
  <c r="O28" i="10"/>
  <c r="R28" i="10" s="1"/>
  <c r="U28" i="10" s="1"/>
  <c r="N28" i="10"/>
  <c r="Q28" i="10" s="1"/>
  <c r="T28" i="10" s="1"/>
  <c r="P27" i="9"/>
  <c r="O27" i="9"/>
  <c r="N27" i="9"/>
  <c r="I28" i="9"/>
  <c r="K28" i="9" s="1"/>
  <c r="L28" i="9" s="1"/>
  <c r="M28" i="9"/>
  <c r="J30" i="9"/>
  <c r="G29" i="9"/>
  <c r="Q102" i="9" l="1"/>
  <c r="T102" i="9" s="1"/>
  <c r="R102" i="9"/>
  <c r="U102" i="9" s="1"/>
  <c r="S102" i="9"/>
  <c r="V102" i="9" s="1"/>
  <c r="I104" i="9"/>
  <c r="K104" i="9" s="1"/>
  <c r="L104" i="9" s="1"/>
  <c r="M104" i="9"/>
  <c r="J106" i="9"/>
  <c r="G105" i="9"/>
  <c r="O103" i="9"/>
  <c r="P103" i="9"/>
  <c r="N103" i="9"/>
  <c r="R103" i="9"/>
  <c r="U103" i="9" s="1"/>
  <c r="S103" i="9"/>
  <c r="V103" i="9" s="1"/>
  <c r="M30" i="15"/>
  <c r="I30" i="15"/>
  <c r="K30" i="15" s="1"/>
  <c r="L30" i="15" s="1"/>
  <c r="J32" i="15"/>
  <c r="G31" i="15"/>
  <c r="P29" i="15"/>
  <c r="S29" i="15" s="1"/>
  <c r="V29" i="15" s="1"/>
  <c r="N29" i="15"/>
  <c r="Q29" i="15" s="1"/>
  <c r="T29" i="15" s="1"/>
  <c r="O29" i="15"/>
  <c r="R29" i="15" s="1"/>
  <c r="U29" i="15" s="1"/>
  <c r="G31" i="14"/>
  <c r="J32" i="14"/>
  <c r="I30" i="14"/>
  <c r="K30" i="14" s="1"/>
  <c r="L30" i="14" s="1"/>
  <c r="M30" i="14"/>
  <c r="N29" i="14"/>
  <c r="Q29" i="14" s="1"/>
  <c r="T29" i="14" s="1"/>
  <c r="O29" i="14"/>
  <c r="R29" i="14" s="1"/>
  <c r="U29" i="14" s="1"/>
  <c r="P29" i="14"/>
  <c r="S29" i="14" s="1"/>
  <c r="V29" i="14" s="1"/>
  <c r="M30" i="13"/>
  <c r="I30" i="13"/>
  <c r="K30" i="13" s="1"/>
  <c r="L30" i="13" s="1"/>
  <c r="J32" i="13"/>
  <c r="G31" i="13"/>
  <c r="P29" i="13"/>
  <c r="N29" i="13"/>
  <c r="O29" i="13"/>
  <c r="R29" i="13"/>
  <c r="U29" i="13" s="1"/>
  <c r="S29" i="13"/>
  <c r="V29" i="13" s="1"/>
  <c r="Q29" i="13"/>
  <c r="T29" i="13" s="1"/>
  <c r="N29" i="12"/>
  <c r="O29" i="12"/>
  <c r="P29" i="12"/>
  <c r="R29" i="12"/>
  <c r="U29" i="12" s="1"/>
  <c r="S29" i="12"/>
  <c r="V29" i="12" s="1"/>
  <c r="Q29" i="12"/>
  <c r="T29" i="12" s="1"/>
  <c r="J32" i="12"/>
  <c r="G31" i="12"/>
  <c r="M30" i="12"/>
  <c r="I30" i="12"/>
  <c r="K30" i="12" s="1"/>
  <c r="L30" i="12" s="1"/>
  <c r="J32" i="11"/>
  <c r="G31" i="11"/>
  <c r="I30" i="11"/>
  <c r="K30" i="11" s="1"/>
  <c r="L30" i="11" s="1"/>
  <c r="M30" i="11"/>
  <c r="P29" i="11"/>
  <c r="O29" i="11"/>
  <c r="N29" i="11"/>
  <c r="Q29" i="11" s="1"/>
  <c r="T29" i="11" s="1"/>
  <c r="S29" i="11"/>
  <c r="V29" i="11" s="1"/>
  <c r="R29" i="11"/>
  <c r="U29" i="11" s="1"/>
  <c r="J32" i="10"/>
  <c r="G31" i="10"/>
  <c r="I30" i="10"/>
  <c r="K30" i="10" s="1"/>
  <c r="L30" i="10" s="1"/>
  <c r="M30" i="10"/>
  <c r="P29" i="10"/>
  <c r="O29" i="10"/>
  <c r="R29" i="10" s="1"/>
  <c r="U29" i="10" s="1"/>
  <c r="N29" i="10"/>
  <c r="Q29" i="10" s="1"/>
  <c r="T29" i="10" s="1"/>
  <c r="S29" i="10"/>
  <c r="V29" i="10" s="1"/>
  <c r="P28" i="9"/>
  <c r="O28" i="9"/>
  <c r="N28" i="9"/>
  <c r="I29" i="9"/>
  <c r="K29" i="9" s="1"/>
  <c r="L29" i="9" s="1"/>
  <c r="M29" i="9"/>
  <c r="J31" i="9"/>
  <c r="G30" i="9"/>
  <c r="Q103" i="9" l="1"/>
  <c r="T103" i="9" s="1"/>
  <c r="P104" i="9"/>
  <c r="S104" i="9" s="1"/>
  <c r="V104" i="9" s="1"/>
  <c r="N104" i="9"/>
  <c r="Q104" i="9" s="1"/>
  <c r="T104" i="9" s="1"/>
  <c r="O104" i="9"/>
  <c r="R104" i="9" s="1"/>
  <c r="U104" i="9" s="1"/>
  <c r="J107" i="9"/>
  <c r="G106" i="9"/>
  <c r="M105" i="9"/>
  <c r="I105" i="9"/>
  <c r="K105" i="9" s="1"/>
  <c r="L105" i="9" s="1"/>
  <c r="O30" i="15"/>
  <c r="R30" i="15" s="1"/>
  <c r="U30" i="15" s="1"/>
  <c r="N30" i="15"/>
  <c r="Q30" i="15" s="1"/>
  <c r="T30" i="15" s="1"/>
  <c r="P30" i="15"/>
  <c r="S30" i="15" s="1"/>
  <c r="V30" i="15" s="1"/>
  <c r="G32" i="15"/>
  <c r="J33" i="15"/>
  <c r="I31" i="15"/>
  <c r="K31" i="15" s="1"/>
  <c r="L31" i="15" s="1"/>
  <c r="M31" i="15"/>
  <c r="I31" i="14"/>
  <c r="K31" i="14" s="1"/>
  <c r="L31" i="14" s="1"/>
  <c r="M31" i="14"/>
  <c r="J33" i="14"/>
  <c r="G32" i="14"/>
  <c r="O30" i="14"/>
  <c r="N30" i="14"/>
  <c r="Q30" i="14" s="1"/>
  <c r="T30" i="14" s="1"/>
  <c r="P30" i="14"/>
  <c r="R30" i="14"/>
  <c r="U30" i="14" s="1"/>
  <c r="S30" i="14"/>
  <c r="V30" i="14" s="1"/>
  <c r="P30" i="13"/>
  <c r="S30" i="13" s="1"/>
  <c r="V30" i="13" s="1"/>
  <c r="N30" i="13"/>
  <c r="Q30" i="13" s="1"/>
  <c r="T30" i="13" s="1"/>
  <c r="O30" i="13"/>
  <c r="R30" i="13" s="1"/>
  <c r="U30" i="13" s="1"/>
  <c r="G32" i="13"/>
  <c r="J33" i="13"/>
  <c r="I31" i="13"/>
  <c r="K31" i="13" s="1"/>
  <c r="L31" i="13" s="1"/>
  <c r="M31" i="13"/>
  <c r="J33" i="12"/>
  <c r="G32" i="12"/>
  <c r="I31" i="12"/>
  <c r="K31" i="12" s="1"/>
  <c r="L31" i="12" s="1"/>
  <c r="M31" i="12"/>
  <c r="N30" i="12"/>
  <c r="Q30" i="12" s="1"/>
  <c r="T30" i="12" s="1"/>
  <c r="O30" i="12"/>
  <c r="R30" i="12" s="1"/>
  <c r="U30" i="12" s="1"/>
  <c r="P30" i="12"/>
  <c r="S30" i="12" s="1"/>
  <c r="V30" i="12" s="1"/>
  <c r="J33" i="11"/>
  <c r="G32" i="11"/>
  <c r="I31" i="11"/>
  <c r="K31" i="11" s="1"/>
  <c r="L31" i="11" s="1"/>
  <c r="M31" i="11"/>
  <c r="P30" i="11"/>
  <c r="O30" i="11"/>
  <c r="N30" i="11"/>
  <c r="Q30" i="11"/>
  <c r="T30" i="11" s="1"/>
  <c r="R30" i="11"/>
  <c r="U30" i="11" s="1"/>
  <c r="S30" i="11"/>
  <c r="V30" i="11" s="1"/>
  <c r="J33" i="10"/>
  <c r="G32" i="10"/>
  <c r="I31" i="10"/>
  <c r="K31" i="10" s="1"/>
  <c r="L31" i="10" s="1"/>
  <c r="M31" i="10"/>
  <c r="P30" i="10"/>
  <c r="S30" i="10" s="1"/>
  <c r="V30" i="10" s="1"/>
  <c r="O30" i="10"/>
  <c r="R30" i="10" s="1"/>
  <c r="U30" i="10" s="1"/>
  <c r="N30" i="10"/>
  <c r="Q30" i="10"/>
  <c r="T30" i="10" s="1"/>
  <c r="P29" i="9"/>
  <c r="O29" i="9"/>
  <c r="N29" i="9"/>
  <c r="I30" i="9"/>
  <c r="K30" i="9" s="1"/>
  <c r="L30" i="9" s="1"/>
  <c r="M30" i="9"/>
  <c r="J32" i="9"/>
  <c r="G31" i="9"/>
  <c r="J108" i="9" l="1"/>
  <c r="G107" i="9"/>
  <c r="M106" i="9"/>
  <c r="I106" i="9"/>
  <c r="K106" i="9" s="1"/>
  <c r="L106" i="9" s="1"/>
  <c r="P105" i="9"/>
  <c r="O105" i="9"/>
  <c r="N105" i="9"/>
  <c r="I32" i="15"/>
  <c r="K32" i="15" s="1"/>
  <c r="L32" i="15" s="1"/>
  <c r="M32" i="15"/>
  <c r="J34" i="15"/>
  <c r="G33" i="15"/>
  <c r="N31" i="15"/>
  <c r="Q31" i="15" s="1"/>
  <c r="T31" i="15" s="1"/>
  <c r="O31" i="15"/>
  <c r="R31" i="15" s="1"/>
  <c r="U31" i="15" s="1"/>
  <c r="P31" i="15"/>
  <c r="S31" i="15" s="1"/>
  <c r="V31" i="15" s="1"/>
  <c r="O31" i="14"/>
  <c r="P31" i="14"/>
  <c r="N31" i="14"/>
  <c r="S31" i="14"/>
  <c r="V31" i="14" s="1"/>
  <c r="R31" i="14"/>
  <c r="U31" i="14" s="1"/>
  <c r="Q31" i="14"/>
  <c r="T31" i="14" s="1"/>
  <c r="J34" i="14"/>
  <c r="G33" i="14"/>
  <c r="M32" i="14"/>
  <c r="I32" i="14"/>
  <c r="K32" i="14" s="1"/>
  <c r="L32" i="14" s="1"/>
  <c r="I32" i="13"/>
  <c r="K32" i="13" s="1"/>
  <c r="L32" i="13" s="1"/>
  <c r="M32" i="13"/>
  <c r="J34" i="13"/>
  <c r="G33" i="13"/>
  <c r="P31" i="13"/>
  <c r="O31" i="13"/>
  <c r="N31" i="13"/>
  <c r="S31" i="13"/>
  <c r="V31" i="13" s="1"/>
  <c r="R31" i="13"/>
  <c r="U31" i="13" s="1"/>
  <c r="Q31" i="13"/>
  <c r="T31" i="13" s="1"/>
  <c r="J34" i="12"/>
  <c r="G33" i="12"/>
  <c r="I32" i="12"/>
  <c r="K32" i="12" s="1"/>
  <c r="L32" i="12" s="1"/>
  <c r="M32" i="12"/>
  <c r="O31" i="12"/>
  <c r="P31" i="12"/>
  <c r="N31" i="12"/>
  <c r="Q31" i="12" s="1"/>
  <c r="T31" i="12" s="1"/>
  <c r="R31" i="12"/>
  <c r="U31" i="12" s="1"/>
  <c r="S31" i="12"/>
  <c r="V31" i="12" s="1"/>
  <c r="J34" i="11"/>
  <c r="G33" i="11"/>
  <c r="I32" i="11"/>
  <c r="K32" i="11" s="1"/>
  <c r="L32" i="11" s="1"/>
  <c r="M32" i="11"/>
  <c r="P31" i="11"/>
  <c r="O31" i="11"/>
  <c r="N31" i="11"/>
  <c r="Q31" i="11" s="1"/>
  <c r="T31" i="11" s="1"/>
  <c r="R31" i="11"/>
  <c r="U31" i="11" s="1"/>
  <c r="S31" i="11"/>
  <c r="V31" i="11" s="1"/>
  <c r="J34" i="10"/>
  <c r="G33" i="10"/>
  <c r="I32" i="10"/>
  <c r="K32" i="10" s="1"/>
  <c r="L32" i="10" s="1"/>
  <c r="M32" i="10"/>
  <c r="P31" i="10"/>
  <c r="O31" i="10"/>
  <c r="N31" i="10"/>
  <c r="Q31" i="10"/>
  <c r="T31" i="10" s="1"/>
  <c r="R31" i="10"/>
  <c r="U31" i="10" s="1"/>
  <c r="S31" i="10"/>
  <c r="V31" i="10" s="1"/>
  <c r="P30" i="9"/>
  <c r="O30" i="9"/>
  <c r="N30" i="9"/>
  <c r="I31" i="9"/>
  <c r="K31" i="9" s="1"/>
  <c r="L31" i="9" s="1"/>
  <c r="M31" i="9"/>
  <c r="J33" i="9"/>
  <c r="G32" i="9"/>
  <c r="R105" i="9" l="1"/>
  <c r="U105" i="9" s="1"/>
  <c r="S105" i="9"/>
  <c r="V105" i="9" s="1"/>
  <c r="Q105" i="9"/>
  <c r="T105" i="9" s="1"/>
  <c r="G108" i="9"/>
  <c r="J109" i="9"/>
  <c r="I107" i="9"/>
  <c r="K107" i="9" s="1"/>
  <c r="L107" i="9" s="1"/>
  <c r="M107" i="9"/>
  <c r="P106" i="9"/>
  <c r="N106" i="9"/>
  <c r="O106" i="9"/>
  <c r="O32" i="15"/>
  <c r="P32" i="15"/>
  <c r="N32" i="15"/>
  <c r="R32" i="15"/>
  <c r="U32" i="15" s="1"/>
  <c r="S32" i="15"/>
  <c r="V32" i="15" s="1"/>
  <c r="Q32" i="15"/>
  <c r="T32" i="15" s="1"/>
  <c r="J35" i="15"/>
  <c r="G34" i="15"/>
  <c r="M33" i="15"/>
  <c r="I33" i="15"/>
  <c r="K33" i="15" s="1"/>
  <c r="L33" i="15" s="1"/>
  <c r="J35" i="14"/>
  <c r="G34" i="14"/>
  <c r="I33" i="14"/>
  <c r="K33" i="14" s="1"/>
  <c r="L33" i="14" s="1"/>
  <c r="M33" i="14"/>
  <c r="P32" i="14"/>
  <c r="S32" i="14" s="1"/>
  <c r="V32" i="14" s="1"/>
  <c r="O32" i="14"/>
  <c r="R32" i="14" s="1"/>
  <c r="U32" i="14" s="1"/>
  <c r="N32" i="14"/>
  <c r="Q32" i="14" s="1"/>
  <c r="T32" i="14" s="1"/>
  <c r="N32" i="13"/>
  <c r="P32" i="13"/>
  <c r="S32" i="13" s="1"/>
  <c r="V32" i="13" s="1"/>
  <c r="O32" i="13"/>
  <c r="R32" i="13" s="1"/>
  <c r="U32" i="13" s="1"/>
  <c r="Q32" i="13"/>
  <c r="T32" i="13" s="1"/>
  <c r="J35" i="13"/>
  <c r="G34" i="13"/>
  <c r="M33" i="13"/>
  <c r="I33" i="13"/>
  <c r="K33" i="13" s="1"/>
  <c r="L33" i="13" s="1"/>
  <c r="J35" i="12"/>
  <c r="G34" i="12"/>
  <c r="I33" i="12"/>
  <c r="K33" i="12" s="1"/>
  <c r="L33" i="12" s="1"/>
  <c r="M33" i="12"/>
  <c r="P32" i="12"/>
  <c r="O32" i="12"/>
  <c r="N32" i="12"/>
  <c r="Q32" i="12"/>
  <c r="T32" i="12" s="1"/>
  <c r="R32" i="12"/>
  <c r="U32" i="12" s="1"/>
  <c r="S32" i="12"/>
  <c r="V32" i="12" s="1"/>
  <c r="J35" i="11"/>
  <c r="G34" i="11"/>
  <c r="I33" i="11"/>
  <c r="K33" i="11" s="1"/>
  <c r="L33" i="11" s="1"/>
  <c r="M33" i="11"/>
  <c r="P32" i="11"/>
  <c r="S32" i="11" s="1"/>
  <c r="V32" i="11" s="1"/>
  <c r="O32" i="11"/>
  <c r="R32" i="11" s="1"/>
  <c r="U32" i="11" s="1"/>
  <c r="N32" i="11"/>
  <c r="Q32" i="11" s="1"/>
  <c r="T32" i="11" s="1"/>
  <c r="J35" i="10"/>
  <c r="G34" i="10"/>
  <c r="I33" i="10"/>
  <c r="K33" i="10" s="1"/>
  <c r="L33" i="10" s="1"/>
  <c r="M33" i="10"/>
  <c r="P32" i="10"/>
  <c r="S32" i="10" s="1"/>
  <c r="V32" i="10" s="1"/>
  <c r="O32" i="10"/>
  <c r="R32" i="10" s="1"/>
  <c r="U32" i="10" s="1"/>
  <c r="N32" i="10"/>
  <c r="Q32" i="10" s="1"/>
  <c r="T32" i="10" s="1"/>
  <c r="P31" i="9"/>
  <c r="O31" i="9"/>
  <c r="N31" i="9"/>
  <c r="I32" i="9"/>
  <c r="K32" i="9" s="1"/>
  <c r="L32" i="9" s="1"/>
  <c r="M32" i="9"/>
  <c r="J34" i="9"/>
  <c r="G33" i="9"/>
  <c r="S106" i="9" l="1"/>
  <c r="V106" i="9" s="1"/>
  <c r="Q106" i="9"/>
  <c r="T106" i="9" s="1"/>
  <c r="R106" i="9"/>
  <c r="U106" i="9" s="1"/>
  <c r="M108" i="9"/>
  <c r="I108" i="9"/>
  <c r="K108" i="9" s="1"/>
  <c r="L108" i="9" s="1"/>
  <c r="G109" i="9"/>
  <c r="J110" i="9"/>
  <c r="P107" i="9"/>
  <c r="S107" i="9" s="1"/>
  <c r="V107" i="9" s="1"/>
  <c r="N107" i="9"/>
  <c r="O107" i="9"/>
  <c r="R107" i="9" s="1"/>
  <c r="U107" i="9" s="1"/>
  <c r="Q107" i="9"/>
  <c r="T107" i="9" s="1"/>
  <c r="G35" i="15"/>
  <c r="J36" i="15"/>
  <c r="M34" i="15"/>
  <c r="I34" i="15"/>
  <c r="K34" i="15" s="1"/>
  <c r="L34" i="15" s="1"/>
  <c r="N33" i="15"/>
  <c r="Q33" i="15" s="1"/>
  <c r="T33" i="15" s="1"/>
  <c r="O33" i="15"/>
  <c r="R33" i="15" s="1"/>
  <c r="U33" i="15" s="1"/>
  <c r="P33" i="15"/>
  <c r="S33" i="15" s="1"/>
  <c r="V33" i="15" s="1"/>
  <c r="J36" i="14"/>
  <c r="G35" i="14"/>
  <c r="I34" i="14"/>
  <c r="K34" i="14" s="1"/>
  <c r="L34" i="14" s="1"/>
  <c r="M34" i="14"/>
  <c r="P33" i="14"/>
  <c r="N33" i="14"/>
  <c r="O33" i="14"/>
  <c r="R33" i="14"/>
  <c r="U33" i="14" s="1"/>
  <c r="S33" i="14"/>
  <c r="V33" i="14" s="1"/>
  <c r="Q33" i="14"/>
  <c r="T33" i="14" s="1"/>
  <c r="J36" i="13"/>
  <c r="G35" i="13"/>
  <c r="I34" i="13"/>
  <c r="K34" i="13" s="1"/>
  <c r="L34" i="13" s="1"/>
  <c r="M34" i="13"/>
  <c r="N33" i="13"/>
  <c r="Q33" i="13" s="1"/>
  <c r="T33" i="13" s="1"/>
  <c r="O33" i="13"/>
  <c r="R33" i="13" s="1"/>
  <c r="U33" i="13" s="1"/>
  <c r="P33" i="13"/>
  <c r="S33" i="13" s="1"/>
  <c r="V33" i="13" s="1"/>
  <c r="J36" i="12"/>
  <c r="G35" i="12"/>
  <c r="I34" i="12"/>
  <c r="K34" i="12" s="1"/>
  <c r="L34" i="12" s="1"/>
  <c r="M34" i="12"/>
  <c r="P33" i="12"/>
  <c r="O33" i="12"/>
  <c r="N33" i="12"/>
  <c r="Q33" i="12"/>
  <c r="T33" i="12" s="1"/>
  <c r="R33" i="12"/>
  <c r="U33" i="12" s="1"/>
  <c r="S33" i="12"/>
  <c r="V33" i="12" s="1"/>
  <c r="J36" i="11"/>
  <c r="G35" i="11"/>
  <c r="I34" i="11"/>
  <c r="K34" i="11" s="1"/>
  <c r="L34" i="11" s="1"/>
  <c r="M34" i="11"/>
  <c r="P33" i="11"/>
  <c r="O33" i="11"/>
  <c r="N33" i="11"/>
  <c r="Q33" i="11" s="1"/>
  <c r="T33" i="11" s="1"/>
  <c r="R33" i="11"/>
  <c r="U33" i="11" s="1"/>
  <c r="S33" i="11"/>
  <c r="V33" i="11" s="1"/>
  <c r="J36" i="10"/>
  <c r="G35" i="10"/>
  <c r="I34" i="10"/>
  <c r="K34" i="10" s="1"/>
  <c r="L34" i="10" s="1"/>
  <c r="M34" i="10"/>
  <c r="P33" i="10"/>
  <c r="O33" i="10"/>
  <c r="N33" i="10"/>
  <c r="Q33" i="10"/>
  <c r="T33" i="10" s="1"/>
  <c r="R33" i="10"/>
  <c r="U33" i="10" s="1"/>
  <c r="S33" i="10"/>
  <c r="V33" i="10" s="1"/>
  <c r="P32" i="9"/>
  <c r="O32" i="9"/>
  <c r="N32" i="9"/>
  <c r="I33" i="9"/>
  <c r="K33" i="9" s="1"/>
  <c r="L33" i="9" s="1"/>
  <c r="M33" i="9"/>
  <c r="J35" i="9"/>
  <c r="G34" i="9"/>
  <c r="O108" i="9" l="1"/>
  <c r="P108" i="9"/>
  <c r="N108" i="9"/>
  <c r="M109" i="9"/>
  <c r="I109" i="9"/>
  <c r="K109" i="9" s="1"/>
  <c r="L109" i="9" s="1"/>
  <c r="G110" i="9"/>
  <c r="J111" i="9"/>
  <c r="M35" i="15"/>
  <c r="I35" i="15"/>
  <c r="K35" i="15" s="1"/>
  <c r="L35" i="15" s="1"/>
  <c r="G36" i="15"/>
  <c r="J37" i="15"/>
  <c r="O34" i="15"/>
  <c r="R34" i="15" s="1"/>
  <c r="U34" i="15" s="1"/>
  <c r="P34" i="15"/>
  <c r="S34" i="15" s="1"/>
  <c r="V34" i="15" s="1"/>
  <c r="N34" i="15"/>
  <c r="Q34" i="15" s="1"/>
  <c r="T34" i="15" s="1"/>
  <c r="J37" i="14"/>
  <c r="G36" i="14"/>
  <c r="I35" i="14"/>
  <c r="K35" i="14" s="1"/>
  <c r="L35" i="14" s="1"/>
  <c r="M35" i="14"/>
  <c r="P34" i="14"/>
  <c r="S34" i="14" s="1"/>
  <c r="V34" i="14" s="1"/>
  <c r="O34" i="14"/>
  <c r="R34" i="14" s="1"/>
  <c r="U34" i="14" s="1"/>
  <c r="N34" i="14"/>
  <c r="Q34" i="14"/>
  <c r="T34" i="14" s="1"/>
  <c r="J37" i="13"/>
  <c r="G36" i="13"/>
  <c r="I35" i="13"/>
  <c r="K35" i="13" s="1"/>
  <c r="L35" i="13" s="1"/>
  <c r="M35" i="13"/>
  <c r="P34" i="13"/>
  <c r="S34" i="13" s="1"/>
  <c r="V34" i="13" s="1"/>
  <c r="O34" i="13"/>
  <c r="R34" i="13" s="1"/>
  <c r="U34" i="13" s="1"/>
  <c r="N34" i="13"/>
  <c r="Q34" i="13"/>
  <c r="T34" i="13" s="1"/>
  <c r="J37" i="12"/>
  <c r="G36" i="12"/>
  <c r="I35" i="12"/>
  <c r="K35" i="12" s="1"/>
  <c r="L35" i="12" s="1"/>
  <c r="M35" i="12"/>
  <c r="P34" i="12"/>
  <c r="S34" i="12" s="1"/>
  <c r="V34" i="12" s="1"/>
  <c r="O34" i="12"/>
  <c r="N34" i="12"/>
  <c r="Q34" i="12"/>
  <c r="T34" i="12" s="1"/>
  <c r="R34" i="12"/>
  <c r="U34" i="12" s="1"/>
  <c r="J37" i="11"/>
  <c r="G36" i="11"/>
  <c r="I35" i="11"/>
  <c r="K35" i="11" s="1"/>
  <c r="L35" i="11" s="1"/>
  <c r="M35" i="11"/>
  <c r="P34" i="11"/>
  <c r="S34" i="11" s="1"/>
  <c r="V34" i="11" s="1"/>
  <c r="O34" i="11"/>
  <c r="R34" i="11" s="1"/>
  <c r="U34" i="11" s="1"/>
  <c r="N34" i="11"/>
  <c r="Q34" i="11" s="1"/>
  <c r="T34" i="11" s="1"/>
  <c r="J37" i="10"/>
  <c r="G36" i="10"/>
  <c r="I35" i="10"/>
  <c r="K35" i="10" s="1"/>
  <c r="L35" i="10" s="1"/>
  <c r="M35" i="10"/>
  <c r="P34" i="10"/>
  <c r="O34" i="10"/>
  <c r="R34" i="10" s="1"/>
  <c r="U34" i="10" s="1"/>
  <c r="N34" i="10"/>
  <c r="Q34" i="10"/>
  <c r="T34" i="10" s="1"/>
  <c r="S34" i="10"/>
  <c r="V34" i="10" s="1"/>
  <c r="P33" i="9"/>
  <c r="O33" i="9"/>
  <c r="N33" i="9"/>
  <c r="I34" i="9"/>
  <c r="K34" i="9" s="1"/>
  <c r="L34" i="9" s="1"/>
  <c r="M34" i="9"/>
  <c r="J36" i="9"/>
  <c r="G35" i="9"/>
  <c r="R108" i="9" l="1"/>
  <c r="U108" i="9" s="1"/>
  <c r="S108" i="9"/>
  <c r="V108" i="9" s="1"/>
  <c r="Q108" i="9"/>
  <c r="T108" i="9" s="1"/>
  <c r="P109" i="9"/>
  <c r="N109" i="9"/>
  <c r="O109" i="9"/>
  <c r="I110" i="9"/>
  <c r="K110" i="9" s="1"/>
  <c r="L110" i="9" s="1"/>
  <c r="M110" i="9"/>
  <c r="J112" i="9"/>
  <c r="G111" i="9"/>
  <c r="P35" i="15"/>
  <c r="S35" i="15" s="1"/>
  <c r="V35" i="15" s="1"/>
  <c r="N35" i="15"/>
  <c r="Q35" i="15" s="1"/>
  <c r="T35" i="15" s="1"/>
  <c r="O35" i="15"/>
  <c r="R35" i="15" s="1"/>
  <c r="U35" i="15" s="1"/>
  <c r="I36" i="15"/>
  <c r="K36" i="15" s="1"/>
  <c r="L36" i="15" s="1"/>
  <c r="M36" i="15"/>
  <c r="G37" i="15"/>
  <c r="J38" i="15"/>
  <c r="J38" i="14"/>
  <c r="G37" i="14"/>
  <c r="I36" i="14"/>
  <c r="K36" i="14" s="1"/>
  <c r="L36" i="14" s="1"/>
  <c r="M36" i="14"/>
  <c r="P35" i="14"/>
  <c r="O35" i="14"/>
  <c r="N35" i="14"/>
  <c r="Q35" i="14"/>
  <c r="T35" i="14" s="1"/>
  <c r="R35" i="14"/>
  <c r="U35" i="14" s="1"/>
  <c r="S35" i="14"/>
  <c r="V35" i="14" s="1"/>
  <c r="J38" i="13"/>
  <c r="G37" i="13"/>
  <c r="I36" i="13"/>
  <c r="K36" i="13" s="1"/>
  <c r="L36" i="13" s="1"/>
  <c r="M36" i="13"/>
  <c r="P35" i="13"/>
  <c r="O35" i="13"/>
  <c r="N35" i="13"/>
  <c r="Q35" i="13"/>
  <c r="T35" i="13" s="1"/>
  <c r="R35" i="13"/>
  <c r="U35" i="13" s="1"/>
  <c r="S35" i="13"/>
  <c r="V35" i="13" s="1"/>
  <c r="J38" i="12"/>
  <c r="G37" i="12"/>
  <c r="I36" i="12"/>
  <c r="K36" i="12" s="1"/>
  <c r="L36" i="12" s="1"/>
  <c r="M36" i="12"/>
  <c r="P35" i="12"/>
  <c r="O35" i="12"/>
  <c r="N35" i="12"/>
  <c r="Q35" i="12"/>
  <c r="T35" i="12" s="1"/>
  <c r="R35" i="12"/>
  <c r="U35" i="12" s="1"/>
  <c r="S35" i="12"/>
  <c r="V35" i="12" s="1"/>
  <c r="J38" i="11"/>
  <c r="G37" i="11"/>
  <c r="I36" i="11"/>
  <c r="K36" i="11" s="1"/>
  <c r="L36" i="11" s="1"/>
  <c r="M36" i="11"/>
  <c r="P35" i="11"/>
  <c r="S35" i="11" s="1"/>
  <c r="V35" i="11" s="1"/>
  <c r="O35" i="11"/>
  <c r="R35" i="11" s="1"/>
  <c r="U35" i="11" s="1"/>
  <c r="N35" i="11"/>
  <c r="Q35" i="11" s="1"/>
  <c r="T35" i="11" s="1"/>
  <c r="J38" i="10"/>
  <c r="G37" i="10"/>
  <c r="I36" i="10"/>
  <c r="K36" i="10" s="1"/>
  <c r="L36" i="10" s="1"/>
  <c r="M36" i="10"/>
  <c r="P35" i="10"/>
  <c r="O35" i="10"/>
  <c r="N35" i="10"/>
  <c r="Q35" i="10"/>
  <c r="T35" i="10" s="1"/>
  <c r="R35" i="10"/>
  <c r="U35" i="10" s="1"/>
  <c r="S35" i="10"/>
  <c r="V35" i="10" s="1"/>
  <c r="P34" i="9"/>
  <c r="O34" i="9"/>
  <c r="N34" i="9"/>
  <c r="I35" i="9"/>
  <c r="K35" i="9" s="1"/>
  <c r="L35" i="9" s="1"/>
  <c r="M35" i="9"/>
  <c r="J37" i="9"/>
  <c r="G36" i="9"/>
  <c r="S109" i="9" l="1"/>
  <c r="V109" i="9" s="1"/>
  <c r="Q109" i="9"/>
  <c r="T109" i="9" s="1"/>
  <c r="R109" i="9"/>
  <c r="U109" i="9" s="1"/>
  <c r="N110" i="9"/>
  <c r="O110" i="9"/>
  <c r="P110" i="9"/>
  <c r="G112" i="9"/>
  <c r="J113" i="9"/>
  <c r="I111" i="9"/>
  <c r="K111" i="9" s="1"/>
  <c r="L111" i="9" s="1"/>
  <c r="M111" i="9"/>
  <c r="P36" i="15"/>
  <c r="O36" i="15"/>
  <c r="N36" i="15"/>
  <c r="S36" i="15"/>
  <c r="V36" i="15" s="1"/>
  <c r="Q36" i="15"/>
  <c r="T36" i="15" s="1"/>
  <c r="R36" i="15"/>
  <c r="U36" i="15" s="1"/>
  <c r="I37" i="15"/>
  <c r="K37" i="15" s="1"/>
  <c r="L37" i="15" s="1"/>
  <c r="M37" i="15"/>
  <c r="G38" i="15"/>
  <c r="J39" i="15"/>
  <c r="J39" i="14"/>
  <c r="G38" i="14"/>
  <c r="I37" i="14"/>
  <c r="K37" i="14" s="1"/>
  <c r="L37" i="14" s="1"/>
  <c r="M37" i="14"/>
  <c r="P36" i="14"/>
  <c r="S36" i="14" s="1"/>
  <c r="V36" i="14" s="1"/>
  <c r="O36" i="14"/>
  <c r="R36" i="14" s="1"/>
  <c r="U36" i="14" s="1"/>
  <c r="N36" i="14"/>
  <c r="Q36" i="14" s="1"/>
  <c r="T36" i="14" s="1"/>
  <c r="J39" i="13"/>
  <c r="G38" i="13"/>
  <c r="I37" i="13"/>
  <c r="K37" i="13" s="1"/>
  <c r="L37" i="13" s="1"/>
  <c r="M37" i="13"/>
  <c r="P36" i="13"/>
  <c r="S36" i="13" s="1"/>
  <c r="V36" i="13" s="1"/>
  <c r="O36" i="13"/>
  <c r="R36" i="13" s="1"/>
  <c r="U36" i="13" s="1"/>
  <c r="N36" i="13"/>
  <c r="Q36" i="13"/>
  <c r="T36" i="13" s="1"/>
  <c r="J39" i="12"/>
  <c r="G38" i="12"/>
  <c r="I37" i="12"/>
  <c r="K37" i="12" s="1"/>
  <c r="L37" i="12" s="1"/>
  <c r="M37" i="12"/>
  <c r="P36" i="12"/>
  <c r="O36" i="12"/>
  <c r="N36" i="12"/>
  <c r="Q36" i="12"/>
  <c r="T36" i="12" s="1"/>
  <c r="R36" i="12"/>
  <c r="U36" i="12" s="1"/>
  <c r="S36" i="12"/>
  <c r="V36" i="12" s="1"/>
  <c r="J39" i="11"/>
  <c r="G38" i="11"/>
  <c r="I37" i="11"/>
  <c r="K37" i="11" s="1"/>
  <c r="L37" i="11" s="1"/>
  <c r="M37" i="11"/>
  <c r="P36" i="11"/>
  <c r="S36" i="11" s="1"/>
  <c r="V36" i="11" s="1"/>
  <c r="O36" i="11"/>
  <c r="R36" i="11" s="1"/>
  <c r="U36" i="11" s="1"/>
  <c r="N36" i="11"/>
  <c r="Q36" i="11" s="1"/>
  <c r="T36" i="11" s="1"/>
  <c r="J39" i="10"/>
  <c r="G38" i="10"/>
  <c r="I37" i="10"/>
  <c r="K37" i="10" s="1"/>
  <c r="L37" i="10" s="1"/>
  <c r="M37" i="10"/>
  <c r="P36" i="10"/>
  <c r="O36" i="10"/>
  <c r="N36" i="10"/>
  <c r="Q36" i="10"/>
  <c r="T36" i="10" s="1"/>
  <c r="R36" i="10"/>
  <c r="U36" i="10" s="1"/>
  <c r="S36" i="10"/>
  <c r="V36" i="10" s="1"/>
  <c r="P35" i="9"/>
  <c r="O35" i="9"/>
  <c r="N35" i="9"/>
  <c r="I36" i="9"/>
  <c r="K36" i="9" s="1"/>
  <c r="L36" i="9" s="1"/>
  <c r="M36" i="9"/>
  <c r="J38" i="9"/>
  <c r="G37" i="9"/>
  <c r="Q110" i="9" l="1"/>
  <c r="T110" i="9" s="1"/>
  <c r="R110" i="9"/>
  <c r="U110" i="9" s="1"/>
  <c r="S110" i="9"/>
  <c r="V110" i="9" s="1"/>
  <c r="M112" i="9"/>
  <c r="I112" i="9"/>
  <c r="K112" i="9" s="1"/>
  <c r="L112" i="9" s="1"/>
  <c r="J114" i="9"/>
  <c r="G113" i="9"/>
  <c r="N111" i="9"/>
  <c r="P111" i="9"/>
  <c r="O111" i="9"/>
  <c r="Q111" i="9"/>
  <c r="T111" i="9" s="1"/>
  <c r="R111" i="9"/>
  <c r="U111" i="9" s="1"/>
  <c r="S111" i="9"/>
  <c r="V111" i="9" s="1"/>
  <c r="P37" i="15"/>
  <c r="N37" i="15"/>
  <c r="Q37" i="15" s="1"/>
  <c r="T37" i="15" s="1"/>
  <c r="O37" i="15"/>
  <c r="R37" i="15" s="1"/>
  <c r="U37" i="15" s="1"/>
  <c r="S37" i="15"/>
  <c r="V37" i="15" s="1"/>
  <c r="I38" i="15"/>
  <c r="K38" i="15" s="1"/>
  <c r="L38" i="15" s="1"/>
  <c r="M38" i="15"/>
  <c r="J40" i="15"/>
  <c r="G39" i="15"/>
  <c r="J40" i="14"/>
  <c r="G39" i="14"/>
  <c r="I38" i="14"/>
  <c r="K38" i="14" s="1"/>
  <c r="L38" i="14" s="1"/>
  <c r="M38" i="14"/>
  <c r="P37" i="14"/>
  <c r="O37" i="14"/>
  <c r="N37" i="14"/>
  <c r="Q37" i="14"/>
  <c r="T37" i="14" s="1"/>
  <c r="R37" i="14"/>
  <c r="U37" i="14" s="1"/>
  <c r="S37" i="14"/>
  <c r="V37" i="14" s="1"/>
  <c r="J40" i="13"/>
  <c r="G39" i="13"/>
  <c r="I38" i="13"/>
  <c r="K38" i="13" s="1"/>
  <c r="L38" i="13" s="1"/>
  <c r="M38" i="13"/>
  <c r="P37" i="13"/>
  <c r="S37" i="13" s="1"/>
  <c r="V37" i="13" s="1"/>
  <c r="O37" i="13"/>
  <c r="N37" i="13"/>
  <c r="Q37" i="13"/>
  <c r="T37" i="13" s="1"/>
  <c r="R37" i="13"/>
  <c r="U37" i="13" s="1"/>
  <c r="J40" i="12"/>
  <c r="G39" i="12"/>
  <c r="I38" i="12"/>
  <c r="K38" i="12" s="1"/>
  <c r="L38" i="12" s="1"/>
  <c r="M38" i="12"/>
  <c r="P37" i="12"/>
  <c r="O37" i="12"/>
  <c r="N37" i="12"/>
  <c r="Q37" i="12"/>
  <c r="T37" i="12" s="1"/>
  <c r="R37" i="12"/>
  <c r="U37" i="12" s="1"/>
  <c r="S37" i="12"/>
  <c r="V37" i="12" s="1"/>
  <c r="J40" i="11"/>
  <c r="G39" i="11"/>
  <c r="I38" i="11"/>
  <c r="K38" i="11" s="1"/>
  <c r="L38" i="11" s="1"/>
  <c r="M38" i="11"/>
  <c r="P37" i="11"/>
  <c r="O37" i="11"/>
  <c r="N37" i="11"/>
  <c r="Q37" i="11"/>
  <c r="T37" i="11" s="1"/>
  <c r="R37" i="11"/>
  <c r="U37" i="11" s="1"/>
  <c r="S37" i="11"/>
  <c r="V37" i="11" s="1"/>
  <c r="J40" i="10"/>
  <c r="G39" i="10"/>
  <c r="I38" i="10"/>
  <c r="K38" i="10" s="1"/>
  <c r="L38" i="10" s="1"/>
  <c r="M38" i="10"/>
  <c r="P37" i="10"/>
  <c r="O37" i="10"/>
  <c r="N37" i="10"/>
  <c r="Q37" i="10"/>
  <c r="T37" i="10" s="1"/>
  <c r="R37" i="10"/>
  <c r="U37" i="10" s="1"/>
  <c r="S37" i="10"/>
  <c r="V37" i="10" s="1"/>
  <c r="P36" i="9"/>
  <c r="O36" i="9"/>
  <c r="N36" i="9"/>
  <c r="I37" i="9"/>
  <c r="K37" i="9" s="1"/>
  <c r="L37" i="9" s="1"/>
  <c r="M37" i="9"/>
  <c r="J39" i="9"/>
  <c r="G38" i="9"/>
  <c r="P112" i="9" l="1"/>
  <c r="O112" i="9"/>
  <c r="N112" i="9"/>
  <c r="J115" i="9"/>
  <c r="G114" i="9"/>
  <c r="M113" i="9"/>
  <c r="I113" i="9"/>
  <c r="K113" i="9" s="1"/>
  <c r="L113" i="9" s="1"/>
  <c r="N38" i="15"/>
  <c r="Q38" i="15" s="1"/>
  <c r="T38" i="15" s="1"/>
  <c r="P38" i="15"/>
  <c r="O38" i="15"/>
  <c r="R38" i="15" s="1"/>
  <c r="U38" i="15" s="1"/>
  <c r="S38" i="15"/>
  <c r="V38" i="15" s="1"/>
  <c r="J41" i="15"/>
  <c r="G40" i="15"/>
  <c r="I39" i="15"/>
  <c r="K39" i="15" s="1"/>
  <c r="L39" i="15" s="1"/>
  <c r="M39" i="15"/>
  <c r="J41" i="14"/>
  <c r="G40" i="14"/>
  <c r="I39" i="14"/>
  <c r="K39" i="14" s="1"/>
  <c r="L39" i="14" s="1"/>
  <c r="M39" i="14"/>
  <c r="P38" i="14"/>
  <c r="O38" i="14"/>
  <c r="N38" i="14"/>
  <c r="Q38" i="14"/>
  <c r="T38" i="14" s="1"/>
  <c r="R38" i="14"/>
  <c r="U38" i="14" s="1"/>
  <c r="S38" i="14"/>
  <c r="V38" i="14" s="1"/>
  <c r="J41" i="13"/>
  <c r="G40" i="13"/>
  <c r="I39" i="13"/>
  <c r="K39" i="13" s="1"/>
  <c r="L39" i="13" s="1"/>
  <c r="M39" i="13"/>
  <c r="P38" i="13"/>
  <c r="O38" i="13"/>
  <c r="N38" i="13"/>
  <c r="Q38" i="13"/>
  <c r="T38" i="13" s="1"/>
  <c r="R38" i="13"/>
  <c r="U38" i="13" s="1"/>
  <c r="S38" i="13"/>
  <c r="V38" i="13" s="1"/>
  <c r="J41" i="12"/>
  <c r="G40" i="12"/>
  <c r="I39" i="12"/>
  <c r="K39" i="12" s="1"/>
  <c r="L39" i="12" s="1"/>
  <c r="M39" i="12"/>
  <c r="P38" i="12"/>
  <c r="O38" i="12"/>
  <c r="N38" i="12"/>
  <c r="Q38" i="12"/>
  <c r="T38" i="12" s="1"/>
  <c r="R38" i="12"/>
  <c r="U38" i="12" s="1"/>
  <c r="S38" i="12"/>
  <c r="V38" i="12" s="1"/>
  <c r="J41" i="11"/>
  <c r="G40" i="11"/>
  <c r="I39" i="11"/>
  <c r="K39" i="11" s="1"/>
  <c r="L39" i="11" s="1"/>
  <c r="M39" i="11"/>
  <c r="P38" i="11"/>
  <c r="O38" i="11"/>
  <c r="N38" i="11"/>
  <c r="Q38" i="11"/>
  <c r="T38" i="11" s="1"/>
  <c r="R38" i="11"/>
  <c r="U38" i="11" s="1"/>
  <c r="S38" i="11"/>
  <c r="V38" i="11" s="1"/>
  <c r="J41" i="10"/>
  <c r="G40" i="10"/>
  <c r="I39" i="10"/>
  <c r="K39" i="10" s="1"/>
  <c r="L39" i="10" s="1"/>
  <c r="M39" i="10"/>
  <c r="P38" i="10"/>
  <c r="S38" i="10" s="1"/>
  <c r="V38" i="10" s="1"/>
  <c r="O38" i="10"/>
  <c r="R38" i="10" s="1"/>
  <c r="U38" i="10" s="1"/>
  <c r="N38" i="10"/>
  <c r="Q38" i="10"/>
  <c r="T38" i="10" s="1"/>
  <c r="P37" i="9"/>
  <c r="O37" i="9"/>
  <c r="N37" i="9"/>
  <c r="I38" i="9"/>
  <c r="K38" i="9" s="1"/>
  <c r="L38" i="9" s="1"/>
  <c r="M38" i="9"/>
  <c r="J40" i="9"/>
  <c r="G39" i="9"/>
  <c r="S112" i="9" l="1"/>
  <c r="V112" i="9" s="1"/>
  <c r="R112" i="9"/>
  <c r="U112" i="9" s="1"/>
  <c r="Q112" i="9"/>
  <c r="T112" i="9" s="1"/>
  <c r="J116" i="9"/>
  <c r="G115" i="9"/>
  <c r="M114" i="9"/>
  <c r="I114" i="9"/>
  <c r="K114" i="9" s="1"/>
  <c r="L114" i="9" s="1"/>
  <c r="N113" i="9"/>
  <c r="P113" i="9"/>
  <c r="O113" i="9"/>
  <c r="G41" i="15"/>
  <c r="J42" i="15"/>
  <c r="I40" i="15"/>
  <c r="K40" i="15" s="1"/>
  <c r="L40" i="15" s="1"/>
  <c r="M40" i="15"/>
  <c r="O39" i="15"/>
  <c r="R39" i="15" s="1"/>
  <c r="U39" i="15" s="1"/>
  <c r="P39" i="15"/>
  <c r="S39" i="15" s="1"/>
  <c r="V39" i="15" s="1"/>
  <c r="N39" i="15"/>
  <c r="Q39" i="15" s="1"/>
  <c r="T39" i="15" s="1"/>
  <c r="J42" i="14"/>
  <c r="G41" i="14"/>
  <c r="I40" i="14"/>
  <c r="K40" i="14" s="1"/>
  <c r="L40" i="14" s="1"/>
  <c r="M40" i="14"/>
  <c r="P39" i="14"/>
  <c r="O39" i="14"/>
  <c r="N39" i="14"/>
  <c r="Q39" i="14" s="1"/>
  <c r="T39" i="14" s="1"/>
  <c r="R39" i="14"/>
  <c r="U39" i="14" s="1"/>
  <c r="S39" i="14"/>
  <c r="V39" i="14" s="1"/>
  <c r="J42" i="13"/>
  <c r="G41" i="13"/>
  <c r="I40" i="13"/>
  <c r="K40" i="13" s="1"/>
  <c r="L40" i="13" s="1"/>
  <c r="M40" i="13"/>
  <c r="P39" i="13"/>
  <c r="O39" i="13"/>
  <c r="N39" i="13"/>
  <c r="Q39" i="13"/>
  <c r="T39" i="13" s="1"/>
  <c r="R39" i="13"/>
  <c r="U39" i="13" s="1"/>
  <c r="S39" i="13"/>
  <c r="V39" i="13" s="1"/>
  <c r="J42" i="12"/>
  <c r="G41" i="12"/>
  <c r="I40" i="12"/>
  <c r="K40" i="12" s="1"/>
  <c r="L40" i="12" s="1"/>
  <c r="M40" i="12"/>
  <c r="P39" i="12"/>
  <c r="O39" i="12"/>
  <c r="N39" i="12"/>
  <c r="Q39" i="12"/>
  <c r="T39" i="12" s="1"/>
  <c r="R39" i="12"/>
  <c r="U39" i="12" s="1"/>
  <c r="S39" i="12"/>
  <c r="V39" i="12" s="1"/>
  <c r="J42" i="11"/>
  <c r="G41" i="11"/>
  <c r="M40" i="11"/>
  <c r="I40" i="11"/>
  <c r="K40" i="11" s="1"/>
  <c r="L40" i="11" s="1"/>
  <c r="P39" i="11"/>
  <c r="O39" i="11"/>
  <c r="N39" i="11"/>
  <c r="Q39" i="11"/>
  <c r="T39" i="11" s="1"/>
  <c r="R39" i="11"/>
  <c r="U39" i="11" s="1"/>
  <c r="S39" i="11"/>
  <c r="V39" i="11" s="1"/>
  <c r="J42" i="10"/>
  <c r="G41" i="10"/>
  <c r="I40" i="10"/>
  <c r="K40" i="10" s="1"/>
  <c r="L40" i="10" s="1"/>
  <c r="M40" i="10"/>
  <c r="P39" i="10"/>
  <c r="S39" i="10" s="1"/>
  <c r="V39" i="10" s="1"/>
  <c r="N39" i="10"/>
  <c r="Q39" i="10" s="1"/>
  <c r="T39" i="10" s="1"/>
  <c r="O39" i="10"/>
  <c r="R39" i="10" s="1"/>
  <c r="U39" i="10" s="1"/>
  <c r="P38" i="9"/>
  <c r="O38" i="9"/>
  <c r="N38" i="9"/>
  <c r="I39" i="9"/>
  <c r="K39" i="9" s="1"/>
  <c r="L39" i="9" s="1"/>
  <c r="M39" i="9"/>
  <c r="J41" i="9"/>
  <c r="G40" i="9"/>
  <c r="Q113" i="9" l="1"/>
  <c r="T113" i="9" s="1"/>
  <c r="S113" i="9"/>
  <c r="V113" i="9" s="1"/>
  <c r="R113" i="9"/>
  <c r="U113" i="9" s="1"/>
  <c r="J117" i="9"/>
  <c r="G116" i="9"/>
  <c r="M115" i="9"/>
  <c r="I115" i="9"/>
  <c r="K115" i="9" s="1"/>
  <c r="L115" i="9" s="1"/>
  <c r="N114" i="9"/>
  <c r="P114" i="9"/>
  <c r="O114" i="9"/>
  <c r="M41" i="15"/>
  <c r="I41" i="15"/>
  <c r="K41" i="15" s="1"/>
  <c r="L41" i="15" s="1"/>
  <c r="J43" i="15"/>
  <c r="G42" i="15"/>
  <c r="O40" i="15"/>
  <c r="R40" i="15" s="1"/>
  <c r="U40" i="15" s="1"/>
  <c r="N40" i="15"/>
  <c r="Q40" i="15" s="1"/>
  <c r="T40" i="15" s="1"/>
  <c r="P40" i="15"/>
  <c r="S40" i="15" s="1"/>
  <c r="V40" i="15" s="1"/>
  <c r="J43" i="14"/>
  <c r="G42" i="14"/>
  <c r="I41" i="14"/>
  <c r="K41" i="14" s="1"/>
  <c r="L41" i="14" s="1"/>
  <c r="M41" i="14"/>
  <c r="P40" i="14"/>
  <c r="O40" i="14"/>
  <c r="N40" i="14"/>
  <c r="Q40" i="14" s="1"/>
  <c r="T40" i="14" s="1"/>
  <c r="R40" i="14"/>
  <c r="U40" i="14" s="1"/>
  <c r="S40" i="14"/>
  <c r="V40" i="14" s="1"/>
  <c r="G42" i="13"/>
  <c r="J43" i="13"/>
  <c r="I41" i="13"/>
  <c r="K41" i="13" s="1"/>
  <c r="L41" i="13" s="1"/>
  <c r="M41" i="13"/>
  <c r="P40" i="13"/>
  <c r="O40" i="13"/>
  <c r="R40" i="13" s="1"/>
  <c r="U40" i="13" s="1"/>
  <c r="N40" i="13"/>
  <c r="Q40" i="13"/>
  <c r="T40" i="13" s="1"/>
  <c r="S40" i="13"/>
  <c r="V40" i="13" s="1"/>
  <c r="J43" i="12"/>
  <c r="G42" i="12"/>
  <c r="I41" i="12"/>
  <c r="K41" i="12" s="1"/>
  <c r="L41" i="12" s="1"/>
  <c r="M41" i="12"/>
  <c r="P40" i="12"/>
  <c r="O40" i="12"/>
  <c r="N40" i="12"/>
  <c r="Q40" i="12" s="1"/>
  <c r="T40" i="12" s="1"/>
  <c r="R40" i="12"/>
  <c r="U40" i="12" s="1"/>
  <c r="S40" i="12"/>
  <c r="V40" i="12" s="1"/>
  <c r="J43" i="11"/>
  <c r="G42" i="11"/>
  <c r="I41" i="11"/>
  <c r="K41" i="11" s="1"/>
  <c r="L41" i="11" s="1"/>
  <c r="M41" i="11"/>
  <c r="P40" i="11"/>
  <c r="S40" i="11" s="1"/>
  <c r="V40" i="11" s="1"/>
  <c r="N40" i="11"/>
  <c r="Q40" i="11" s="1"/>
  <c r="T40" i="11" s="1"/>
  <c r="O40" i="11"/>
  <c r="R40" i="11" s="1"/>
  <c r="U40" i="11" s="1"/>
  <c r="J43" i="10"/>
  <c r="G42" i="10"/>
  <c r="M41" i="10"/>
  <c r="I41" i="10"/>
  <c r="K41" i="10" s="1"/>
  <c r="L41" i="10" s="1"/>
  <c r="P40" i="10"/>
  <c r="N40" i="10"/>
  <c r="Q40" i="10" s="1"/>
  <c r="T40" i="10" s="1"/>
  <c r="O40" i="10"/>
  <c r="R40" i="10" s="1"/>
  <c r="U40" i="10" s="1"/>
  <c r="S40" i="10"/>
  <c r="V40" i="10" s="1"/>
  <c r="P39" i="9"/>
  <c r="O39" i="9"/>
  <c r="N39" i="9"/>
  <c r="I40" i="9"/>
  <c r="K40" i="9" s="1"/>
  <c r="L40" i="9" s="1"/>
  <c r="M40" i="9"/>
  <c r="J42" i="9"/>
  <c r="G41" i="9"/>
  <c r="Q114" i="9" l="1"/>
  <c r="T114" i="9" s="1"/>
  <c r="S114" i="9"/>
  <c r="V114" i="9" s="1"/>
  <c r="R114" i="9"/>
  <c r="U114" i="9" s="1"/>
  <c r="J118" i="9"/>
  <c r="G117" i="9"/>
  <c r="M116" i="9"/>
  <c r="I116" i="9"/>
  <c r="K116" i="9" s="1"/>
  <c r="L116" i="9" s="1"/>
  <c r="N115" i="9"/>
  <c r="P115" i="9"/>
  <c r="O115" i="9"/>
  <c r="P41" i="15"/>
  <c r="S41" i="15" s="1"/>
  <c r="V41" i="15" s="1"/>
  <c r="N41" i="15"/>
  <c r="Q41" i="15" s="1"/>
  <c r="T41" i="15" s="1"/>
  <c r="O41" i="15"/>
  <c r="R41" i="15" s="1"/>
  <c r="U41" i="15" s="1"/>
  <c r="G43" i="15"/>
  <c r="J44" i="15"/>
  <c r="I42" i="15"/>
  <c r="K42" i="15" s="1"/>
  <c r="L42" i="15" s="1"/>
  <c r="M42" i="15"/>
  <c r="J44" i="14"/>
  <c r="G43" i="14"/>
  <c r="I42" i="14"/>
  <c r="K42" i="14" s="1"/>
  <c r="L42" i="14" s="1"/>
  <c r="M42" i="14"/>
  <c r="P41" i="14"/>
  <c r="O41" i="14"/>
  <c r="R41" i="14" s="1"/>
  <c r="U41" i="14" s="1"/>
  <c r="N41" i="14"/>
  <c r="Q41" i="14" s="1"/>
  <c r="T41" i="14" s="1"/>
  <c r="S41" i="14"/>
  <c r="V41" i="14" s="1"/>
  <c r="I42" i="13"/>
  <c r="K42" i="13" s="1"/>
  <c r="L42" i="13" s="1"/>
  <c r="M42" i="13"/>
  <c r="J44" i="13"/>
  <c r="G43" i="13"/>
  <c r="P41" i="13"/>
  <c r="S41" i="13" s="1"/>
  <c r="V41" i="13" s="1"/>
  <c r="O41" i="13"/>
  <c r="R41" i="13" s="1"/>
  <c r="U41" i="13" s="1"/>
  <c r="N41" i="13"/>
  <c r="Q41" i="13"/>
  <c r="T41" i="13" s="1"/>
  <c r="G43" i="12"/>
  <c r="J44" i="12"/>
  <c r="M42" i="12"/>
  <c r="I42" i="12"/>
  <c r="K42" i="12" s="1"/>
  <c r="L42" i="12" s="1"/>
  <c r="P41" i="12"/>
  <c r="N41" i="12"/>
  <c r="O41" i="12"/>
  <c r="S41" i="12"/>
  <c r="V41" i="12" s="1"/>
  <c r="Q41" i="12"/>
  <c r="T41" i="12" s="1"/>
  <c r="R41" i="12"/>
  <c r="U41" i="12" s="1"/>
  <c r="J44" i="11"/>
  <c r="G43" i="11"/>
  <c r="M42" i="11"/>
  <c r="I42" i="11"/>
  <c r="K42" i="11" s="1"/>
  <c r="L42" i="11" s="1"/>
  <c r="O41" i="11"/>
  <c r="P41" i="11"/>
  <c r="N41" i="11"/>
  <c r="R41" i="11"/>
  <c r="U41" i="11" s="1"/>
  <c r="S41" i="11"/>
  <c r="V41" i="11" s="1"/>
  <c r="Q41" i="11"/>
  <c r="T41" i="11" s="1"/>
  <c r="J44" i="10"/>
  <c r="G43" i="10"/>
  <c r="M42" i="10"/>
  <c r="I42" i="10"/>
  <c r="K42" i="10" s="1"/>
  <c r="L42" i="10" s="1"/>
  <c r="P41" i="10"/>
  <c r="S41" i="10" s="1"/>
  <c r="V41" i="10" s="1"/>
  <c r="N41" i="10"/>
  <c r="Q41" i="10" s="1"/>
  <c r="T41" i="10" s="1"/>
  <c r="O41" i="10"/>
  <c r="R41" i="10" s="1"/>
  <c r="U41" i="10" s="1"/>
  <c r="P40" i="9"/>
  <c r="O40" i="9"/>
  <c r="N40" i="9"/>
  <c r="I41" i="9"/>
  <c r="K41" i="9" s="1"/>
  <c r="L41" i="9" s="1"/>
  <c r="M41" i="9"/>
  <c r="J43" i="9"/>
  <c r="G42" i="9"/>
  <c r="Q115" i="9" l="1"/>
  <c r="T115" i="9" s="1"/>
  <c r="S115" i="9"/>
  <c r="V115" i="9" s="1"/>
  <c r="R115" i="9"/>
  <c r="U115" i="9" s="1"/>
  <c r="G118" i="9"/>
  <c r="J119" i="9"/>
  <c r="I117" i="9"/>
  <c r="K117" i="9" s="1"/>
  <c r="L117" i="9" s="1"/>
  <c r="M117" i="9"/>
  <c r="R116" i="9"/>
  <c r="U116" i="9" s="1"/>
  <c r="S116" i="9"/>
  <c r="V116" i="9" s="1"/>
  <c r="N116" i="9"/>
  <c r="O116" i="9"/>
  <c r="P116" i="9"/>
  <c r="M43" i="15"/>
  <c r="I43" i="15"/>
  <c r="K43" i="15" s="1"/>
  <c r="L43" i="15" s="1"/>
  <c r="J45" i="15"/>
  <c r="G44" i="15"/>
  <c r="P42" i="15"/>
  <c r="S42" i="15" s="1"/>
  <c r="V42" i="15" s="1"/>
  <c r="N42" i="15"/>
  <c r="Q42" i="15" s="1"/>
  <c r="T42" i="15" s="1"/>
  <c r="O42" i="15"/>
  <c r="R42" i="15" s="1"/>
  <c r="U42" i="15" s="1"/>
  <c r="J45" i="14"/>
  <c r="G44" i="14"/>
  <c r="M43" i="14"/>
  <c r="I43" i="14"/>
  <c r="K43" i="14" s="1"/>
  <c r="L43" i="14" s="1"/>
  <c r="P42" i="14"/>
  <c r="O42" i="14"/>
  <c r="N42" i="14"/>
  <c r="Q42" i="14"/>
  <c r="T42" i="14" s="1"/>
  <c r="R42" i="14"/>
  <c r="U42" i="14" s="1"/>
  <c r="S42" i="14"/>
  <c r="V42" i="14" s="1"/>
  <c r="P42" i="13"/>
  <c r="O42" i="13"/>
  <c r="N42" i="13"/>
  <c r="Q42" i="13"/>
  <c r="T42" i="13" s="1"/>
  <c r="R42" i="13"/>
  <c r="U42" i="13" s="1"/>
  <c r="S42" i="13"/>
  <c r="V42" i="13" s="1"/>
  <c r="J45" i="13"/>
  <c r="G44" i="13"/>
  <c r="I43" i="13"/>
  <c r="K43" i="13" s="1"/>
  <c r="L43" i="13" s="1"/>
  <c r="M43" i="13"/>
  <c r="I43" i="12"/>
  <c r="K43" i="12" s="1"/>
  <c r="L43" i="12" s="1"/>
  <c r="M43" i="12"/>
  <c r="G44" i="12"/>
  <c r="J45" i="12"/>
  <c r="N42" i="12"/>
  <c r="Q42" i="12" s="1"/>
  <c r="T42" i="12" s="1"/>
  <c r="P42" i="12"/>
  <c r="S42" i="12" s="1"/>
  <c r="V42" i="12" s="1"/>
  <c r="O42" i="12"/>
  <c r="R42" i="12" s="1"/>
  <c r="U42" i="12" s="1"/>
  <c r="J45" i="11"/>
  <c r="G44" i="11"/>
  <c r="M43" i="11"/>
  <c r="I43" i="11"/>
  <c r="K43" i="11" s="1"/>
  <c r="L43" i="11" s="1"/>
  <c r="S42" i="11"/>
  <c r="V42" i="11" s="1"/>
  <c r="P42" i="11"/>
  <c r="N42" i="11"/>
  <c r="Q42" i="11" s="1"/>
  <c r="T42" i="11" s="1"/>
  <c r="O42" i="11"/>
  <c r="R42" i="11" s="1"/>
  <c r="U42" i="11" s="1"/>
  <c r="J45" i="10"/>
  <c r="G44" i="10"/>
  <c r="M43" i="10"/>
  <c r="I43" i="10"/>
  <c r="K43" i="10" s="1"/>
  <c r="L43" i="10" s="1"/>
  <c r="S42" i="10"/>
  <c r="V42" i="10" s="1"/>
  <c r="P42" i="10"/>
  <c r="O42" i="10"/>
  <c r="R42" i="10" s="1"/>
  <c r="U42" i="10" s="1"/>
  <c r="N42" i="10"/>
  <c r="Q42" i="10" s="1"/>
  <c r="T42" i="10" s="1"/>
  <c r="P41" i="9"/>
  <c r="O41" i="9"/>
  <c r="N41" i="9"/>
  <c r="I42" i="9"/>
  <c r="K42" i="9" s="1"/>
  <c r="L42" i="9" s="1"/>
  <c r="M42" i="9"/>
  <c r="J44" i="9"/>
  <c r="G43" i="9"/>
  <c r="Q116" i="9" l="1"/>
  <c r="T116" i="9" s="1"/>
  <c r="M118" i="9"/>
  <c r="I118" i="9"/>
  <c r="K118" i="9" s="1"/>
  <c r="L118" i="9" s="1"/>
  <c r="J120" i="9"/>
  <c r="G119" i="9"/>
  <c r="N117" i="9"/>
  <c r="P117" i="9"/>
  <c r="O117" i="9"/>
  <c r="Q117" i="9"/>
  <c r="T117" i="9" s="1"/>
  <c r="R117" i="9"/>
  <c r="U117" i="9" s="1"/>
  <c r="S117" i="9"/>
  <c r="V117" i="9" s="1"/>
  <c r="P43" i="15"/>
  <c r="S43" i="15" s="1"/>
  <c r="V43" i="15" s="1"/>
  <c r="N43" i="15"/>
  <c r="Q43" i="15" s="1"/>
  <c r="T43" i="15" s="1"/>
  <c r="O43" i="15"/>
  <c r="R43" i="15" s="1"/>
  <c r="U43" i="15" s="1"/>
  <c r="G45" i="15"/>
  <c r="J46" i="15"/>
  <c r="M44" i="15"/>
  <c r="I44" i="15"/>
  <c r="K44" i="15" s="1"/>
  <c r="L44" i="15" s="1"/>
  <c r="J46" i="14"/>
  <c r="G45" i="14"/>
  <c r="I44" i="14"/>
  <c r="K44" i="14" s="1"/>
  <c r="L44" i="14" s="1"/>
  <c r="M44" i="14"/>
  <c r="P43" i="14"/>
  <c r="S43" i="14" s="1"/>
  <c r="V43" i="14" s="1"/>
  <c r="N43" i="14"/>
  <c r="Q43" i="14" s="1"/>
  <c r="T43" i="14" s="1"/>
  <c r="O43" i="14"/>
  <c r="R43" i="14" s="1"/>
  <c r="U43" i="14" s="1"/>
  <c r="J46" i="13"/>
  <c r="G45" i="13"/>
  <c r="I44" i="13"/>
  <c r="K44" i="13" s="1"/>
  <c r="L44" i="13" s="1"/>
  <c r="M44" i="13"/>
  <c r="N43" i="13"/>
  <c r="P43" i="13"/>
  <c r="O43" i="13"/>
  <c r="Q43" i="13"/>
  <c r="T43" i="13" s="1"/>
  <c r="S43" i="13"/>
  <c r="V43" i="13" s="1"/>
  <c r="R43" i="13"/>
  <c r="U43" i="13" s="1"/>
  <c r="N43" i="12"/>
  <c r="O43" i="12"/>
  <c r="P43" i="12"/>
  <c r="Q43" i="12"/>
  <c r="T43" i="12" s="1"/>
  <c r="S43" i="12"/>
  <c r="V43" i="12" s="1"/>
  <c r="R43" i="12"/>
  <c r="U43" i="12" s="1"/>
  <c r="I44" i="12"/>
  <c r="K44" i="12" s="1"/>
  <c r="L44" i="12" s="1"/>
  <c r="M44" i="12"/>
  <c r="J46" i="12"/>
  <c r="G45" i="12"/>
  <c r="J46" i="11"/>
  <c r="G45" i="11"/>
  <c r="M44" i="11"/>
  <c r="I44" i="11"/>
  <c r="K44" i="11" s="1"/>
  <c r="L44" i="11" s="1"/>
  <c r="P43" i="11"/>
  <c r="S43" i="11" s="1"/>
  <c r="V43" i="11" s="1"/>
  <c r="N43" i="11"/>
  <c r="Q43" i="11" s="1"/>
  <c r="T43" i="11" s="1"/>
  <c r="O43" i="11"/>
  <c r="R43" i="11" s="1"/>
  <c r="U43" i="11" s="1"/>
  <c r="J46" i="10"/>
  <c r="G45" i="10"/>
  <c r="I44" i="10"/>
  <c r="K44" i="10" s="1"/>
  <c r="L44" i="10" s="1"/>
  <c r="M44" i="10"/>
  <c r="P43" i="10"/>
  <c r="S43" i="10" s="1"/>
  <c r="V43" i="10" s="1"/>
  <c r="N43" i="10"/>
  <c r="Q43" i="10" s="1"/>
  <c r="T43" i="10" s="1"/>
  <c r="O43" i="10"/>
  <c r="R43" i="10" s="1"/>
  <c r="U43" i="10" s="1"/>
  <c r="P42" i="9"/>
  <c r="O42" i="9"/>
  <c r="N42" i="9"/>
  <c r="I43" i="9"/>
  <c r="K43" i="9" s="1"/>
  <c r="L43" i="9" s="1"/>
  <c r="M43" i="9"/>
  <c r="J45" i="9"/>
  <c r="G44" i="9"/>
  <c r="O118" i="9" l="1"/>
  <c r="P118" i="9"/>
  <c r="N118" i="9"/>
  <c r="J121" i="9"/>
  <c r="G120" i="9"/>
  <c r="M119" i="9"/>
  <c r="I119" i="9"/>
  <c r="K119" i="9" s="1"/>
  <c r="L119" i="9" s="1"/>
  <c r="I45" i="15"/>
  <c r="K45" i="15" s="1"/>
  <c r="L45" i="15" s="1"/>
  <c r="M45" i="15"/>
  <c r="J47" i="15"/>
  <c r="G46" i="15"/>
  <c r="N44" i="15"/>
  <c r="Q44" i="15" s="1"/>
  <c r="T44" i="15" s="1"/>
  <c r="P44" i="15"/>
  <c r="S44" i="15" s="1"/>
  <c r="V44" i="15" s="1"/>
  <c r="O44" i="15"/>
  <c r="R44" i="15" s="1"/>
  <c r="U44" i="15" s="1"/>
  <c r="J47" i="14"/>
  <c r="G46" i="14"/>
  <c r="I45" i="14"/>
  <c r="K45" i="14" s="1"/>
  <c r="L45" i="14" s="1"/>
  <c r="M45" i="14"/>
  <c r="P44" i="14"/>
  <c r="S44" i="14" s="1"/>
  <c r="V44" i="14" s="1"/>
  <c r="O44" i="14"/>
  <c r="N44" i="14"/>
  <c r="Q44" i="14" s="1"/>
  <c r="T44" i="14" s="1"/>
  <c r="R44" i="14"/>
  <c r="U44" i="14" s="1"/>
  <c r="J47" i="13"/>
  <c r="G46" i="13"/>
  <c r="M45" i="13"/>
  <c r="I45" i="13"/>
  <c r="K45" i="13" s="1"/>
  <c r="L45" i="13" s="1"/>
  <c r="O44" i="13"/>
  <c r="N44" i="13"/>
  <c r="P44" i="13"/>
  <c r="Q44" i="13"/>
  <c r="T44" i="13" s="1"/>
  <c r="S44" i="13"/>
  <c r="V44" i="13" s="1"/>
  <c r="R44" i="13"/>
  <c r="U44" i="13" s="1"/>
  <c r="O44" i="12"/>
  <c r="N44" i="12"/>
  <c r="P44" i="12"/>
  <c r="Q44" i="12"/>
  <c r="T44" i="12" s="1"/>
  <c r="S44" i="12"/>
  <c r="V44" i="12" s="1"/>
  <c r="R44" i="12"/>
  <c r="U44" i="12" s="1"/>
  <c r="G46" i="12"/>
  <c r="J47" i="12"/>
  <c r="I45" i="12"/>
  <c r="K45" i="12" s="1"/>
  <c r="L45" i="12" s="1"/>
  <c r="M45" i="12"/>
  <c r="G46" i="11"/>
  <c r="J47" i="11"/>
  <c r="I45" i="11"/>
  <c r="K45" i="11" s="1"/>
  <c r="L45" i="11" s="1"/>
  <c r="M45" i="11"/>
  <c r="N44" i="11"/>
  <c r="Q44" i="11" s="1"/>
  <c r="T44" i="11" s="1"/>
  <c r="O44" i="11"/>
  <c r="R44" i="11" s="1"/>
  <c r="U44" i="11" s="1"/>
  <c r="P44" i="11"/>
  <c r="S44" i="11" s="1"/>
  <c r="V44" i="11" s="1"/>
  <c r="J47" i="10"/>
  <c r="G46" i="10"/>
  <c r="I45" i="10"/>
  <c r="K45" i="10" s="1"/>
  <c r="L45" i="10" s="1"/>
  <c r="M45" i="10"/>
  <c r="N44" i="10"/>
  <c r="O44" i="10"/>
  <c r="R44" i="10" s="1"/>
  <c r="U44" i="10" s="1"/>
  <c r="P44" i="10"/>
  <c r="Q44" i="10"/>
  <c r="T44" i="10" s="1"/>
  <c r="S44" i="10"/>
  <c r="V44" i="10" s="1"/>
  <c r="P43" i="9"/>
  <c r="O43" i="9"/>
  <c r="N43" i="9"/>
  <c r="I44" i="9"/>
  <c r="K44" i="9" s="1"/>
  <c r="L44" i="9" s="1"/>
  <c r="M44" i="9"/>
  <c r="J46" i="9"/>
  <c r="G45" i="9"/>
  <c r="Q118" i="9" l="1"/>
  <c r="T118" i="9" s="1"/>
  <c r="R118" i="9"/>
  <c r="U118" i="9" s="1"/>
  <c r="S118" i="9"/>
  <c r="V118" i="9" s="1"/>
  <c r="J122" i="9"/>
  <c r="G121" i="9"/>
  <c r="M120" i="9"/>
  <c r="I120" i="9"/>
  <c r="K120" i="9" s="1"/>
  <c r="L120" i="9" s="1"/>
  <c r="P119" i="9"/>
  <c r="O119" i="9"/>
  <c r="N119" i="9"/>
  <c r="P45" i="15"/>
  <c r="N45" i="15"/>
  <c r="O45" i="15"/>
  <c r="S45" i="15"/>
  <c r="V45" i="15" s="1"/>
  <c r="Q45" i="15"/>
  <c r="T45" i="15" s="1"/>
  <c r="R45" i="15"/>
  <c r="U45" i="15" s="1"/>
  <c r="J48" i="15"/>
  <c r="G47" i="15"/>
  <c r="M46" i="15"/>
  <c r="I46" i="15"/>
  <c r="K46" i="15" s="1"/>
  <c r="L46" i="15" s="1"/>
  <c r="J48" i="14"/>
  <c r="G47" i="14"/>
  <c r="M46" i="14"/>
  <c r="I46" i="14"/>
  <c r="K46" i="14" s="1"/>
  <c r="L46" i="14" s="1"/>
  <c r="N45" i="14"/>
  <c r="Q45" i="14" s="1"/>
  <c r="T45" i="14" s="1"/>
  <c r="P45" i="14"/>
  <c r="S45" i="14" s="1"/>
  <c r="V45" i="14" s="1"/>
  <c r="O45" i="14"/>
  <c r="R45" i="14"/>
  <c r="U45" i="14" s="1"/>
  <c r="J48" i="13"/>
  <c r="G47" i="13"/>
  <c r="M46" i="13"/>
  <c r="I46" i="13"/>
  <c r="K46" i="13" s="1"/>
  <c r="L46" i="13" s="1"/>
  <c r="O45" i="13"/>
  <c r="R45" i="13" s="1"/>
  <c r="U45" i="13" s="1"/>
  <c r="N45" i="13"/>
  <c r="Q45" i="13" s="1"/>
  <c r="T45" i="13" s="1"/>
  <c r="P45" i="13"/>
  <c r="S45" i="13" s="1"/>
  <c r="V45" i="13" s="1"/>
  <c r="I46" i="12"/>
  <c r="K46" i="12" s="1"/>
  <c r="L46" i="12" s="1"/>
  <c r="M46" i="12"/>
  <c r="J48" i="12"/>
  <c r="G47" i="12"/>
  <c r="N45" i="12"/>
  <c r="P45" i="12"/>
  <c r="O45" i="12"/>
  <c r="Q45" i="12"/>
  <c r="T45" i="12" s="1"/>
  <c r="R45" i="12"/>
  <c r="U45" i="12" s="1"/>
  <c r="S45" i="12"/>
  <c r="V45" i="12" s="1"/>
  <c r="M46" i="11"/>
  <c r="I46" i="11"/>
  <c r="K46" i="11" s="1"/>
  <c r="L46" i="11" s="1"/>
  <c r="G47" i="11"/>
  <c r="J48" i="11"/>
  <c r="O45" i="11"/>
  <c r="R45" i="11" s="1"/>
  <c r="U45" i="11" s="1"/>
  <c r="N45" i="11"/>
  <c r="Q45" i="11" s="1"/>
  <c r="T45" i="11" s="1"/>
  <c r="P45" i="11"/>
  <c r="S45" i="11" s="1"/>
  <c r="V45" i="11" s="1"/>
  <c r="J48" i="10"/>
  <c r="G47" i="10"/>
  <c r="I46" i="10"/>
  <c r="K46" i="10" s="1"/>
  <c r="L46" i="10" s="1"/>
  <c r="M46" i="10"/>
  <c r="O45" i="10"/>
  <c r="N45" i="10"/>
  <c r="P45" i="10"/>
  <c r="S45" i="10"/>
  <c r="V45" i="10" s="1"/>
  <c r="Q45" i="10"/>
  <c r="T45" i="10" s="1"/>
  <c r="R45" i="10"/>
  <c r="U45" i="10" s="1"/>
  <c r="P44" i="9"/>
  <c r="O44" i="9"/>
  <c r="N44" i="9"/>
  <c r="I45" i="9"/>
  <c r="K45" i="9" s="1"/>
  <c r="L45" i="9" s="1"/>
  <c r="M45" i="9"/>
  <c r="J47" i="9"/>
  <c r="G46" i="9"/>
  <c r="S119" i="9" l="1"/>
  <c r="V119" i="9" s="1"/>
  <c r="R119" i="9"/>
  <c r="U119" i="9" s="1"/>
  <c r="Q119" i="9"/>
  <c r="T119" i="9" s="1"/>
  <c r="J123" i="9"/>
  <c r="G122" i="9"/>
  <c r="M121" i="9"/>
  <c r="I121" i="9"/>
  <c r="K121" i="9" s="1"/>
  <c r="L121" i="9" s="1"/>
  <c r="S120" i="9"/>
  <c r="V120" i="9" s="1"/>
  <c r="O120" i="9"/>
  <c r="N120" i="9"/>
  <c r="P120" i="9"/>
  <c r="G48" i="15"/>
  <c r="J49" i="15"/>
  <c r="I47" i="15"/>
  <c r="K47" i="15" s="1"/>
  <c r="L47" i="15" s="1"/>
  <c r="M47" i="15"/>
  <c r="N46" i="15"/>
  <c r="Q46" i="15" s="1"/>
  <c r="T46" i="15" s="1"/>
  <c r="P46" i="15"/>
  <c r="S46" i="15" s="1"/>
  <c r="V46" i="15" s="1"/>
  <c r="O46" i="15"/>
  <c r="R46" i="15" s="1"/>
  <c r="U46" i="15" s="1"/>
  <c r="J49" i="14"/>
  <c r="G48" i="14"/>
  <c r="M47" i="14"/>
  <c r="I47" i="14"/>
  <c r="K47" i="14" s="1"/>
  <c r="L47" i="14" s="1"/>
  <c r="N46" i="14"/>
  <c r="Q46" i="14" s="1"/>
  <c r="T46" i="14" s="1"/>
  <c r="P46" i="14"/>
  <c r="S46" i="14" s="1"/>
  <c r="V46" i="14" s="1"/>
  <c r="O46" i="14"/>
  <c r="R46" i="14" s="1"/>
  <c r="U46" i="14" s="1"/>
  <c r="J49" i="13"/>
  <c r="G48" i="13"/>
  <c r="M47" i="13"/>
  <c r="I47" i="13"/>
  <c r="K47" i="13" s="1"/>
  <c r="L47" i="13" s="1"/>
  <c r="N46" i="13"/>
  <c r="Q46" i="13" s="1"/>
  <c r="T46" i="13" s="1"/>
  <c r="O46" i="13"/>
  <c r="R46" i="13" s="1"/>
  <c r="U46" i="13" s="1"/>
  <c r="P46" i="13"/>
  <c r="S46" i="13" s="1"/>
  <c r="V46" i="13" s="1"/>
  <c r="O46" i="12"/>
  <c r="R46" i="12" s="1"/>
  <c r="U46" i="12" s="1"/>
  <c r="N46" i="12"/>
  <c r="Q46" i="12" s="1"/>
  <c r="T46" i="12" s="1"/>
  <c r="P46" i="12"/>
  <c r="S46" i="12" s="1"/>
  <c r="V46" i="12" s="1"/>
  <c r="G48" i="12"/>
  <c r="J49" i="12"/>
  <c r="M47" i="12"/>
  <c r="I47" i="12"/>
  <c r="K47" i="12" s="1"/>
  <c r="L47" i="12" s="1"/>
  <c r="N46" i="11"/>
  <c r="Q46" i="11" s="1"/>
  <c r="T46" i="11" s="1"/>
  <c r="P46" i="11"/>
  <c r="S46" i="11" s="1"/>
  <c r="V46" i="11" s="1"/>
  <c r="O46" i="11"/>
  <c r="R46" i="11" s="1"/>
  <c r="U46" i="11" s="1"/>
  <c r="M47" i="11"/>
  <c r="I47" i="11"/>
  <c r="K47" i="11" s="1"/>
  <c r="L47" i="11" s="1"/>
  <c r="J49" i="11"/>
  <c r="G48" i="11"/>
  <c r="J49" i="10"/>
  <c r="G48" i="10"/>
  <c r="I47" i="10"/>
  <c r="K47" i="10" s="1"/>
  <c r="L47" i="10" s="1"/>
  <c r="M47" i="10"/>
  <c r="N46" i="10"/>
  <c r="O46" i="10"/>
  <c r="P46" i="10"/>
  <c r="S46" i="10" s="1"/>
  <c r="V46" i="10" s="1"/>
  <c r="R46" i="10"/>
  <c r="U46" i="10" s="1"/>
  <c r="Q46" i="10"/>
  <c r="T46" i="10" s="1"/>
  <c r="P45" i="9"/>
  <c r="O45" i="9"/>
  <c r="N45" i="9"/>
  <c r="I46" i="9"/>
  <c r="K46" i="9" s="1"/>
  <c r="L46" i="9" s="1"/>
  <c r="M46" i="9"/>
  <c r="J48" i="9"/>
  <c r="G47" i="9"/>
  <c r="R120" i="9" l="1"/>
  <c r="U120" i="9" s="1"/>
  <c r="Q120" i="9"/>
  <c r="T120" i="9" s="1"/>
  <c r="J124" i="9"/>
  <c r="G123" i="9"/>
  <c r="M122" i="9"/>
  <c r="I122" i="9"/>
  <c r="K122" i="9" s="1"/>
  <c r="L122" i="9" s="1"/>
  <c r="O121" i="9"/>
  <c r="N121" i="9"/>
  <c r="P121" i="9"/>
  <c r="I48" i="15"/>
  <c r="K48" i="15" s="1"/>
  <c r="L48" i="15" s="1"/>
  <c r="M48" i="15"/>
  <c r="J50" i="15"/>
  <c r="G49" i="15"/>
  <c r="P47" i="15"/>
  <c r="S47" i="15" s="1"/>
  <c r="V47" i="15" s="1"/>
  <c r="N47" i="15"/>
  <c r="Q47" i="15" s="1"/>
  <c r="T47" i="15" s="1"/>
  <c r="O47" i="15"/>
  <c r="R47" i="15" s="1"/>
  <c r="U47" i="15" s="1"/>
  <c r="J50" i="14"/>
  <c r="G49" i="14"/>
  <c r="I48" i="14"/>
  <c r="K48" i="14" s="1"/>
  <c r="L48" i="14" s="1"/>
  <c r="M48" i="14"/>
  <c r="O47" i="14"/>
  <c r="R47" i="14" s="1"/>
  <c r="U47" i="14" s="1"/>
  <c r="P47" i="14"/>
  <c r="S47" i="14" s="1"/>
  <c r="V47" i="14" s="1"/>
  <c r="N47" i="14"/>
  <c r="Q47" i="14" s="1"/>
  <c r="T47" i="14" s="1"/>
  <c r="J50" i="13"/>
  <c r="G49" i="13"/>
  <c r="I48" i="13"/>
  <c r="K48" i="13" s="1"/>
  <c r="L48" i="13" s="1"/>
  <c r="M48" i="13"/>
  <c r="O47" i="13"/>
  <c r="R47" i="13" s="1"/>
  <c r="U47" i="13" s="1"/>
  <c r="P47" i="13"/>
  <c r="S47" i="13" s="1"/>
  <c r="V47" i="13" s="1"/>
  <c r="N47" i="13"/>
  <c r="Q47" i="13" s="1"/>
  <c r="T47" i="13" s="1"/>
  <c r="I48" i="12"/>
  <c r="K48" i="12" s="1"/>
  <c r="L48" i="12" s="1"/>
  <c r="M48" i="12"/>
  <c r="J50" i="12"/>
  <c r="G49" i="12"/>
  <c r="N47" i="12"/>
  <c r="Q47" i="12" s="1"/>
  <c r="T47" i="12" s="1"/>
  <c r="O47" i="12"/>
  <c r="R47" i="12" s="1"/>
  <c r="U47" i="12" s="1"/>
  <c r="P47" i="12"/>
  <c r="S47" i="12" s="1"/>
  <c r="V47" i="12" s="1"/>
  <c r="P47" i="11"/>
  <c r="S47" i="11" s="1"/>
  <c r="V47" i="11" s="1"/>
  <c r="N47" i="11"/>
  <c r="Q47" i="11" s="1"/>
  <c r="T47" i="11" s="1"/>
  <c r="O47" i="11"/>
  <c r="R47" i="11" s="1"/>
  <c r="U47" i="11" s="1"/>
  <c r="J50" i="11"/>
  <c r="G49" i="11"/>
  <c r="I48" i="11"/>
  <c r="K48" i="11" s="1"/>
  <c r="L48" i="11" s="1"/>
  <c r="M48" i="11"/>
  <c r="J50" i="10"/>
  <c r="G49" i="10"/>
  <c r="M48" i="10"/>
  <c r="I48" i="10"/>
  <c r="K48" i="10" s="1"/>
  <c r="L48" i="10" s="1"/>
  <c r="P47" i="10"/>
  <c r="S47" i="10" s="1"/>
  <c r="V47" i="10" s="1"/>
  <c r="O47" i="10"/>
  <c r="R47" i="10" s="1"/>
  <c r="U47" i="10" s="1"/>
  <c r="N47" i="10"/>
  <c r="Q47" i="10"/>
  <c r="T47" i="10" s="1"/>
  <c r="P46" i="9"/>
  <c r="O46" i="9"/>
  <c r="N46" i="9"/>
  <c r="I47" i="9"/>
  <c r="K47" i="9" s="1"/>
  <c r="L47" i="9" s="1"/>
  <c r="M47" i="9"/>
  <c r="J49" i="9"/>
  <c r="G48" i="9"/>
  <c r="R121" i="9" l="1"/>
  <c r="U121" i="9" s="1"/>
  <c r="Q121" i="9"/>
  <c r="T121" i="9" s="1"/>
  <c r="S121" i="9"/>
  <c r="V121" i="9" s="1"/>
  <c r="J125" i="9"/>
  <c r="G124" i="9"/>
  <c r="M123" i="9"/>
  <c r="I123" i="9"/>
  <c r="K123" i="9" s="1"/>
  <c r="L123" i="9" s="1"/>
  <c r="O122" i="9"/>
  <c r="N122" i="9"/>
  <c r="P122" i="9"/>
  <c r="N48" i="15"/>
  <c r="O48" i="15"/>
  <c r="P48" i="15"/>
  <c r="S48" i="15" s="1"/>
  <c r="V48" i="15" s="1"/>
  <c r="R48" i="15"/>
  <c r="U48" i="15" s="1"/>
  <c r="Q48" i="15"/>
  <c r="T48" i="15" s="1"/>
  <c r="J51" i="15"/>
  <c r="G50" i="15"/>
  <c r="M49" i="15"/>
  <c r="I49" i="15"/>
  <c r="K49" i="15" s="1"/>
  <c r="L49" i="15" s="1"/>
  <c r="J51" i="14"/>
  <c r="G50" i="14"/>
  <c r="M49" i="14"/>
  <c r="I49" i="14"/>
  <c r="K49" i="14" s="1"/>
  <c r="L49" i="14" s="1"/>
  <c r="N48" i="14"/>
  <c r="Q48" i="14" s="1"/>
  <c r="T48" i="14" s="1"/>
  <c r="P48" i="14"/>
  <c r="S48" i="14" s="1"/>
  <c r="V48" i="14" s="1"/>
  <c r="O48" i="14"/>
  <c r="R48" i="14" s="1"/>
  <c r="U48" i="14" s="1"/>
  <c r="J51" i="13"/>
  <c r="G50" i="13"/>
  <c r="M49" i="13"/>
  <c r="I49" i="13"/>
  <c r="K49" i="13" s="1"/>
  <c r="L49" i="13" s="1"/>
  <c r="O48" i="13"/>
  <c r="R48" i="13" s="1"/>
  <c r="U48" i="13" s="1"/>
  <c r="P48" i="13"/>
  <c r="S48" i="13" s="1"/>
  <c r="V48" i="13" s="1"/>
  <c r="N48" i="13"/>
  <c r="Q48" i="13"/>
  <c r="T48" i="13" s="1"/>
  <c r="N48" i="12"/>
  <c r="P48" i="12"/>
  <c r="O48" i="12"/>
  <c r="S48" i="12"/>
  <c r="V48" i="12" s="1"/>
  <c r="Q48" i="12"/>
  <c r="T48" i="12" s="1"/>
  <c r="R48" i="12"/>
  <c r="U48" i="12" s="1"/>
  <c r="J51" i="12"/>
  <c r="G50" i="12"/>
  <c r="I49" i="12"/>
  <c r="K49" i="12" s="1"/>
  <c r="L49" i="12" s="1"/>
  <c r="M49" i="12"/>
  <c r="J51" i="11"/>
  <c r="G50" i="11"/>
  <c r="I49" i="11"/>
  <c r="K49" i="11" s="1"/>
  <c r="L49" i="11" s="1"/>
  <c r="M49" i="11"/>
  <c r="N48" i="11"/>
  <c r="O48" i="11"/>
  <c r="P48" i="11"/>
  <c r="Q48" i="11"/>
  <c r="T48" i="11" s="1"/>
  <c r="S48" i="11"/>
  <c r="V48" i="11" s="1"/>
  <c r="R48" i="11"/>
  <c r="U48" i="11" s="1"/>
  <c r="J51" i="10"/>
  <c r="G50" i="10"/>
  <c r="M49" i="10"/>
  <c r="I49" i="10"/>
  <c r="K49" i="10" s="1"/>
  <c r="L49" i="10" s="1"/>
  <c r="N48" i="10"/>
  <c r="Q48" i="10" s="1"/>
  <c r="T48" i="10" s="1"/>
  <c r="O48" i="10"/>
  <c r="R48" i="10" s="1"/>
  <c r="U48" i="10" s="1"/>
  <c r="P48" i="10"/>
  <c r="S48" i="10" s="1"/>
  <c r="V48" i="10" s="1"/>
  <c r="P47" i="9"/>
  <c r="O47" i="9"/>
  <c r="N47" i="9"/>
  <c r="I48" i="9"/>
  <c r="K48" i="9" s="1"/>
  <c r="L48" i="9" s="1"/>
  <c r="M48" i="9"/>
  <c r="J50" i="9"/>
  <c r="G49" i="9"/>
  <c r="R122" i="9" l="1"/>
  <c r="U122" i="9" s="1"/>
  <c r="Q122" i="9"/>
  <c r="T122" i="9" s="1"/>
  <c r="S122" i="9"/>
  <c r="V122" i="9" s="1"/>
  <c r="G125" i="9"/>
  <c r="J126" i="9"/>
  <c r="M124" i="9"/>
  <c r="I124" i="9"/>
  <c r="K124" i="9" s="1"/>
  <c r="L124" i="9" s="1"/>
  <c r="O123" i="9"/>
  <c r="P123" i="9"/>
  <c r="N123" i="9"/>
  <c r="G51" i="15"/>
  <c r="J52" i="15"/>
  <c r="M50" i="15"/>
  <c r="I50" i="15"/>
  <c r="K50" i="15" s="1"/>
  <c r="L50" i="15" s="1"/>
  <c r="P49" i="15"/>
  <c r="S49" i="15" s="1"/>
  <c r="V49" i="15" s="1"/>
  <c r="N49" i="15"/>
  <c r="Q49" i="15" s="1"/>
  <c r="T49" i="15" s="1"/>
  <c r="O49" i="15"/>
  <c r="R49" i="15" s="1"/>
  <c r="U49" i="15" s="1"/>
  <c r="J52" i="14"/>
  <c r="G51" i="14"/>
  <c r="I50" i="14"/>
  <c r="K50" i="14" s="1"/>
  <c r="L50" i="14" s="1"/>
  <c r="M50" i="14"/>
  <c r="P49" i="14"/>
  <c r="S49" i="14" s="1"/>
  <c r="V49" i="14" s="1"/>
  <c r="O49" i="14"/>
  <c r="R49" i="14" s="1"/>
  <c r="U49" i="14" s="1"/>
  <c r="N49" i="14"/>
  <c r="Q49" i="14" s="1"/>
  <c r="T49" i="14" s="1"/>
  <c r="J52" i="13"/>
  <c r="G51" i="13"/>
  <c r="M50" i="13"/>
  <c r="I50" i="13"/>
  <c r="K50" i="13" s="1"/>
  <c r="L50" i="13" s="1"/>
  <c r="N49" i="13"/>
  <c r="Q49" i="13" s="1"/>
  <c r="T49" i="13" s="1"/>
  <c r="P49" i="13"/>
  <c r="S49" i="13" s="1"/>
  <c r="V49" i="13" s="1"/>
  <c r="O49" i="13"/>
  <c r="R49" i="13" s="1"/>
  <c r="U49" i="13" s="1"/>
  <c r="J52" i="12"/>
  <c r="G51" i="12"/>
  <c r="I50" i="12"/>
  <c r="K50" i="12" s="1"/>
  <c r="L50" i="12" s="1"/>
  <c r="M50" i="12"/>
  <c r="N49" i="12"/>
  <c r="P49" i="12"/>
  <c r="O49" i="12"/>
  <c r="R49" i="12"/>
  <c r="U49" i="12" s="1"/>
  <c r="S49" i="12"/>
  <c r="V49" i="12" s="1"/>
  <c r="Q49" i="12"/>
  <c r="T49" i="12" s="1"/>
  <c r="G51" i="11"/>
  <c r="J52" i="11"/>
  <c r="M50" i="11"/>
  <c r="I50" i="11"/>
  <c r="K50" i="11" s="1"/>
  <c r="L50" i="11" s="1"/>
  <c r="N49" i="11"/>
  <c r="Q49" i="11" s="1"/>
  <c r="T49" i="11" s="1"/>
  <c r="P49" i="11"/>
  <c r="O49" i="11"/>
  <c r="S49" i="11"/>
  <c r="V49" i="11" s="1"/>
  <c r="R49" i="11"/>
  <c r="U49" i="11" s="1"/>
  <c r="J52" i="10"/>
  <c r="G51" i="10"/>
  <c r="I50" i="10"/>
  <c r="K50" i="10" s="1"/>
  <c r="L50" i="10" s="1"/>
  <c r="M50" i="10"/>
  <c r="O49" i="10"/>
  <c r="R49" i="10" s="1"/>
  <c r="U49" i="10" s="1"/>
  <c r="P49" i="10"/>
  <c r="S49" i="10" s="1"/>
  <c r="V49" i="10" s="1"/>
  <c r="N49" i="10"/>
  <c r="Q49" i="10" s="1"/>
  <c r="T49" i="10" s="1"/>
  <c r="P48" i="9"/>
  <c r="O48" i="9"/>
  <c r="N48" i="9"/>
  <c r="I49" i="9"/>
  <c r="K49" i="9" s="1"/>
  <c r="L49" i="9" s="1"/>
  <c r="M49" i="9"/>
  <c r="J51" i="9"/>
  <c r="G50" i="9"/>
  <c r="R123" i="9" l="1"/>
  <c r="U123" i="9" s="1"/>
  <c r="S123" i="9"/>
  <c r="V123" i="9" s="1"/>
  <c r="Q123" i="9"/>
  <c r="T123" i="9" s="1"/>
  <c r="M125" i="9"/>
  <c r="I125" i="9"/>
  <c r="K125" i="9" s="1"/>
  <c r="L125" i="9" s="1"/>
  <c r="J127" i="9"/>
  <c r="G126" i="9"/>
  <c r="P124" i="9"/>
  <c r="O124" i="9"/>
  <c r="N124" i="9"/>
  <c r="I51" i="15"/>
  <c r="K51" i="15" s="1"/>
  <c r="L51" i="15" s="1"/>
  <c r="M51" i="15"/>
  <c r="J53" i="15"/>
  <c r="G52" i="15"/>
  <c r="O50" i="15"/>
  <c r="R50" i="15" s="1"/>
  <c r="U50" i="15" s="1"/>
  <c r="N50" i="15"/>
  <c r="Q50" i="15" s="1"/>
  <c r="T50" i="15" s="1"/>
  <c r="P50" i="15"/>
  <c r="S50" i="15" s="1"/>
  <c r="V50" i="15" s="1"/>
  <c r="J53" i="14"/>
  <c r="G52" i="14"/>
  <c r="I51" i="14"/>
  <c r="K51" i="14" s="1"/>
  <c r="L51" i="14" s="1"/>
  <c r="M51" i="14"/>
  <c r="P50" i="14"/>
  <c r="N50" i="14"/>
  <c r="O50" i="14"/>
  <c r="Q50" i="14"/>
  <c r="T50" i="14" s="1"/>
  <c r="S50" i="14"/>
  <c r="V50" i="14" s="1"/>
  <c r="R50" i="14"/>
  <c r="U50" i="14" s="1"/>
  <c r="J53" i="13"/>
  <c r="G52" i="13"/>
  <c r="M51" i="13"/>
  <c r="I51" i="13"/>
  <c r="K51" i="13" s="1"/>
  <c r="L51" i="13" s="1"/>
  <c r="P50" i="13"/>
  <c r="S50" i="13" s="1"/>
  <c r="V50" i="13" s="1"/>
  <c r="O50" i="13"/>
  <c r="R50" i="13" s="1"/>
  <c r="U50" i="13" s="1"/>
  <c r="N50" i="13"/>
  <c r="Q50" i="13" s="1"/>
  <c r="T50" i="13" s="1"/>
  <c r="J53" i="12"/>
  <c r="G52" i="12"/>
  <c r="I51" i="12"/>
  <c r="K51" i="12" s="1"/>
  <c r="L51" i="12" s="1"/>
  <c r="M51" i="12"/>
  <c r="N50" i="12"/>
  <c r="O50" i="12"/>
  <c r="P50" i="12"/>
  <c r="Q50" i="12"/>
  <c r="T50" i="12" s="1"/>
  <c r="R50" i="12"/>
  <c r="U50" i="12" s="1"/>
  <c r="S50" i="12"/>
  <c r="V50" i="12" s="1"/>
  <c r="I51" i="11"/>
  <c r="K51" i="11" s="1"/>
  <c r="L51" i="11" s="1"/>
  <c r="M51" i="11"/>
  <c r="J53" i="11"/>
  <c r="G52" i="11"/>
  <c r="P50" i="11"/>
  <c r="S50" i="11" s="1"/>
  <c r="V50" i="11" s="1"/>
  <c r="N50" i="11"/>
  <c r="Q50" i="11" s="1"/>
  <c r="T50" i="11" s="1"/>
  <c r="O50" i="11"/>
  <c r="R50" i="11" s="1"/>
  <c r="U50" i="11" s="1"/>
  <c r="J53" i="10"/>
  <c r="G52" i="10"/>
  <c r="I51" i="10"/>
  <c r="K51" i="10" s="1"/>
  <c r="L51" i="10" s="1"/>
  <c r="M51" i="10"/>
  <c r="P50" i="10"/>
  <c r="N50" i="10"/>
  <c r="Q50" i="10" s="1"/>
  <c r="T50" i="10" s="1"/>
  <c r="O50" i="10"/>
  <c r="R50" i="10"/>
  <c r="U50" i="10" s="1"/>
  <c r="S50" i="10"/>
  <c r="V50" i="10" s="1"/>
  <c r="P49" i="9"/>
  <c r="O49" i="9"/>
  <c r="N49" i="9"/>
  <c r="I50" i="9"/>
  <c r="K50" i="9" s="1"/>
  <c r="L50" i="9" s="1"/>
  <c r="M50" i="9"/>
  <c r="J52" i="9"/>
  <c r="G51" i="9"/>
  <c r="S124" i="9" l="1"/>
  <c r="V124" i="9" s="1"/>
  <c r="R124" i="9"/>
  <c r="U124" i="9" s="1"/>
  <c r="Q124" i="9"/>
  <c r="T124" i="9" s="1"/>
  <c r="O125" i="9"/>
  <c r="P125" i="9"/>
  <c r="N125" i="9"/>
  <c r="J128" i="9"/>
  <c r="G127" i="9"/>
  <c r="I126" i="9"/>
  <c r="K126" i="9" s="1"/>
  <c r="L126" i="9" s="1"/>
  <c r="M126" i="9"/>
  <c r="O51" i="15"/>
  <c r="N51" i="15"/>
  <c r="Q51" i="15" s="1"/>
  <c r="T51" i="15" s="1"/>
  <c r="P51" i="15"/>
  <c r="R51" i="15"/>
  <c r="U51" i="15" s="1"/>
  <c r="S51" i="15"/>
  <c r="V51" i="15" s="1"/>
  <c r="G53" i="15"/>
  <c r="J54" i="15"/>
  <c r="M52" i="15"/>
  <c r="I52" i="15"/>
  <c r="K52" i="15" s="1"/>
  <c r="L52" i="15" s="1"/>
  <c r="J54" i="14"/>
  <c r="G53" i="14"/>
  <c r="I52" i="14"/>
  <c r="K52" i="14" s="1"/>
  <c r="L52" i="14" s="1"/>
  <c r="M52" i="14"/>
  <c r="P51" i="14"/>
  <c r="N51" i="14"/>
  <c r="O51" i="14"/>
  <c r="S51" i="14"/>
  <c r="V51" i="14" s="1"/>
  <c r="Q51" i="14"/>
  <c r="T51" i="14" s="1"/>
  <c r="R51" i="14"/>
  <c r="U51" i="14" s="1"/>
  <c r="J54" i="13"/>
  <c r="G53" i="13"/>
  <c r="M52" i="13"/>
  <c r="I52" i="13"/>
  <c r="K52" i="13" s="1"/>
  <c r="L52" i="13" s="1"/>
  <c r="P51" i="13"/>
  <c r="S51" i="13" s="1"/>
  <c r="V51" i="13" s="1"/>
  <c r="N51" i="13"/>
  <c r="Q51" i="13" s="1"/>
  <c r="T51" i="13" s="1"/>
  <c r="O51" i="13"/>
  <c r="R51" i="13" s="1"/>
  <c r="U51" i="13" s="1"/>
  <c r="J54" i="12"/>
  <c r="G53" i="12"/>
  <c r="M52" i="12"/>
  <c r="I52" i="12"/>
  <c r="K52" i="12" s="1"/>
  <c r="L52" i="12" s="1"/>
  <c r="P51" i="12"/>
  <c r="N51" i="12"/>
  <c r="O51" i="12"/>
  <c r="Q51" i="12"/>
  <c r="T51" i="12" s="1"/>
  <c r="R51" i="12"/>
  <c r="U51" i="12" s="1"/>
  <c r="S51" i="12"/>
  <c r="V51" i="12" s="1"/>
  <c r="N51" i="11"/>
  <c r="Q51" i="11" s="1"/>
  <c r="T51" i="11" s="1"/>
  <c r="P51" i="11"/>
  <c r="O51" i="11"/>
  <c r="S51" i="11"/>
  <c r="V51" i="11" s="1"/>
  <c r="R51" i="11"/>
  <c r="U51" i="11" s="1"/>
  <c r="J54" i="11"/>
  <c r="G53" i="11"/>
  <c r="M52" i="11"/>
  <c r="I52" i="11"/>
  <c r="K52" i="11" s="1"/>
  <c r="L52" i="11" s="1"/>
  <c r="J54" i="10"/>
  <c r="G53" i="10"/>
  <c r="I52" i="10"/>
  <c r="K52" i="10" s="1"/>
  <c r="L52" i="10" s="1"/>
  <c r="M52" i="10"/>
  <c r="P51" i="10"/>
  <c r="S51" i="10" s="1"/>
  <c r="V51" i="10" s="1"/>
  <c r="O51" i="10"/>
  <c r="R51" i="10" s="1"/>
  <c r="U51" i="10" s="1"/>
  <c r="N51" i="10"/>
  <c r="Q51" i="10"/>
  <c r="T51" i="10" s="1"/>
  <c r="P50" i="9"/>
  <c r="O50" i="9"/>
  <c r="N50" i="9"/>
  <c r="I51" i="9"/>
  <c r="K51" i="9" s="1"/>
  <c r="L51" i="9" s="1"/>
  <c r="M51" i="9"/>
  <c r="J53" i="9"/>
  <c r="G52" i="9"/>
  <c r="R125" i="9" l="1"/>
  <c r="U125" i="9" s="1"/>
  <c r="S125" i="9"/>
  <c r="V125" i="9" s="1"/>
  <c r="Q125" i="9"/>
  <c r="T125" i="9" s="1"/>
  <c r="J129" i="9"/>
  <c r="G128" i="9"/>
  <c r="I127" i="9"/>
  <c r="K127" i="9" s="1"/>
  <c r="L127" i="9" s="1"/>
  <c r="M127" i="9"/>
  <c r="N126" i="9"/>
  <c r="Q126" i="9" s="1"/>
  <c r="T126" i="9" s="1"/>
  <c r="O126" i="9"/>
  <c r="R126" i="9" s="1"/>
  <c r="U126" i="9" s="1"/>
  <c r="P126" i="9"/>
  <c r="M53" i="15"/>
  <c r="I53" i="15"/>
  <c r="K53" i="15" s="1"/>
  <c r="L53" i="15" s="1"/>
  <c r="J55" i="15"/>
  <c r="G54" i="15"/>
  <c r="N52" i="15"/>
  <c r="Q52" i="15" s="1"/>
  <c r="T52" i="15" s="1"/>
  <c r="P52" i="15"/>
  <c r="S52" i="15" s="1"/>
  <c r="V52" i="15" s="1"/>
  <c r="O52" i="15"/>
  <c r="R52" i="15" s="1"/>
  <c r="U52" i="15" s="1"/>
  <c r="J55" i="14"/>
  <c r="G54" i="14"/>
  <c r="M53" i="14"/>
  <c r="I53" i="14"/>
  <c r="K53" i="14" s="1"/>
  <c r="L53" i="14" s="1"/>
  <c r="P52" i="14"/>
  <c r="N52" i="14"/>
  <c r="O52" i="14"/>
  <c r="Q52" i="14"/>
  <c r="T52" i="14" s="1"/>
  <c r="R52" i="14"/>
  <c r="U52" i="14" s="1"/>
  <c r="S52" i="14"/>
  <c r="V52" i="14" s="1"/>
  <c r="J55" i="13"/>
  <c r="G54" i="13"/>
  <c r="M53" i="13"/>
  <c r="I53" i="13"/>
  <c r="K53" i="13" s="1"/>
  <c r="L53" i="13" s="1"/>
  <c r="O52" i="13"/>
  <c r="R52" i="13" s="1"/>
  <c r="U52" i="13" s="1"/>
  <c r="P52" i="13"/>
  <c r="S52" i="13" s="1"/>
  <c r="V52" i="13" s="1"/>
  <c r="N52" i="13"/>
  <c r="Q52" i="13" s="1"/>
  <c r="T52" i="13" s="1"/>
  <c r="J55" i="12"/>
  <c r="G54" i="12"/>
  <c r="I53" i="12"/>
  <c r="K53" i="12" s="1"/>
  <c r="L53" i="12" s="1"/>
  <c r="M53" i="12"/>
  <c r="P52" i="12"/>
  <c r="S52" i="12" s="1"/>
  <c r="V52" i="12" s="1"/>
  <c r="N52" i="12"/>
  <c r="Q52" i="12" s="1"/>
  <c r="T52" i="12" s="1"/>
  <c r="O52" i="12"/>
  <c r="R52" i="12" s="1"/>
  <c r="U52" i="12" s="1"/>
  <c r="J55" i="11"/>
  <c r="G54" i="11"/>
  <c r="I53" i="11"/>
  <c r="K53" i="11" s="1"/>
  <c r="L53" i="11" s="1"/>
  <c r="M53" i="11"/>
  <c r="N52" i="11"/>
  <c r="Q52" i="11" s="1"/>
  <c r="T52" i="11" s="1"/>
  <c r="P52" i="11"/>
  <c r="S52" i="11" s="1"/>
  <c r="V52" i="11" s="1"/>
  <c r="O52" i="11"/>
  <c r="R52" i="11" s="1"/>
  <c r="U52" i="11" s="1"/>
  <c r="J55" i="10"/>
  <c r="G54" i="10"/>
  <c r="I53" i="10"/>
  <c r="K53" i="10" s="1"/>
  <c r="L53" i="10" s="1"/>
  <c r="M53" i="10"/>
  <c r="P52" i="10"/>
  <c r="S52" i="10" s="1"/>
  <c r="V52" i="10" s="1"/>
  <c r="O52" i="10"/>
  <c r="R52" i="10" s="1"/>
  <c r="U52" i="10" s="1"/>
  <c r="N52" i="10"/>
  <c r="Q52" i="10"/>
  <c r="T52" i="10" s="1"/>
  <c r="P51" i="9"/>
  <c r="O51" i="9"/>
  <c r="N51" i="9"/>
  <c r="I52" i="9"/>
  <c r="K52" i="9" s="1"/>
  <c r="L52" i="9" s="1"/>
  <c r="M52" i="9"/>
  <c r="J54" i="9"/>
  <c r="G53" i="9"/>
  <c r="S126" i="9" l="1"/>
  <c r="V126" i="9" s="1"/>
  <c r="G129" i="9"/>
  <c r="J130" i="9"/>
  <c r="I128" i="9"/>
  <c r="K128" i="9" s="1"/>
  <c r="L128" i="9" s="1"/>
  <c r="M128" i="9"/>
  <c r="N127" i="9"/>
  <c r="O127" i="9"/>
  <c r="P127" i="9"/>
  <c r="O53" i="15"/>
  <c r="R53" i="15" s="1"/>
  <c r="U53" i="15" s="1"/>
  <c r="N53" i="15"/>
  <c r="Q53" i="15" s="1"/>
  <c r="T53" i="15" s="1"/>
  <c r="P53" i="15"/>
  <c r="S53" i="15" s="1"/>
  <c r="V53" i="15" s="1"/>
  <c r="J56" i="15"/>
  <c r="G55" i="15"/>
  <c r="I54" i="15"/>
  <c r="K54" i="15" s="1"/>
  <c r="L54" i="15" s="1"/>
  <c r="M54" i="15"/>
  <c r="J56" i="14"/>
  <c r="G55" i="14"/>
  <c r="I54" i="14"/>
  <c r="K54" i="14" s="1"/>
  <c r="L54" i="14" s="1"/>
  <c r="M54" i="14"/>
  <c r="P53" i="14"/>
  <c r="S53" i="14" s="1"/>
  <c r="V53" i="14" s="1"/>
  <c r="N53" i="14"/>
  <c r="Q53" i="14" s="1"/>
  <c r="T53" i="14" s="1"/>
  <c r="O53" i="14"/>
  <c r="R53" i="14" s="1"/>
  <c r="U53" i="14" s="1"/>
  <c r="J56" i="13"/>
  <c r="G55" i="13"/>
  <c r="I54" i="13"/>
  <c r="K54" i="13" s="1"/>
  <c r="L54" i="13" s="1"/>
  <c r="M54" i="13"/>
  <c r="O53" i="13"/>
  <c r="R53" i="13" s="1"/>
  <c r="U53" i="13" s="1"/>
  <c r="P53" i="13"/>
  <c r="S53" i="13" s="1"/>
  <c r="V53" i="13" s="1"/>
  <c r="N53" i="13"/>
  <c r="Q53" i="13" s="1"/>
  <c r="T53" i="13" s="1"/>
  <c r="J56" i="12"/>
  <c r="G55" i="12"/>
  <c r="I54" i="12"/>
  <c r="K54" i="12" s="1"/>
  <c r="L54" i="12" s="1"/>
  <c r="M54" i="12"/>
  <c r="P53" i="12"/>
  <c r="O53" i="12"/>
  <c r="N53" i="12"/>
  <c r="Q53" i="12"/>
  <c r="T53" i="12" s="1"/>
  <c r="R53" i="12"/>
  <c r="U53" i="12" s="1"/>
  <c r="S53" i="12"/>
  <c r="V53" i="12" s="1"/>
  <c r="J56" i="11"/>
  <c r="G55" i="11"/>
  <c r="M54" i="11"/>
  <c r="I54" i="11"/>
  <c r="K54" i="11" s="1"/>
  <c r="L54" i="11" s="1"/>
  <c r="P53" i="11"/>
  <c r="O53" i="11"/>
  <c r="N53" i="11"/>
  <c r="Q53" i="11"/>
  <c r="T53" i="11" s="1"/>
  <c r="S53" i="11"/>
  <c r="V53" i="11" s="1"/>
  <c r="R53" i="11"/>
  <c r="U53" i="11" s="1"/>
  <c r="J56" i="10"/>
  <c r="G55" i="10"/>
  <c r="I54" i="10"/>
  <c r="K54" i="10" s="1"/>
  <c r="L54" i="10" s="1"/>
  <c r="M54" i="10"/>
  <c r="P53" i="10"/>
  <c r="S53" i="10" s="1"/>
  <c r="V53" i="10" s="1"/>
  <c r="O53" i="10"/>
  <c r="R53" i="10" s="1"/>
  <c r="U53" i="10" s="1"/>
  <c r="N53" i="10"/>
  <c r="Q53" i="10"/>
  <c r="T53" i="10" s="1"/>
  <c r="P52" i="9"/>
  <c r="O52" i="9"/>
  <c r="N52" i="9"/>
  <c r="I53" i="9"/>
  <c r="K53" i="9" s="1"/>
  <c r="L53" i="9" s="1"/>
  <c r="M53" i="9"/>
  <c r="J55" i="9"/>
  <c r="G54" i="9"/>
  <c r="Q127" i="9" l="1"/>
  <c r="T127" i="9" s="1"/>
  <c r="R127" i="9"/>
  <c r="U127" i="9" s="1"/>
  <c r="S127" i="9"/>
  <c r="V127" i="9" s="1"/>
  <c r="I129" i="9"/>
  <c r="K129" i="9" s="1"/>
  <c r="L129" i="9" s="1"/>
  <c r="M129" i="9"/>
  <c r="J131" i="9"/>
  <c r="G130" i="9"/>
  <c r="N128" i="9"/>
  <c r="O128" i="9"/>
  <c r="P128" i="9"/>
  <c r="J57" i="15"/>
  <c r="G56" i="15"/>
  <c r="I55" i="15"/>
  <c r="K55" i="15" s="1"/>
  <c r="L55" i="15" s="1"/>
  <c r="M55" i="15"/>
  <c r="O54" i="15"/>
  <c r="R54" i="15" s="1"/>
  <c r="U54" i="15" s="1"/>
  <c r="P54" i="15"/>
  <c r="S54" i="15" s="1"/>
  <c r="V54" i="15" s="1"/>
  <c r="N54" i="15"/>
  <c r="Q54" i="15" s="1"/>
  <c r="T54" i="15" s="1"/>
  <c r="J57" i="14"/>
  <c r="G56" i="14"/>
  <c r="I55" i="14"/>
  <c r="K55" i="14" s="1"/>
  <c r="L55" i="14" s="1"/>
  <c r="M55" i="14"/>
  <c r="P54" i="14"/>
  <c r="O54" i="14"/>
  <c r="N54" i="14"/>
  <c r="Q54" i="14"/>
  <c r="T54" i="14" s="1"/>
  <c r="R54" i="14"/>
  <c r="U54" i="14" s="1"/>
  <c r="S54" i="14"/>
  <c r="V54" i="14" s="1"/>
  <c r="J57" i="13"/>
  <c r="G56" i="13"/>
  <c r="I55" i="13"/>
  <c r="K55" i="13" s="1"/>
  <c r="L55" i="13" s="1"/>
  <c r="M55" i="13"/>
  <c r="P54" i="13"/>
  <c r="O54" i="13"/>
  <c r="R54" i="13" s="1"/>
  <c r="U54" i="13" s="1"/>
  <c r="N54" i="13"/>
  <c r="Q54" i="13"/>
  <c r="T54" i="13" s="1"/>
  <c r="S54" i="13"/>
  <c r="V54" i="13" s="1"/>
  <c r="J57" i="12"/>
  <c r="G56" i="12"/>
  <c r="I55" i="12"/>
  <c r="K55" i="12" s="1"/>
  <c r="L55" i="12" s="1"/>
  <c r="M55" i="12"/>
  <c r="P54" i="12"/>
  <c r="O54" i="12"/>
  <c r="N54" i="12"/>
  <c r="Q54" i="12"/>
  <c r="T54" i="12" s="1"/>
  <c r="R54" i="12"/>
  <c r="U54" i="12" s="1"/>
  <c r="S54" i="12"/>
  <c r="V54" i="12" s="1"/>
  <c r="J57" i="11"/>
  <c r="G56" i="11"/>
  <c r="I55" i="11"/>
  <c r="K55" i="11" s="1"/>
  <c r="L55" i="11" s="1"/>
  <c r="M55" i="11"/>
  <c r="P54" i="11"/>
  <c r="S54" i="11" s="1"/>
  <c r="V54" i="11" s="1"/>
  <c r="O54" i="11"/>
  <c r="R54" i="11" s="1"/>
  <c r="U54" i="11" s="1"/>
  <c r="N54" i="11"/>
  <c r="Q54" i="11" s="1"/>
  <c r="T54" i="11" s="1"/>
  <c r="J57" i="10"/>
  <c r="G56" i="10"/>
  <c r="I55" i="10"/>
  <c r="K55" i="10" s="1"/>
  <c r="L55" i="10" s="1"/>
  <c r="M55" i="10"/>
  <c r="P54" i="10"/>
  <c r="S54" i="10" s="1"/>
  <c r="V54" i="10" s="1"/>
  <c r="O54" i="10"/>
  <c r="R54" i="10" s="1"/>
  <c r="U54" i="10" s="1"/>
  <c r="N54" i="10"/>
  <c r="Q54" i="10"/>
  <c r="T54" i="10" s="1"/>
  <c r="P53" i="9"/>
  <c r="O53" i="9"/>
  <c r="N53" i="9"/>
  <c r="I54" i="9"/>
  <c r="K54" i="9" s="1"/>
  <c r="L54" i="9" s="1"/>
  <c r="M54" i="9"/>
  <c r="J56" i="9"/>
  <c r="G55" i="9"/>
  <c r="Q128" i="9" l="1"/>
  <c r="T128" i="9" s="1"/>
  <c r="R128" i="9"/>
  <c r="U128" i="9" s="1"/>
  <c r="S128" i="9"/>
  <c r="V128" i="9" s="1"/>
  <c r="N129" i="9"/>
  <c r="O129" i="9"/>
  <c r="P129" i="9"/>
  <c r="J132" i="9"/>
  <c r="G131" i="9"/>
  <c r="I130" i="9"/>
  <c r="K130" i="9" s="1"/>
  <c r="L130" i="9" s="1"/>
  <c r="M130" i="9"/>
  <c r="J58" i="15"/>
  <c r="G57" i="15"/>
  <c r="M56" i="15"/>
  <c r="I56" i="15"/>
  <c r="K56" i="15" s="1"/>
  <c r="L56" i="15" s="1"/>
  <c r="O55" i="15"/>
  <c r="R55" i="15" s="1"/>
  <c r="U55" i="15" s="1"/>
  <c r="N55" i="15"/>
  <c r="Q55" i="15" s="1"/>
  <c r="T55" i="15" s="1"/>
  <c r="P55" i="15"/>
  <c r="S55" i="15" s="1"/>
  <c r="V55" i="15" s="1"/>
  <c r="J58" i="14"/>
  <c r="G57" i="14"/>
  <c r="I56" i="14"/>
  <c r="K56" i="14" s="1"/>
  <c r="L56" i="14" s="1"/>
  <c r="M56" i="14"/>
  <c r="P55" i="14"/>
  <c r="O55" i="14"/>
  <c r="N55" i="14"/>
  <c r="Q55" i="14" s="1"/>
  <c r="T55" i="14" s="1"/>
  <c r="R55" i="14"/>
  <c r="U55" i="14" s="1"/>
  <c r="S55" i="14"/>
  <c r="V55" i="14" s="1"/>
  <c r="J58" i="13"/>
  <c r="G57" i="13"/>
  <c r="I56" i="13"/>
  <c r="K56" i="13" s="1"/>
  <c r="L56" i="13" s="1"/>
  <c r="M56" i="13"/>
  <c r="P55" i="13"/>
  <c r="O55" i="13"/>
  <c r="N55" i="13"/>
  <c r="Q55" i="13"/>
  <c r="T55" i="13" s="1"/>
  <c r="R55" i="13"/>
  <c r="U55" i="13" s="1"/>
  <c r="S55" i="13"/>
  <c r="V55" i="13" s="1"/>
  <c r="J58" i="12"/>
  <c r="G57" i="12"/>
  <c r="I56" i="12"/>
  <c r="K56" i="12" s="1"/>
  <c r="L56" i="12" s="1"/>
  <c r="M56" i="12"/>
  <c r="P55" i="12"/>
  <c r="O55" i="12"/>
  <c r="N55" i="12"/>
  <c r="Q55" i="12" s="1"/>
  <c r="T55" i="12" s="1"/>
  <c r="R55" i="12"/>
  <c r="U55" i="12" s="1"/>
  <c r="S55" i="12"/>
  <c r="V55" i="12" s="1"/>
  <c r="J58" i="11"/>
  <c r="G57" i="11"/>
  <c r="I56" i="11"/>
  <c r="K56" i="11" s="1"/>
  <c r="L56" i="11" s="1"/>
  <c r="M56" i="11"/>
  <c r="P55" i="11"/>
  <c r="O55" i="11"/>
  <c r="N55" i="11"/>
  <c r="Q55" i="11"/>
  <c r="T55" i="11" s="1"/>
  <c r="R55" i="11"/>
  <c r="U55" i="11" s="1"/>
  <c r="S55" i="11"/>
  <c r="V55" i="11" s="1"/>
  <c r="J58" i="10"/>
  <c r="G57" i="10"/>
  <c r="I56" i="10"/>
  <c r="K56" i="10" s="1"/>
  <c r="L56" i="10" s="1"/>
  <c r="M56" i="10"/>
  <c r="P55" i="10"/>
  <c r="O55" i="10"/>
  <c r="N55" i="10"/>
  <c r="Q55" i="10"/>
  <c r="T55" i="10" s="1"/>
  <c r="R55" i="10"/>
  <c r="U55" i="10" s="1"/>
  <c r="S55" i="10"/>
  <c r="V55" i="10" s="1"/>
  <c r="P54" i="9"/>
  <c r="O54" i="9"/>
  <c r="N54" i="9"/>
  <c r="I55" i="9"/>
  <c r="K55" i="9" s="1"/>
  <c r="L55" i="9" s="1"/>
  <c r="M55" i="9"/>
  <c r="J57" i="9"/>
  <c r="G56" i="9"/>
  <c r="S129" i="9" l="1"/>
  <c r="V129" i="9" s="1"/>
  <c r="R129" i="9"/>
  <c r="U129" i="9" s="1"/>
  <c r="Q129" i="9"/>
  <c r="T129" i="9" s="1"/>
  <c r="J133" i="9"/>
  <c r="G132" i="9"/>
  <c r="M131" i="9"/>
  <c r="I131" i="9"/>
  <c r="K131" i="9" s="1"/>
  <c r="L131" i="9" s="1"/>
  <c r="N130" i="9"/>
  <c r="O130" i="9"/>
  <c r="P130" i="9"/>
  <c r="Q130" i="9"/>
  <c r="T130" i="9" s="1"/>
  <c r="J59" i="15"/>
  <c r="G58" i="15"/>
  <c r="I57" i="15"/>
  <c r="K57" i="15" s="1"/>
  <c r="L57" i="15" s="1"/>
  <c r="M57" i="15"/>
  <c r="N56" i="15"/>
  <c r="Q56" i="15" s="1"/>
  <c r="T56" i="15" s="1"/>
  <c r="P56" i="15"/>
  <c r="S56" i="15" s="1"/>
  <c r="V56" i="15" s="1"/>
  <c r="O56" i="15"/>
  <c r="R56" i="15" s="1"/>
  <c r="U56" i="15" s="1"/>
  <c r="J59" i="14"/>
  <c r="G58" i="14"/>
  <c r="I57" i="14"/>
  <c r="K57" i="14" s="1"/>
  <c r="L57" i="14" s="1"/>
  <c r="M57" i="14"/>
  <c r="P56" i="14"/>
  <c r="O56" i="14"/>
  <c r="N56" i="14"/>
  <c r="Q56" i="14"/>
  <c r="T56" i="14" s="1"/>
  <c r="R56" i="14"/>
  <c r="U56" i="14" s="1"/>
  <c r="S56" i="14"/>
  <c r="V56" i="14" s="1"/>
  <c r="J59" i="13"/>
  <c r="G58" i="13"/>
  <c r="I57" i="13"/>
  <c r="K57" i="13" s="1"/>
  <c r="L57" i="13" s="1"/>
  <c r="M57" i="13"/>
  <c r="P56" i="13"/>
  <c r="O56" i="13"/>
  <c r="N56" i="13"/>
  <c r="Q56" i="13"/>
  <c r="T56" i="13" s="1"/>
  <c r="R56" i="13"/>
  <c r="U56" i="13" s="1"/>
  <c r="S56" i="13"/>
  <c r="V56" i="13" s="1"/>
  <c r="J59" i="12"/>
  <c r="G58" i="12"/>
  <c r="I57" i="12"/>
  <c r="K57" i="12" s="1"/>
  <c r="L57" i="12" s="1"/>
  <c r="M57" i="12"/>
  <c r="P56" i="12"/>
  <c r="S56" i="12" s="1"/>
  <c r="V56" i="12" s="1"/>
  <c r="O56" i="12"/>
  <c r="R56" i="12" s="1"/>
  <c r="U56" i="12" s="1"/>
  <c r="N56" i="12"/>
  <c r="Q56" i="12" s="1"/>
  <c r="T56" i="12" s="1"/>
  <c r="J59" i="11"/>
  <c r="G58" i="11"/>
  <c r="I57" i="11"/>
  <c r="K57" i="11" s="1"/>
  <c r="L57" i="11" s="1"/>
  <c r="M57" i="11"/>
  <c r="P56" i="11"/>
  <c r="O56" i="11"/>
  <c r="N56" i="11"/>
  <c r="Q56" i="11"/>
  <c r="T56" i="11" s="1"/>
  <c r="R56" i="11"/>
  <c r="U56" i="11" s="1"/>
  <c r="S56" i="11"/>
  <c r="V56" i="11" s="1"/>
  <c r="J59" i="10"/>
  <c r="G58" i="10"/>
  <c r="I57" i="10"/>
  <c r="K57" i="10" s="1"/>
  <c r="L57" i="10" s="1"/>
  <c r="M57" i="10"/>
  <c r="P56" i="10"/>
  <c r="S56" i="10" s="1"/>
  <c r="V56" i="10" s="1"/>
  <c r="O56" i="10"/>
  <c r="R56" i="10" s="1"/>
  <c r="U56" i="10" s="1"/>
  <c r="N56" i="10"/>
  <c r="Q56" i="10"/>
  <c r="T56" i="10" s="1"/>
  <c r="P55" i="9"/>
  <c r="O55" i="9"/>
  <c r="N55" i="9"/>
  <c r="I56" i="9"/>
  <c r="K56" i="9" s="1"/>
  <c r="L56" i="9" s="1"/>
  <c r="M56" i="9"/>
  <c r="J58" i="9"/>
  <c r="G57" i="9"/>
  <c r="R130" i="9" l="1"/>
  <c r="U130" i="9" s="1"/>
  <c r="S130" i="9"/>
  <c r="V130" i="9" s="1"/>
  <c r="J134" i="9"/>
  <c r="G133" i="9"/>
  <c r="I132" i="9"/>
  <c r="K132" i="9" s="1"/>
  <c r="L132" i="9" s="1"/>
  <c r="M132" i="9"/>
  <c r="N131" i="9"/>
  <c r="O131" i="9"/>
  <c r="P131" i="9"/>
  <c r="Q131" i="9"/>
  <c r="T131" i="9" s="1"/>
  <c r="J60" i="15"/>
  <c r="G59" i="15"/>
  <c r="I58" i="15"/>
  <c r="K58" i="15" s="1"/>
  <c r="L58" i="15" s="1"/>
  <c r="M58" i="15"/>
  <c r="P57" i="15"/>
  <c r="S57" i="15" s="1"/>
  <c r="V57" i="15" s="1"/>
  <c r="O57" i="15"/>
  <c r="R57" i="15" s="1"/>
  <c r="U57" i="15" s="1"/>
  <c r="N57" i="15"/>
  <c r="Q57" i="15"/>
  <c r="T57" i="15" s="1"/>
  <c r="J60" i="14"/>
  <c r="G59" i="14"/>
  <c r="I58" i="14"/>
  <c r="K58" i="14" s="1"/>
  <c r="L58" i="14" s="1"/>
  <c r="M58" i="14"/>
  <c r="P57" i="14"/>
  <c r="O57" i="14"/>
  <c r="N57" i="14"/>
  <c r="Q57" i="14" s="1"/>
  <c r="T57" i="14" s="1"/>
  <c r="R57" i="14"/>
  <c r="U57" i="14" s="1"/>
  <c r="S57" i="14"/>
  <c r="V57" i="14" s="1"/>
  <c r="J60" i="13"/>
  <c r="G59" i="13"/>
  <c r="I58" i="13"/>
  <c r="K58" i="13" s="1"/>
  <c r="L58" i="13" s="1"/>
  <c r="M58" i="13"/>
  <c r="P57" i="13"/>
  <c r="O57" i="13"/>
  <c r="N57" i="13"/>
  <c r="Q57" i="13"/>
  <c r="T57" i="13" s="1"/>
  <c r="R57" i="13"/>
  <c r="U57" i="13" s="1"/>
  <c r="S57" i="13"/>
  <c r="V57" i="13" s="1"/>
  <c r="J60" i="12"/>
  <c r="G59" i="12"/>
  <c r="I58" i="12"/>
  <c r="K58" i="12" s="1"/>
  <c r="L58" i="12" s="1"/>
  <c r="M58" i="12"/>
  <c r="P57" i="12"/>
  <c r="O57" i="12"/>
  <c r="N57" i="12"/>
  <c r="Q57" i="12"/>
  <c r="T57" i="12" s="1"/>
  <c r="R57" i="12"/>
  <c r="U57" i="12" s="1"/>
  <c r="S57" i="12"/>
  <c r="V57" i="12" s="1"/>
  <c r="J60" i="11"/>
  <c r="G59" i="11"/>
  <c r="I58" i="11"/>
  <c r="K58" i="11" s="1"/>
  <c r="L58" i="11" s="1"/>
  <c r="M58" i="11"/>
  <c r="P57" i="11"/>
  <c r="O57" i="11"/>
  <c r="N57" i="11"/>
  <c r="Q57" i="11" s="1"/>
  <c r="T57" i="11" s="1"/>
  <c r="R57" i="11"/>
  <c r="U57" i="11" s="1"/>
  <c r="S57" i="11"/>
  <c r="V57" i="11" s="1"/>
  <c r="J60" i="10"/>
  <c r="G59" i="10"/>
  <c r="M58" i="10"/>
  <c r="I58" i="10"/>
  <c r="K58" i="10" s="1"/>
  <c r="L58" i="10" s="1"/>
  <c r="P57" i="10"/>
  <c r="N57" i="10"/>
  <c r="O57" i="10"/>
  <c r="Q57" i="10"/>
  <c r="T57" i="10" s="1"/>
  <c r="S57" i="10"/>
  <c r="V57" i="10" s="1"/>
  <c r="R57" i="10"/>
  <c r="U57" i="10" s="1"/>
  <c r="P56" i="9"/>
  <c r="O56" i="9"/>
  <c r="N56" i="9"/>
  <c r="I57" i="9"/>
  <c r="K57" i="9" s="1"/>
  <c r="L57" i="9" s="1"/>
  <c r="M57" i="9"/>
  <c r="J59" i="9"/>
  <c r="G58" i="9"/>
  <c r="R131" i="9" l="1"/>
  <c r="U131" i="9" s="1"/>
  <c r="S131" i="9"/>
  <c r="V131" i="9" s="1"/>
  <c r="J135" i="9"/>
  <c r="G134" i="9"/>
  <c r="I133" i="9"/>
  <c r="K133" i="9" s="1"/>
  <c r="L133" i="9" s="1"/>
  <c r="M133" i="9"/>
  <c r="N132" i="9"/>
  <c r="O132" i="9"/>
  <c r="P132" i="9"/>
  <c r="G60" i="15"/>
  <c r="J61" i="15"/>
  <c r="I59" i="15"/>
  <c r="K59" i="15" s="1"/>
  <c r="L59" i="15" s="1"/>
  <c r="M59" i="15"/>
  <c r="P58" i="15"/>
  <c r="S58" i="15" s="1"/>
  <c r="V58" i="15" s="1"/>
  <c r="O58" i="15"/>
  <c r="R58" i="15" s="1"/>
  <c r="U58" i="15" s="1"/>
  <c r="N58" i="15"/>
  <c r="Q58" i="15" s="1"/>
  <c r="T58" i="15" s="1"/>
  <c r="G60" i="14"/>
  <c r="J61" i="14"/>
  <c r="I59" i="14"/>
  <c r="K59" i="14" s="1"/>
  <c r="L59" i="14" s="1"/>
  <c r="M59" i="14"/>
  <c r="P58" i="14"/>
  <c r="S58" i="14" s="1"/>
  <c r="V58" i="14" s="1"/>
  <c r="O58" i="14"/>
  <c r="R58" i="14" s="1"/>
  <c r="U58" i="14" s="1"/>
  <c r="N58" i="14"/>
  <c r="Q58" i="14" s="1"/>
  <c r="T58" i="14" s="1"/>
  <c r="J61" i="13"/>
  <c r="G60" i="13"/>
  <c r="I59" i="13"/>
  <c r="K59" i="13" s="1"/>
  <c r="L59" i="13" s="1"/>
  <c r="M59" i="13"/>
  <c r="P58" i="13"/>
  <c r="O58" i="13"/>
  <c r="N58" i="13"/>
  <c r="Q58" i="13"/>
  <c r="T58" i="13" s="1"/>
  <c r="R58" i="13"/>
  <c r="U58" i="13" s="1"/>
  <c r="S58" i="13"/>
  <c r="V58" i="13" s="1"/>
  <c r="J61" i="12"/>
  <c r="G60" i="12"/>
  <c r="M59" i="12"/>
  <c r="I59" i="12"/>
  <c r="K59" i="12" s="1"/>
  <c r="L59" i="12" s="1"/>
  <c r="O58" i="12"/>
  <c r="P58" i="12"/>
  <c r="N58" i="12"/>
  <c r="S58" i="12"/>
  <c r="V58" i="12" s="1"/>
  <c r="R58" i="12"/>
  <c r="U58" i="12" s="1"/>
  <c r="Q58" i="12"/>
  <c r="T58" i="12" s="1"/>
  <c r="J61" i="11"/>
  <c r="G60" i="11"/>
  <c r="M59" i="11"/>
  <c r="I59" i="11"/>
  <c r="K59" i="11" s="1"/>
  <c r="L59" i="11" s="1"/>
  <c r="O58" i="11"/>
  <c r="P58" i="11"/>
  <c r="N58" i="11"/>
  <c r="Q58" i="11"/>
  <c r="T58" i="11" s="1"/>
  <c r="S58" i="11"/>
  <c r="V58" i="11" s="1"/>
  <c r="R58" i="11"/>
  <c r="U58" i="11" s="1"/>
  <c r="G60" i="10"/>
  <c r="J61" i="10"/>
  <c r="I59" i="10"/>
  <c r="K59" i="10" s="1"/>
  <c r="L59" i="10" s="1"/>
  <c r="M59" i="10"/>
  <c r="P58" i="10"/>
  <c r="S58" i="10" s="1"/>
  <c r="V58" i="10" s="1"/>
  <c r="N58" i="10"/>
  <c r="Q58" i="10" s="1"/>
  <c r="T58" i="10" s="1"/>
  <c r="O58" i="10"/>
  <c r="R58" i="10" s="1"/>
  <c r="U58" i="10" s="1"/>
  <c r="P57" i="9"/>
  <c r="O57" i="9"/>
  <c r="N57" i="9"/>
  <c r="I58" i="9"/>
  <c r="K58" i="9" s="1"/>
  <c r="L58" i="9" s="1"/>
  <c r="M58" i="9"/>
  <c r="J60" i="9"/>
  <c r="G59" i="9"/>
  <c r="Q132" i="9" l="1"/>
  <c r="T132" i="9" s="1"/>
  <c r="R132" i="9"/>
  <c r="U132" i="9" s="1"/>
  <c r="S132" i="9"/>
  <c r="V132" i="9" s="1"/>
  <c r="J136" i="9"/>
  <c r="G135" i="9"/>
  <c r="I134" i="9"/>
  <c r="K134" i="9" s="1"/>
  <c r="L134" i="9" s="1"/>
  <c r="M134" i="9"/>
  <c r="P133" i="9"/>
  <c r="N133" i="9"/>
  <c r="O133" i="9"/>
  <c r="I60" i="15"/>
  <c r="K60" i="15" s="1"/>
  <c r="L60" i="15" s="1"/>
  <c r="M60" i="15"/>
  <c r="G61" i="15"/>
  <c r="J62" i="15"/>
  <c r="O59" i="15"/>
  <c r="R59" i="15" s="1"/>
  <c r="U59" i="15" s="1"/>
  <c r="P59" i="15"/>
  <c r="S59" i="15" s="1"/>
  <c r="V59" i="15" s="1"/>
  <c r="N59" i="15"/>
  <c r="Q59" i="15" s="1"/>
  <c r="T59" i="15" s="1"/>
  <c r="I60" i="14"/>
  <c r="K60" i="14" s="1"/>
  <c r="L60" i="14" s="1"/>
  <c r="M60" i="14"/>
  <c r="J62" i="14"/>
  <c r="G61" i="14"/>
  <c r="P59" i="14"/>
  <c r="O59" i="14"/>
  <c r="R59" i="14" s="1"/>
  <c r="U59" i="14" s="1"/>
  <c r="N59" i="14"/>
  <c r="Q59" i="14"/>
  <c r="T59" i="14" s="1"/>
  <c r="S59" i="14"/>
  <c r="V59" i="14" s="1"/>
  <c r="G61" i="13"/>
  <c r="J62" i="13"/>
  <c r="I60" i="13"/>
  <c r="K60" i="13" s="1"/>
  <c r="L60" i="13" s="1"/>
  <c r="M60" i="13"/>
  <c r="P59" i="13"/>
  <c r="S59" i="13" s="1"/>
  <c r="V59" i="13" s="1"/>
  <c r="O59" i="13"/>
  <c r="R59" i="13" s="1"/>
  <c r="U59" i="13" s="1"/>
  <c r="N59" i="13"/>
  <c r="Q59" i="13"/>
  <c r="T59" i="13" s="1"/>
  <c r="J62" i="12"/>
  <c r="G61" i="12"/>
  <c r="M60" i="12"/>
  <c r="I60" i="12"/>
  <c r="K60" i="12" s="1"/>
  <c r="L60" i="12" s="1"/>
  <c r="P59" i="12"/>
  <c r="S59" i="12" s="1"/>
  <c r="V59" i="12" s="1"/>
  <c r="N59" i="12"/>
  <c r="Q59" i="12" s="1"/>
  <c r="T59" i="12" s="1"/>
  <c r="O59" i="12"/>
  <c r="R59" i="12" s="1"/>
  <c r="U59" i="12" s="1"/>
  <c r="J62" i="11"/>
  <c r="G61" i="11"/>
  <c r="I60" i="11"/>
  <c r="K60" i="11" s="1"/>
  <c r="L60" i="11" s="1"/>
  <c r="M60" i="11"/>
  <c r="S59" i="11"/>
  <c r="V59" i="11" s="1"/>
  <c r="P59" i="11"/>
  <c r="N59" i="11"/>
  <c r="Q59" i="11" s="1"/>
  <c r="T59" i="11" s="1"/>
  <c r="O59" i="11"/>
  <c r="R59" i="11" s="1"/>
  <c r="U59" i="11" s="1"/>
  <c r="I60" i="10"/>
  <c r="K60" i="10" s="1"/>
  <c r="L60" i="10" s="1"/>
  <c r="M60" i="10"/>
  <c r="J62" i="10"/>
  <c r="G61" i="10"/>
  <c r="P59" i="10"/>
  <c r="S59" i="10" s="1"/>
  <c r="V59" i="10" s="1"/>
  <c r="O59" i="10"/>
  <c r="R59" i="10" s="1"/>
  <c r="U59" i="10" s="1"/>
  <c r="N59" i="10"/>
  <c r="Q59" i="10" s="1"/>
  <c r="T59" i="10" s="1"/>
  <c r="P58" i="9"/>
  <c r="O58" i="9"/>
  <c r="N58" i="9"/>
  <c r="I59" i="9"/>
  <c r="K59" i="9" s="1"/>
  <c r="L59" i="9" s="1"/>
  <c r="M59" i="9"/>
  <c r="J61" i="9"/>
  <c r="G60" i="9"/>
  <c r="S133" i="9" l="1"/>
  <c r="V133" i="9" s="1"/>
  <c r="Q133" i="9"/>
  <c r="T133" i="9" s="1"/>
  <c r="R133" i="9"/>
  <c r="U133" i="9" s="1"/>
  <c r="J137" i="9"/>
  <c r="G136" i="9"/>
  <c r="I135" i="9"/>
  <c r="K135" i="9" s="1"/>
  <c r="L135" i="9" s="1"/>
  <c r="M135" i="9"/>
  <c r="N134" i="9"/>
  <c r="O134" i="9"/>
  <c r="P134" i="9"/>
  <c r="R134" i="9"/>
  <c r="U134" i="9" s="1"/>
  <c r="P60" i="15"/>
  <c r="O60" i="15"/>
  <c r="N60" i="15"/>
  <c r="Q60" i="15"/>
  <c r="T60" i="15" s="1"/>
  <c r="R60" i="15"/>
  <c r="U60" i="15" s="1"/>
  <c r="S60" i="15"/>
  <c r="V60" i="15" s="1"/>
  <c r="I61" i="15"/>
  <c r="K61" i="15" s="1"/>
  <c r="L61" i="15" s="1"/>
  <c r="M61" i="15"/>
  <c r="G62" i="15"/>
  <c r="J63" i="15"/>
  <c r="O60" i="14"/>
  <c r="P60" i="14"/>
  <c r="N60" i="14"/>
  <c r="Q60" i="14"/>
  <c r="T60" i="14" s="1"/>
  <c r="S60" i="14"/>
  <c r="V60" i="14" s="1"/>
  <c r="R60" i="14"/>
  <c r="U60" i="14" s="1"/>
  <c r="J63" i="14"/>
  <c r="G62" i="14"/>
  <c r="M61" i="14"/>
  <c r="I61" i="14"/>
  <c r="K61" i="14" s="1"/>
  <c r="L61" i="14" s="1"/>
  <c r="I61" i="13"/>
  <c r="K61" i="13" s="1"/>
  <c r="L61" i="13" s="1"/>
  <c r="M61" i="13"/>
  <c r="J63" i="13"/>
  <c r="G62" i="13"/>
  <c r="P60" i="13"/>
  <c r="N60" i="13"/>
  <c r="O60" i="13"/>
  <c r="Q60" i="13"/>
  <c r="T60" i="13" s="1"/>
  <c r="S60" i="13"/>
  <c r="V60" i="13" s="1"/>
  <c r="R60" i="13"/>
  <c r="U60" i="13" s="1"/>
  <c r="J63" i="12"/>
  <c r="G62" i="12"/>
  <c r="M61" i="12"/>
  <c r="I61" i="12"/>
  <c r="K61" i="12" s="1"/>
  <c r="L61" i="12" s="1"/>
  <c r="N60" i="12"/>
  <c r="Q60" i="12" s="1"/>
  <c r="T60" i="12" s="1"/>
  <c r="O60" i="12"/>
  <c r="R60" i="12" s="1"/>
  <c r="U60" i="12" s="1"/>
  <c r="P60" i="12"/>
  <c r="S60" i="12" s="1"/>
  <c r="V60" i="12" s="1"/>
  <c r="J63" i="11"/>
  <c r="G62" i="11"/>
  <c r="M61" i="11"/>
  <c r="I61" i="11"/>
  <c r="K61" i="11" s="1"/>
  <c r="L61" i="11" s="1"/>
  <c r="P60" i="11"/>
  <c r="N60" i="11"/>
  <c r="O60" i="11"/>
  <c r="S60" i="11"/>
  <c r="V60" i="11" s="1"/>
  <c r="Q60" i="11"/>
  <c r="T60" i="11" s="1"/>
  <c r="R60" i="11"/>
  <c r="U60" i="11" s="1"/>
  <c r="O60" i="10"/>
  <c r="P60" i="10"/>
  <c r="N60" i="10"/>
  <c r="Q60" i="10"/>
  <c r="T60" i="10" s="1"/>
  <c r="S60" i="10"/>
  <c r="V60" i="10" s="1"/>
  <c r="R60" i="10"/>
  <c r="U60" i="10" s="1"/>
  <c r="J63" i="10"/>
  <c r="G62" i="10"/>
  <c r="M61" i="10"/>
  <c r="I61" i="10"/>
  <c r="K61" i="10" s="1"/>
  <c r="L61" i="10" s="1"/>
  <c r="P59" i="9"/>
  <c r="O59" i="9"/>
  <c r="N59" i="9"/>
  <c r="I60" i="9"/>
  <c r="K60" i="9" s="1"/>
  <c r="L60" i="9" s="1"/>
  <c r="M60" i="9"/>
  <c r="J62" i="9"/>
  <c r="G61" i="9"/>
  <c r="Q134" i="9" l="1"/>
  <c r="T134" i="9" s="1"/>
  <c r="S134" i="9"/>
  <c r="V134" i="9" s="1"/>
  <c r="G137" i="9"/>
  <c r="J138" i="9"/>
  <c r="I136" i="9"/>
  <c r="K136" i="9" s="1"/>
  <c r="L136" i="9" s="1"/>
  <c r="M136" i="9"/>
  <c r="N135" i="9"/>
  <c r="O135" i="9"/>
  <c r="P135" i="9"/>
  <c r="Q135" i="9"/>
  <c r="T135" i="9" s="1"/>
  <c r="R135" i="9"/>
  <c r="U135" i="9" s="1"/>
  <c r="P61" i="15"/>
  <c r="O61" i="15"/>
  <c r="N61" i="15"/>
  <c r="Q61" i="15"/>
  <c r="T61" i="15" s="1"/>
  <c r="R61" i="15"/>
  <c r="U61" i="15" s="1"/>
  <c r="S61" i="15"/>
  <c r="V61" i="15" s="1"/>
  <c r="I62" i="15"/>
  <c r="K62" i="15" s="1"/>
  <c r="L62" i="15" s="1"/>
  <c r="M62" i="15"/>
  <c r="G63" i="15"/>
  <c r="J64" i="15"/>
  <c r="G63" i="14"/>
  <c r="J64" i="14"/>
  <c r="I62" i="14"/>
  <c r="K62" i="14" s="1"/>
  <c r="L62" i="14" s="1"/>
  <c r="M62" i="14"/>
  <c r="P61" i="14"/>
  <c r="S61" i="14" s="1"/>
  <c r="V61" i="14" s="1"/>
  <c r="O61" i="14"/>
  <c r="R61" i="14" s="1"/>
  <c r="U61" i="14" s="1"/>
  <c r="N61" i="14"/>
  <c r="Q61" i="14" s="1"/>
  <c r="T61" i="14" s="1"/>
  <c r="P61" i="13"/>
  <c r="S61" i="13" s="1"/>
  <c r="V61" i="13" s="1"/>
  <c r="O61" i="13"/>
  <c r="R61" i="13" s="1"/>
  <c r="U61" i="13" s="1"/>
  <c r="N61" i="13"/>
  <c r="Q61" i="13"/>
  <c r="T61" i="13" s="1"/>
  <c r="J64" i="13"/>
  <c r="G63" i="13"/>
  <c r="I62" i="13"/>
  <c r="K62" i="13" s="1"/>
  <c r="L62" i="13" s="1"/>
  <c r="M62" i="13"/>
  <c r="G63" i="12"/>
  <c r="J64" i="12"/>
  <c r="M62" i="12"/>
  <c r="I62" i="12"/>
  <c r="K62" i="12" s="1"/>
  <c r="L62" i="12" s="1"/>
  <c r="P61" i="12"/>
  <c r="S61" i="12" s="1"/>
  <c r="V61" i="12" s="1"/>
  <c r="N61" i="12"/>
  <c r="Q61" i="12" s="1"/>
  <c r="T61" i="12" s="1"/>
  <c r="O61" i="12"/>
  <c r="R61" i="12" s="1"/>
  <c r="U61" i="12" s="1"/>
  <c r="J64" i="11"/>
  <c r="G63" i="11"/>
  <c r="M62" i="11"/>
  <c r="I62" i="11"/>
  <c r="K62" i="11" s="1"/>
  <c r="L62" i="11" s="1"/>
  <c r="O61" i="11"/>
  <c r="R61" i="11" s="1"/>
  <c r="U61" i="11" s="1"/>
  <c r="P61" i="11"/>
  <c r="S61" i="11" s="1"/>
  <c r="V61" i="11" s="1"/>
  <c r="N61" i="11"/>
  <c r="Q61" i="11" s="1"/>
  <c r="T61" i="11" s="1"/>
  <c r="G63" i="10"/>
  <c r="J64" i="10"/>
  <c r="I62" i="10"/>
  <c r="K62" i="10" s="1"/>
  <c r="L62" i="10" s="1"/>
  <c r="M62" i="10"/>
  <c r="N61" i="10"/>
  <c r="Q61" i="10" s="1"/>
  <c r="T61" i="10" s="1"/>
  <c r="P61" i="10"/>
  <c r="S61" i="10" s="1"/>
  <c r="V61" i="10" s="1"/>
  <c r="O61" i="10"/>
  <c r="R61" i="10" s="1"/>
  <c r="U61" i="10" s="1"/>
  <c r="P60" i="9"/>
  <c r="O60" i="9"/>
  <c r="N60" i="9"/>
  <c r="I61" i="9"/>
  <c r="K61" i="9" s="1"/>
  <c r="L61" i="9" s="1"/>
  <c r="M61" i="9"/>
  <c r="J63" i="9"/>
  <c r="G62" i="9"/>
  <c r="S135" i="9" l="1"/>
  <c r="V135" i="9" s="1"/>
  <c r="M137" i="9"/>
  <c r="I137" i="9"/>
  <c r="K137" i="9" s="1"/>
  <c r="L137" i="9" s="1"/>
  <c r="J139" i="9"/>
  <c r="G138" i="9"/>
  <c r="N136" i="9"/>
  <c r="P136" i="9"/>
  <c r="O136" i="9"/>
  <c r="Q136" i="9"/>
  <c r="T136" i="9" s="1"/>
  <c r="N62" i="15"/>
  <c r="Q62" i="15" s="1"/>
  <c r="T62" i="15" s="1"/>
  <c r="P62" i="15"/>
  <c r="O62" i="15"/>
  <c r="R62" i="15"/>
  <c r="U62" i="15" s="1"/>
  <c r="S62" i="15"/>
  <c r="V62" i="15" s="1"/>
  <c r="I63" i="15"/>
  <c r="K63" i="15" s="1"/>
  <c r="L63" i="15" s="1"/>
  <c r="M63" i="15"/>
  <c r="J65" i="15"/>
  <c r="G64" i="15"/>
  <c r="I63" i="14"/>
  <c r="K63" i="14" s="1"/>
  <c r="L63" i="14" s="1"/>
  <c r="M63" i="14"/>
  <c r="J65" i="14"/>
  <c r="G64" i="14"/>
  <c r="O62" i="14"/>
  <c r="R62" i="14" s="1"/>
  <c r="U62" i="14" s="1"/>
  <c r="P62" i="14"/>
  <c r="S62" i="14" s="1"/>
  <c r="V62" i="14" s="1"/>
  <c r="N62" i="14"/>
  <c r="Q62" i="14"/>
  <c r="T62" i="14" s="1"/>
  <c r="J65" i="13"/>
  <c r="G64" i="13"/>
  <c r="M63" i="13"/>
  <c r="I63" i="13"/>
  <c r="K63" i="13" s="1"/>
  <c r="L63" i="13" s="1"/>
  <c r="O62" i="13"/>
  <c r="P62" i="13"/>
  <c r="N62" i="13"/>
  <c r="Q62" i="13"/>
  <c r="T62" i="13" s="1"/>
  <c r="R62" i="13"/>
  <c r="U62" i="13" s="1"/>
  <c r="S62" i="13"/>
  <c r="V62" i="13" s="1"/>
  <c r="I63" i="12"/>
  <c r="K63" i="12" s="1"/>
  <c r="L63" i="12" s="1"/>
  <c r="M63" i="12"/>
  <c r="J65" i="12"/>
  <c r="G64" i="12"/>
  <c r="R62" i="12"/>
  <c r="U62" i="12" s="1"/>
  <c r="O62" i="12"/>
  <c r="P62" i="12"/>
  <c r="S62" i="12" s="1"/>
  <c r="V62" i="12" s="1"/>
  <c r="N62" i="12"/>
  <c r="Q62" i="12" s="1"/>
  <c r="T62" i="12" s="1"/>
  <c r="J65" i="11"/>
  <c r="G64" i="11"/>
  <c r="M63" i="11"/>
  <c r="I63" i="11"/>
  <c r="K63" i="11" s="1"/>
  <c r="L63" i="11" s="1"/>
  <c r="P62" i="11"/>
  <c r="S62" i="11" s="1"/>
  <c r="V62" i="11" s="1"/>
  <c r="N62" i="11"/>
  <c r="Q62" i="11" s="1"/>
  <c r="T62" i="11" s="1"/>
  <c r="O62" i="11"/>
  <c r="R62" i="11" s="1"/>
  <c r="U62" i="11" s="1"/>
  <c r="M63" i="10"/>
  <c r="I63" i="10"/>
  <c r="K63" i="10" s="1"/>
  <c r="L63" i="10" s="1"/>
  <c r="J65" i="10"/>
  <c r="G64" i="10"/>
  <c r="P62" i="10"/>
  <c r="N62" i="10"/>
  <c r="Q62" i="10" s="1"/>
  <c r="T62" i="10" s="1"/>
  <c r="O62" i="10"/>
  <c r="R62" i="10" s="1"/>
  <c r="U62" i="10" s="1"/>
  <c r="S62" i="10"/>
  <c r="V62" i="10" s="1"/>
  <c r="P61" i="9"/>
  <c r="O61" i="9"/>
  <c r="N61" i="9"/>
  <c r="I62" i="9"/>
  <c r="K62" i="9" s="1"/>
  <c r="L62" i="9" s="1"/>
  <c r="M62" i="9"/>
  <c r="J64" i="9"/>
  <c r="G63" i="9"/>
  <c r="S136" i="9" l="1"/>
  <c r="V136" i="9" s="1"/>
  <c r="R136" i="9"/>
  <c r="U136" i="9" s="1"/>
  <c r="N137" i="9"/>
  <c r="O137" i="9"/>
  <c r="P137" i="9"/>
  <c r="J140" i="9"/>
  <c r="G139" i="9"/>
  <c r="I138" i="9"/>
  <c r="K138" i="9" s="1"/>
  <c r="L138" i="9" s="1"/>
  <c r="M138" i="9"/>
  <c r="P63" i="15"/>
  <c r="O63" i="15"/>
  <c r="R63" i="15" s="1"/>
  <c r="U63" i="15" s="1"/>
  <c r="N63" i="15"/>
  <c r="Q63" i="15" s="1"/>
  <c r="T63" i="15" s="1"/>
  <c r="S63" i="15"/>
  <c r="V63" i="15" s="1"/>
  <c r="J66" i="15"/>
  <c r="G65" i="15"/>
  <c r="I64" i="15"/>
  <c r="K64" i="15" s="1"/>
  <c r="L64" i="15" s="1"/>
  <c r="M64" i="15"/>
  <c r="P63" i="14"/>
  <c r="O63" i="14"/>
  <c r="N63" i="14"/>
  <c r="R63" i="14"/>
  <c r="U63" i="14" s="1"/>
  <c r="Q63" i="14"/>
  <c r="T63" i="14" s="1"/>
  <c r="S63" i="14"/>
  <c r="V63" i="14" s="1"/>
  <c r="J66" i="14"/>
  <c r="G65" i="14"/>
  <c r="I64" i="14"/>
  <c r="K64" i="14" s="1"/>
  <c r="L64" i="14" s="1"/>
  <c r="M64" i="14"/>
  <c r="J66" i="13"/>
  <c r="G65" i="13"/>
  <c r="I64" i="13"/>
  <c r="K64" i="13" s="1"/>
  <c r="L64" i="13" s="1"/>
  <c r="M64" i="13"/>
  <c r="S63" i="13"/>
  <c r="V63" i="13" s="1"/>
  <c r="P63" i="13"/>
  <c r="O63" i="13"/>
  <c r="R63" i="13" s="1"/>
  <c r="U63" i="13" s="1"/>
  <c r="N63" i="13"/>
  <c r="Q63" i="13" s="1"/>
  <c r="T63" i="13" s="1"/>
  <c r="O63" i="12"/>
  <c r="N63" i="12"/>
  <c r="P63" i="12"/>
  <c r="Q63" i="12"/>
  <c r="T63" i="12" s="1"/>
  <c r="R63" i="12"/>
  <c r="U63" i="12" s="1"/>
  <c r="S63" i="12"/>
  <c r="V63" i="12" s="1"/>
  <c r="G65" i="12"/>
  <c r="J66" i="12"/>
  <c r="I64" i="12"/>
  <c r="K64" i="12" s="1"/>
  <c r="L64" i="12" s="1"/>
  <c r="M64" i="12"/>
  <c r="J66" i="11"/>
  <c r="G65" i="11"/>
  <c r="M64" i="11"/>
  <c r="I64" i="11"/>
  <c r="K64" i="11" s="1"/>
  <c r="L64" i="11" s="1"/>
  <c r="P63" i="11"/>
  <c r="S63" i="11" s="1"/>
  <c r="V63" i="11" s="1"/>
  <c r="N63" i="11"/>
  <c r="Q63" i="11" s="1"/>
  <c r="T63" i="11" s="1"/>
  <c r="O63" i="11"/>
  <c r="R63" i="11" s="1"/>
  <c r="U63" i="11" s="1"/>
  <c r="O63" i="10"/>
  <c r="R63" i="10" s="1"/>
  <c r="U63" i="10" s="1"/>
  <c r="P63" i="10"/>
  <c r="S63" i="10" s="1"/>
  <c r="V63" i="10" s="1"/>
  <c r="N63" i="10"/>
  <c r="Q63" i="10" s="1"/>
  <c r="T63" i="10" s="1"/>
  <c r="J66" i="10"/>
  <c r="G65" i="10"/>
  <c r="M64" i="10"/>
  <c r="I64" i="10"/>
  <c r="K64" i="10" s="1"/>
  <c r="L64" i="10" s="1"/>
  <c r="P62" i="9"/>
  <c r="O62" i="9"/>
  <c r="N62" i="9"/>
  <c r="I63" i="9"/>
  <c r="K63" i="9" s="1"/>
  <c r="L63" i="9" s="1"/>
  <c r="M63" i="9"/>
  <c r="J65" i="9"/>
  <c r="G64" i="9"/>
  <c r="R137" i="9" l="1"/>
  <c r="U137" i="9" s="1"/>
  <c r="Q137" i="9"/>
  <c r="T137" i="9" s="1"/>
  <c r="S137" i="9"/>
  <c r="V137" i="9" s="1"/>
  <c r="G140" i="9"/>
  <c r="J141" i="9"/>
  <c r="I139" i="9"/>
  <c r="K139" i="9" s="1"/>
  <c r="L139" i="9" s="1"/>
  <c r="M139" i="9"/>
  <c r="O138" i="9"/>
  <c r="N138" i="9"/>
  <c r="P138" i="9"/>
  <c r="J67" i="15"/>
  <c r="G66" i="15"/>
  <c r="M65" i="15"/>
  <c r="I65" i="15"/>
  <c r="K65" i="15" s="1"/>
  <c r="L65" i="15" s="1"/>
  <c r="O64" i="15"/>
  <c r="R64" i="15" s="1"/>
  <c r="U64" i="15" s="1"/>
  <c r="P64" i="15"/>
  <c r="S64" i="15" s="1"/>
  <c r="V64" i="15" s="1"/>
  <c r="N64" i="15"/>
  <c r="Q64" i="15"/>
  <c r="T64" i="15" s="1"/>
  <c r="J67" i="14"/>
  <c r="G66" i="14"/>
  <c r="M65" i="14"/>
  <c r="I65" i="14"/>
  <c r="K65" i="14" s="1"/>
  <c r="L65" i="14" s="1"/>
  <c r="P64" i="14"/>
  <c r="N64" i="14"/>
  <c r="O64" i="14"/>
  <c r="R64" i="14"/>
  <c r="U64" i="14" s="1"/>
  <c r="Q64" i="14"/>
  <c r="T64" i="14" s="1"/>
  <c r="S64" i="14"/>
  <c r="V64" i="14" s="1"/>
  <c r="G66" i="13"/>
  <c r="J67" i="13"/>
  <c r="I65" i="13"/>
  <c r="K65" i="13" s="1"/>
  <c r="L65" i="13" s="1"/>
  <c r="M65" i="13"/>
  <c r="P64" i="13"/>
  <c r="S64" i="13" s="1"/>
  <c r="V64" i="13" s="1"/>
  <c r="N64" i="13"/>
  <c r="Q64" i="13" s="1"/>
  <c r="T64" i="13" s="1"/>
  <c r="O64" i="13"/>
  <c r="R64" i="13"/>
  <c r="U64" i="13" s="1"/>
  <c r="I65" i="12"/>
  <c r="K65" i="12" s="1"/>
  <c r="L65" i="12" s="1"/>
  <c r="M65" i="12"/>
  <c r="J67" i="12"/>
  <c r="G66" i="12"/>
  <c r="P64" i="12"/>
  <c r="N64" i="12"/>
  <c r="O64" i="12"/>
  <c r="R64" i="12" s="1"/>
  <c r="U64" i="12" s="1"/>
  <c r="Q64" i="12"/>
  <c r="T64" i="12" s="1"/>
  <c r="S64" i="12"/>
  <c r="V64" i="12" s="1"/>
  <c r="G66" i="11"/>
  <c r="J67" i="11"/>
  <c r="I65" i="11"/>
  <c r="K65" i="11" s="1"/>
  <c r="L65" i="11" s="1"/>
  <c r="M65" i="11"/>
  <c r="R64" i="11"/>
  <c r="U64" i="11" s="1"/>
  <c r="N64" i="11"/>
  <c r="Q64" i="11" s="1"/>
  <c r="T64" i="11" s="1"/>
  <c r="P64" i="11"/>
  <c r="S64" i="11" s="1"/>
  <c r="V64" i="11" s="1"/>
  <c r="O64" i="11"/>
  <c r="G66" i="10"/>
  <c r="J67" i="10"/>
  <c r="I65" i="10"/>
  <c r="K65" i="10" s="1"/>
  <c r="L65" i="10" s="1"/>
  <c r="M65" i="10"/>
  <c r="P64" i="10"/>
  <c r="S64" i="10" s="1"/>
  <c r="V64" i="10" s="1"/>
  <c r="O64" i="10"/>
  <c r="R64" i="10" s="1"/>
  <c r="U64" i="10" s="1"/>
  <c r="N64" i="10"/>
  <c r="Q64" i="10" s="1"/>
  <c r="T64" i="10" s="1"/>
  <c r="P63" i="9"/>
  <c r="O63" i="9"/>
  <c r="N63" i="9"/>
  <c r="I64" i="9"/>
  <c r="K64" i="9" s="1"/>
  <c r="L64" i="9" s="1"/>
  <c r="M64" i="9"/>
  <c r="J66" i="9"/>
  <c r="G65" i="9"/>
  <c r="R138" i="9" l="1"/>
  <c r="U138" i="9" s="1"/>
  <c r="Q138" i="9"/>
  <c r="T138" i="9" s="1"/>
  <c r="S138" i="9"/>
  <c r="V138" i="9" s="1"/>
  <c r="M140" i="9"/>
  <c r="I140" i="9"/>
  <c r="K140" i="9" s="1"/>
  <c r="L140" i="9" s="1"/>
  <c r="J142" i="9"/>
  <c r="G141" i="9"/>
  <c r="N139" i="9"/>
  <c r="P139" i="9"/>
  <c r="S139" i="9" s="1"/>
  <c r="V139" i="9" s="1"/>
  <c r="O139" i="9"/>
  <c r="R139" i="9" s="1"/>
  <c r="U139" i="9" s="1"/>
  <c r="Q139" i="9"/>
  <c r="T139" i="9" s="1"/>
  <c r="G67" i="15"/>
  <c r="J68" i="15"/>
  <c r="I66" i="15"/>
  <c r="K66" i="15" s="1"/>
  <c r="L66" i="15" s="1"/>
  <c r="M66" i="15"/>
  <c r="P65" i="15"/>
  <c r="S65" i="15" s="1"/>
  <c r="V65" i="15" s="1"/>
  <c r="O65" i="15"/>
  <c r="R65" i="15" s="1"/>
  <c r="U65" i="15" s="1"/>
  <c r="N65" i="15"/>
  <c r="Q65" i="15" s="1"/>
  <c r="T65" i="15" s="1"/>
  <c r="J68" i="14"/>
  <c r="G67" i="14"/>
  <c r="I66" i="14"/>
  <c r="K66" i="14" s="1"/>
  <c r="L66" i="14" s="1"/>
  <c r="M66" i="14"/>
  <c r="O65" i="14"/>
  <c r="R65" i="14" s="1"/>
  <c r="U65" i="14" s="1"/>
  <c r="P65" i="14"/>
  <c r="S65" i="14" s="1"/>
  <c r="V65" i="14" s="1"/>
  <c r="N65" i="14"/>
  <c r="Q65" i="14" s="1"/>
  <c r="T65" i="14" s="1"/>
  <c r="I66" i="13"/>
  <c r="K66" i="13" s="1"/>
  <c r="L66" i="13" s="1"/>
  <c r="M66" i="13"/>
  <c r="G67" i="13"/>
  <c r="J68" i="13"/>
  <c r="O65" i="13"/>
  <c r="P65" i="13"/>
  <c r="N65" i="13"/>
  <c r="R65" i="13"/>
  <c r="U65" i="13" s="1"/>
  <c r="Q65" i="13"/>
  <c r="T65" i="13" s="1"/>
  <c r="S65" i="13"/>
  <c r="V65" i="13" s="1"/>
  <c r="P65" i="12"/>
  <c r="N65" i="12"/>
  <c r="O65" i="12"/>
  <c r="R65" i="12"/>
  <c r="U65" i="12" s="1"/>
  <c r="Q65" i="12"/>
  <c r="T65" i="12" s="1"/>
  <c r="S65" i="12"/>
  <c r="V65" i="12" s="1"/>
  <c r="G67" i="12"/>
  <c r="J68" i="12"/>
  <c r="M66" i="12"/>
  <c r="I66" i="12"/>
  <c r="K66" i="12" s="1"/>
  <c r="L66" i="12" s="1"/>
  <c r="M66" i="11"/>
  <c r="I66" i="11"/>
  <c r="K66" i="11" s="1"/>
  <c r="L66" i="11" s="1"/>
  <c r="J68" i="11"/>
  <c r="G67" i="11"/>
  <c r="P65" i="11"/>
  <c r="N65" i="11"/>
  <c r="O65" i="11"/>
  <c r="Q65" i="11"/>
  <c r="T65" i="11" s="1"/>
  <c r="S65" i="11"/>
  <c r="V65" i="11" s="1"/>
  <c r="R65" i="11"/>
  <c r="U65" i="11" s="1"/>
  <c r="I66" i="10"/>
  <c r="K66" i="10" s="1"/>
  <c r="L66" i="10" s="1"/>
  <c r="M66" i="10"/>
  <c r="J68" i="10"/>
  <c r="G67" i="10"/>
  <c r="P65" i="10"/>
  <c r="S65" i="10" s="1"/>
  <c r="V65" i="10" s="1"/>
  <c r="O65" i="10"/>
  <c r="N65" i="10"/>
  <c r="Q65" i="10" s="1"/>
  <c r="T65" i="10" s="1"/>
  <c r="R65" i="10"/>
  <c r="U65" i="10" s="1"/>
  <c r="P64" i="9"/>
  <c r="O64" i="9"/>
  <c r="N64" i="9"/>
  <c r="I65" i="9"/>
  <c r="K65" i="9" s="1"/>
  <c r="L65" i="9" s="1"/>
  <c r="M65" i="9"/>
  <c r="J67" i="9"/>
  <c r="G66" i="9"/>
  <c r="O140" i="9" l="1"/>
  <c r="P140" i="9"/>
  <c r="N140" i="9"/>
  <c r="Q140" i="9" s="1"/>
  <c r="T140" i="9" s="1"/>
  <c r="J143" i="9"/>
  <c r="G142" i="9"/>
  <c r="I141" i="9"/>
  <c r="K141" i="9" s="1"/>
  <c r="L141" i="9" s="1"/>
  <c r="M141" i="9"/>
  <c r="I67" i="15"/>
  <c r="K67" i="15" s="1"/>
  <c r="L67" i="15" s="1"/>
  <c r="M67" i="15"/>
  <c r="J69" i="15"/>
  <c r="G68" i="15"/>
  <c r="P66" i="15"/>
  <c r="S66" i="15" s="1"/>
  <c r="V66" i="15" s="1"/>
  <c r="O66" i="15"/>
  <c r="R66" i="15" s="1"/>
  <c r="U66" i="15" s="1"/>
  <c r="N66" i="15"/>
  <c r="Q66" i="15"/>
  <c r="T66" i="15" s="1"/>
  <c r="J69" i="14"/>
  <c r="G68" i="14"/>
  <c r="I67" i="14"/>
  <c r="K67" i="14" s="1"/>
  <c r="L67" i="14" s="1"/>
  <c r="M67" i="14"/>
  <c r="P66" i="14"/>
  <c r="O66" i="14"/>
  <c r="N66" i="14"/>
  <c r="Q66" i="14" s="1"/>
  <c r="T66" i="14" s="1"/>
  <c r="S66" i="14"/>
  <c r="V66" i="14" s="1"/>
  <c r="R66" i="14"/>
  <c r="U66" i="14" s="1"/>
  <c r="O66" i="13"/>
  <c r="R66" i="13" s="1"/>
  <c r="U66" i="13" s="1"/>
  <c r="P66" i="13"/>
  <c r="S66" i="13" s="1"/>
  <c r="V66" i="13" s="1"/>
  <c r="N66" i="13"/>
  <c r="Q66" i="13"/>
  <c r="T66" i="13" s="1"/>
  <c r="I67" i="13"/>
  <c r="K67" i="13" s="1"/>
  <c r="L67" i="13" s="1"/>
  <c r="M67" i="13"/>
  <c r="J69" i="13"/>
  <c r="G68" i="13"/>
  <c r="I67" i="12"/>
  <c r="K67" i="12" s="1"/>
  <c r="L67" i="12" s="1"/>
  <c r="M67" i="12"/>
  <c r="G68" i="12"/>
  <c r="J69" i="12"/>
  <c r="P66" i="12"/>
  <c r="S66" i="12" s="1"/>
  <c r="V66" i="12" s="1"/>
  <c r="N66" i="12"/>
  <c r="Q66" i="12" s="1"/>
  <c r="T66" i="12" s="1"/>
  <c r="O66" i="12"/>
  <c r="R66" i="12" s="1"/>
  <c r="U66" i="12" s="1"/>
  <c r="N66" i="11"/>
  <c r="Q66" i="11" s="1"/>
  <c r="T66" i="11" s="1"/>
  <c r="P66" i="11"/>
  <c r="S66" i="11" s="1"/>
  <c r="V66" i="11" s="1"/>
  <c r="O66" i="11"/>
  <c r="R66" i="11" s="1"/>
  <c r="U66" i="11" s="1"/>
  <c r="G68" i="11"/>
  <c r="J69" i="11"/>
  <c r="M67" i="11"/>
  <c r="I67" i="11"/>
  <c r="K67" i="11" s="1"/>
  <c r="L67" i="11" s="1"/>
  <c r="O66" i="10"/>
  <c r="P66" i="10"/>
  <c r="N66" i="10"/>
  <c r="Q66" i="10"/>
  <c r="T66" i="10" s="1"/>
  <c r="S66" i="10"/>
  <c r="V66" i="10" s="1"/>
  <c r="R66" i="10"/>
  <c r="U66" i="10" s="1"/>
  <c r="J69" i="10"/>
  <c r="G68" i="10"/>
  <c r="M67" i="10"/>
  <c r="I67" i="10"/>
  <c r="K67" i="10" s="1"/>
  <c r="L67" i="10" s="1"/>
  <c r="P65" i="9"/>
  <c r="O65" i="9"/>
  <c r="N65" i="9"/>
  <c r="I66" i="9"/>
  <c r="K66" i="9" s="1"/>
  <c r="L66" i="9" s="1"/>
  <c r="M66" i="9"/>
  <c r="J68" i="9"/>
  <c r="G67" i="9"/>
  <c r="R140" i="9" l="1"/>
  <c r="U140" i="9" s="1"/>
  <c r="S140" i="9"/>
  <c r="V140" i="9" s="1"/>
  <c r="J144" i="9"/>
  <c r="G143" i="9"/>
  <c r="M142" i="9"/>
  <c r="I142" i="9"/>
  <c r="K142" i="9" s="1"/>
  <c r="L142" i="9" s="1"/>
  <c r="N141" i="9"/>
  <c r="P141" i="9"/>
  <c r="O141" i="9"/>
  <c r="R141" i="9"/>
  <c r="U141" i="9" s="1"/>
  <c r="Q141" i="9"/>
  <c r="T141" i="9" s="1"/>
  <c r="S141" i="9"/>
  <c r="V141" i="9" s="1"/>
  <c r="P67" i="15"/>
  <c r="O67" i="15"/>
  <c r="N67" i="15"/>
  <c r="Q67" i="15"/>
  <c r="T67" i="15" s="1"/>
  <c r="R67" i="15"/>
  <c r="U67" i="15" s="1"/>
  <c r="S67" i="15"/>
  <c r="V67" i="15" s="1"/>
  <c r="G69" i="15"/>
  <c r="J70" i="15"/>
  <c r="I68" i="15"/>
  <c r="K68" i="15" s="1"/>
  <c r="L68" i="15" s="1"/>
  <c r="M68" i="15"/>
  <c r="G69" i="14"/>
  <c r="J70" i="14"/>
  <c r="I68" i="14"/>
  <c r="K68" i="14" s="1"/>
  <c r="L68" i="14" s="1"/>
  <c r="M68" i="14"/>
  <c r="O67" i="14"/>
  <c r="P67" i="14"/>
  <c r="N67" i="14"/>
  <c r="Q67" i="14"/>
  <c r="T67" i="14" s="1"/>
  <c r="S67" i="14"/>
  <c r="V67" i="14" s="1"/>
  <c r="R67" i="14"/>
  <c r="U67" i="14" s="1"/>
  <c r="O67" i="13"/>
  <c r="R67" i="13" s="1"/>
  <c r="U67" i="13" s="1"/>
  <c r="N67" i="13"/>
  <c r="P67" i="13"/>
  <c r="Q67" i="13"/>
  <c r="T67" i="13" s="1"/>
  <c r="S67" i="13"/>
  <c r="V67" i="13" s="1"/>
  <c r="J70" i="13"/>
  <c r="G69" i="13"/>
  <c r="I68" i="13"/>
  <c r="K68" i="13" s="1"/>
  <c r="L68" i="13" s="1"/>
  <c r="M68" i="13"/>
  <c r="O67" i="12"/>
  <c r="R67" i="12" s="1"/>
  <c r="U67" i="12" s="1"/>
  <c r="P67" i="12"/>
  <c r="S67" i="12" s="1"/>
  <c r="V67" i="12" s="1"/>
  <c r="N67" i="12"/>
  <c r="Q67" i="12" s="1"/>
  <c r="T67" i="12" s="1"/>
  <c r="I68" i="12"/>
  <c r="K68" i="12" s="1"/>
  <c r="L68" i="12" s="1"/>
  <c r="M68" i="12"/>
  <c r="J70" i="12"/>
  <c r="G69" i="12"/>
  <c r="I68" i="11"/>
  <c r="K68" i="11" s="1"/>
  <c r="L68" i="11" s="1"/>
  <c r="M68" i="11"/>
  <c r="G69" i="11"/>
  <c r="J70" i="11"/>
  <c r="O67" i="11"/>
  <c r="R67" i="11" s="1"/>
  <c r="U67" i="11" s="1"/>
  <c r="P67" i="11"/>
  <c r="S67" i="11" s="1"/>
  <c r="V67" i="11" s="1"/>
  <c r="N67" i="11"/>
  <c r="Q67" i="11" s="1"/>
  <c r="T67" i="11" s="1"/>
  <c r="J70" i="10"/>
  <c r="G69" i="10"/>
  <c r="I68" i="10"/>
  <c r="K68" i="10" s="1"/>
  <c r="L68" i="10" s="1"/>
  <c r="M68" i="10"/>
  <c r="O67" i="10"/>
  <c r="R67" i="10" s="1"/>
  <c r="U67" i="10" s="1"/>
  <c r="P67" i="10"/>
  <c r="S67" i="10" s="1"/>
  <c r="V67" i="10" s="1"/>
  <c r="M14" i="8" s="1" a="1"/>
  <c r="N67" i="10"/>
  <c r="Q67" i="10" s="1"/>
  <c r="T67" i="10" s="1"/>
  <c r="P66" i="9"/>
  <c r="O66" i="9"/>
  <c r="N66" i="9"/>
  <c r="I67" i="9"/>
  <c r="K67" i="9" s="1"/>
  <c r="L67" i="9" s="1"/>
  <c r="M67" i="9"/>
  <c r="J69" i="9"/>
  <c r="G68" i="9"/>
  <c r="J145" i="9" l="1"/>
  <c r="G144" i="9"/>
  <c r="M143" i="9"/>
  <c r="I143" i="9"/>
  <c r="K143" i="9" s="1"/>
  <c r="L143" i="9" s="1"/>
  <c r="S142" i="9"/>
  <c r="V142" i="9" s="1"/>
  <c r="O142" i="9"/>
  <c r="P142" i="9"/>
  <c r="N142" i="9"/>
  <c r="I69" i="15"/>
  <c r="K69" i="15" s="1"/>
  <c r="L69" i="15" s="1"/>
  <c r="M69" i="15"/>
  <c r="G70" i="15"/>
  <c r="J71" i="15"/>
  <c r="P68" i="15"/>
  <c r="S68" i="15" s="1"/>
  <c r="V68" i="15" s="1"/>
  <c r="O68" i="15"/>
  <c r="R68" i="15" s="1"/>
  <c r="U68" i="15" s="1"/>
  <c r="N68" i="15"/>
  <c r="Q68" i="15" s="1"/>
  <c r="T68" i="15" s="1"/>
  <c r="I69" i="14"/>
  <c r="K69" i="14" s="1"/>
  <c r="L69" i="14" s="1"/>
  <c r="M69" i="14"/>
  <c r="J71" i="14"/>
  <c r="G70" i="14"/>
  <c r="P68" i="14"/>
  <c r="N68" i="14"/>
  <c r="O68" i="14"/>
  <c r="S68" i="14"/>
  <c r="V68" i="14" s="1"/>
  <c r="Q68" i="14"/>
  <c r="T68" i="14" s="1"/>
  <c r="R68" i="14"/>
  <c r="U68" i="14" s="1"/>
  <c r="G70" i="13"/>
  <c r="J71" i="13"/>
  <c r="M69" i="13"/>
  <c r="I69" i="13"/>
  <c r="K69" i="13" s="1"/>
  <c r="L69" i="13" s="1"/>
  <c r="P68" i="13"/>
  <c r="O68" i="13"/>
  <c r="N68" i="13"/>
  <c r="Q68" i="13"/>
  <c r="T68" i="13" s="1"/>
  <c r="S68" i="13"/>
  <c r="V68" i="13" s="1"/>
  <c r="R68" i="13"/>
  <c r="U68" i="13" s="1"/>
  <c r="P68" i="12"/>
  <c r="N68" i="12"/>
  <c r="O68" i="12"/>
  <c r="Q68" i="12"/>
  <c r="T68" i="12" s="1"/>
  <c r="R68" i="12"/>
  <c r="U68" i="12" s="1"/>
  <c r="S68" i="12"/>
  <c r="V68" i="12" s="1"/>
  <c r="G70" i="12"/>
  <c r="J71" i="12"/>
  <c r="I69" i="12"/>
  <c r="K69" i="12" s="1"/>
  <c r="L69" i="12" s="1"/>
  <c r="M69" i="12"/>
  <c r="P68" i="11"/>
  <c r="S68" i="11" s="1"/>
  <c r="N68" i="11"/>
  <c r="Q68" i="11" s="1"/>
  <c r="T68" i="11" s="1"/>
  <c r="O68" i="11"/>
  <c r="R68" i="11"/>
  <c r="U68" i="11" s="1"/>
  <c r="M69" i="11"/>
  <c r="I69" i="11"/>
  <c r="K69" i="11" s="1"/>
  <c r="L69" i="11" s="1"/>
  <c r="J71" i="11"/>
  <c r="G70" i="11"/>
  <c r="J71" i="10"/>
  <c r="G70" i="10"/>
  <c r="M69" i="10"/>
  <c r="I69" i="10"/>
  <c r="K69" i="10" s="1"/>
  <c r="L69" i="10" s="1"/>
  <c r="O68" i="10"/>
  <c r="R68" i="10" s="1"/>
  <c r="U68" i="10" s="1"/>
  <c r="P68" i="10"/>
  <c r="S68" i="10" s="1"/>
  <c r="V68" i="10" s="1"/>
  <c r="N68" i="10"/>
  <c r="Q68" i="10"/>
  <c r="T68" i="10" s="1"/>
  <c r="P67" i="9"/>
  <c r="O67" i="9"/>
  <c r="N67" i="9"/>
  <c r="I68" i="9"/>
  <c r="K68" i="9" s="1"/>
  <c r="L68" i="9" s="1"/>
  <c r="M68" i="9"/>
  <c r="J70" i="9"/>
  <c r="G69" i="9"/>
  <c r="R142" i="9" l="1"/>
  <c r="U142" i="9" s="1"/>
  <c r="Q142" i="9"/>
  <c r="T142" i="9" s="1"/>
  <c r="J146" i="9"/>
  <c r="G145" i="9"/>
  <c r="M144" i="9"/>
  <c r="I144" i="9"/>
  <c r="K144" i="9" s="1"/>
  <c r="L144" i="9" s="1"/>
  <c r="N143" i="9"/>
  <c r="P143" i="9"/>
  <c r="O143" i="9"/>
  <c r="V68" i="11"/>
  <c r="M15" i="8" a="1"/>
  <c r="P69" i="15"/>
  <c r="O69" i="15"/>
  <c r="N69" i="15"/>
  <c r="Q69" i="15"/>
  <c r="T69" i="15" s="1"/>
  <c r="R69" i="15"/>
  <c r="U69" i="15" s="1"/>
  <c r="S69" i="15"/>
  <c r="V69" i="15" s="1"/>
  <c r="I70" i="15"/>
  <c r="K70" i="15" s="1"/>
  <c r="L70" i="15" s="1"/>
  <c r="M70" i="15"/>
  <c r="J72" i="15"/>
  <c r="G71" i="15"/>
  <c r="P69" i="14"/>
  <c r="O69" i="14"/>
  <c r="N69" i="14"/>
  <c r="R69" i="14"/>
  <c r="U69" i="14" s="1"/>
  <c r="Q69" i="14"/>
  <c r="T69" i="14" s="1"/>
  <c r="S69" i="14"/>
  <c r="V69" i="14" s="1"/>
  <c r="M18" i="8" s="1" a="1"/>
  <c r="J72" i="14"/>
  <c r="G71" i="14"/>
  <c r="M70" i="14"/>
  <c r="I70" i="14"/>
  <c r="K70" i="14" s="1"/>
  <c r="L70" i="14" s="1"/>
  <c r="I70" i="13"/>
  <c r="K70" i="13" s="1"/>
  <c r="L70" i="13" s="1"/>
  <c r="M70" i="13"/>
  <c r="J72" i="13"/>
  <c r="G71" i="13"/>
  <c r="O69" i="13"/>
  <c r="R69" i="13" s="1"/>
  <c r="U69" i="13" s="1"/>
  <c r="N69" i="13"/>
  <c r="Q69" i="13" s="1"/>
  <c r="T69" i="13" s="1"/>
  <c r="P69" i="13"/>
  <c r="S69" i="13" s="1"/>
  <c r="V69" i="13" s="1"/>
  <c r="I70" i="12"/>
  <c r="K70" i="12" s="1"/>
  <c r="L70" i="12" s="1"/>
  <c r="M70" i="12"/>
  <c r="J72" i="12"/>
  <c r="G71" i="12"/>
  <c r="P69" i="12"/>
  <c r="O69" i="12"/>
  <c r="N69" i="12"/>
  <c r="R69" i="12"/>
  <c r="U69" i="12" s="1"/>
  <c r="Q69" i="12"/>
  <c r="T69" i="12" s="1"/>
  <c r="S69" i="12"/>
  <c r="V69" i="12" s="1"/>
  <c r="M16" i="8" s="1" a="1"/>
  <c r="O69" i="11"/>
  <c r="R69" i="11" s="1"/>
  <c r="U69" i="11" s="1"/>
  <c r="P69" i="11"/>
  <c r="S69" i="11" s="1"/>
  <c r="V69" i="11" s="1"/>
  <c r="N69" i="11"/>
  <c r="Q69" i="11" s="1"/>
  <c r="T69" i="11" s="1"/>
  <c r="J72" i="11"/>
  <c r="G71" i="11"/>
  <c r="M70" i="11"/>
  <c r="I70" i="11"/>
  <c r="K70" i="11" s="1"/>
  <c r="L70" i="11" s="1"/>
  <c r="J72" i="10"/>
  <c r="G71" i="10"/>
  <c r="I70" i="10"/>
  <c r="K70" i="10" s="1"/>
  <c r="L70" i="10" s="1"/>
  <c r="M70" i="10"/>
  <c r="O69" i="10"/>
  <c r="R69" i="10" s="1"/>
  <c r="U69" i="10" s="1"/>
  <c r="P69" i="10"/>
  <c r="S69" i="10" s="1"/>
  <c r="V69" i="10" s="1"/>
  <c r="N69" i="10"/>
  <c r="Q69" i="10" s="1"/>
  <c r="T69" i="10" s="1"/>
  <c r="P68" i="9"/>
  <c r="O68" i="9"/>
  <c r="N68" i="9"/>
  <c r="I69" i="9"/>
  <c r="K69" i="9" s="1"/>
  <c r="L69" i="9" s="1"/>
  <c r="M69" i="9"/>
  <c r="J71" i="9"/>
  <c r="G70" i="9"/>
  <c r="Q143" i="9" l="1"/>
  <c r="T143" i="9" s="1"/>
  <c r="S143" i="9"/>
  <c r="V143" i="9" s="1"/>
  <c r="R143" i="9"/>
  <c r="U143" i="9" s="1"/>
  <c r="J147" i="9"/>
  <c r="G146" i="9"/>
  <c r="M145" i="9"/>
  <c r="I145" i="9"/>
  <c r="K145" i="9" s="1"/>
  <c r="L145" i="9" s="1"/>
  <c r="N144" i="9"/>
  <c r="P144" i="9"/>
  <c r="O144" i="9"/>
  <c r="O70" i="15"/>
  <c r="P70" i="15"/>
  <c r="N70" i="15"/>
  <c r="Q70" i="15" s="1"/>
  <c r="T70" i="15" s="1"/>
  <c r="S70" i="15"/>
  <c r="V70" i="15" s="1"/>
  <c r="R70" i="15"/>
  <c r="U70" i="15" s="1"/>
  <c r="J73" i="15"/>
  <c r="G72" i="15"/>
  <c r="M71" i="15"/>
  <c r="I71" i="15"/>
  <c r="K71" i="15" s="1"/>
  <c r="L71" i="15" s="1"/>
  <c r="J73" i="14"/>
  <c r="G72" i="14"/>
  <c r="I71" i="14"/>
  <c r="K71" i="14" s="1"/>
  <c r="L71" i="14" s="1"/>
  <c r="M71" i="14"/>
  <c r="P70" i="14"/>
  <c r="S70" i="14" s="1"/>
  <c r="V70" i="14" s="1"/>
  <c r="N70" i="14"/>
  <c r="Q70" i="14" s="1"/>
  <c r="T70" i="14" s="1"/>
  <c r="O70" i="14"/>
  <c r="R70" i="14" s="1"/>
  <c r="U70" i="14" s="1"/>
  <c r="P70" i="13"/>
  <c r="O70" i="13"/>
  <c r="N70" i="13"/>
  <c r="Q70" i="13"/>
  <c r="T70" i="13" s="1"/>
  <c r="S70" i="13"/>
  <c r="V70" i="13" s="1"/>
  <c r="R70" i="13"/>
  <c r="U70" i="13" s="1"/>
  <c r="J73" i="13"/>
  <c r="G72" i="13"/>
  <c r="I71" i="13"/>
  <c r="K71" i="13" s="1"/>
  <c r="L71" i="13" s="1"/>
  <c r="M71" i="13"/>
  <c r="O70" i="12"/>
  <c r="P70" i="12"/>
  <c r="S70" i="12" s="1"/>
  <c r="V70" i="12" s="1"/>
  <c r="N70" i="12"/>
  <c r="Q70" i="12"/>
  <c r="T70" i="12" s="1"/>
  <c r="R70" i="12"/>
  <c r="U70" i="12" s="1"/>
  <c r="G72" i="12"/>
  <c r="J73" i="12"/>
  <c r="I71" i="12"/>
  <c r="K71" i="12" s="1"/>
  <c r="L71" i="12" s="1"/>
  <c r="M71" i="12"/>
  <c r="J73" i="11"/>
  <c r="G72" i="11"/>
  <c r="I71" i="11"/>
  <c r="K71" i="11" s="1"/>
  <c r="L71" i="11" s="1"/>
  <c r="M71" i="11"/>
  <c r="O70" i="11"/>
  <c r="R70" i="11" s="1"/>
  <c r="U70" i="11" s="1"/>
  <c r="P70" i="11"/>
  <c r="S70" i="11" s="1"/>
  <c r="V70" i="11" s="1"/>
  <c r="N70" i="11"/>
  <c r="Q70" i="11" s="1"/>
  <c r="T70" i="11" s="1"/>
  <c r="J73" i="10"/>
  <c r="G72" i="10"/>
  <c r="I71" i="10"/>
  <c r="K71" i="10" s="1"/>
  <c r="L71" i="10" s="1"/>
  <c r="M71" i="10"/>
  <c r="O70" i="10"/>
  <c r="R70" i="10" s="1"/>
  <c r="U70" i="10" s="1"/>
  <c r="P70" i="10"/>
  <c r="S70" i="10" s="1"/>
  <c r="V70" i="10" s="1"/>
  <c r="N70" i="10"/>
  <c r="Q70" i="10" s="1"/>
  <c r="T70" i="10" s="1"/>
  <c r="P69" i="9"/>
  <c r="O69" i="9"/>
  <c r="N69" i="9"/>
  <c r="I70" i="9"/>
  <c r="K70" i="9" s="1"/>
  <c r="L70" i="9" s="1"/>
  <c r="M70" i="9"/>
  <c r="J72" i="9"/>
  <c r="G71" i="9"/>
  <c r="Q144" i="9" l="1"/>
  <c r="T144" i="9" s="1"/>
  <c r="S144" i="9"/>
  <c r="V144" i="9" s="1"/>
  <c r="R144" i="9"/>
  <c r="U144" i="9" s="1"/>
  <c r="J148" i="9"/>
  <c r="G147" i="9"/>
  <c r="M146" i="9"/>
  <c r="I146" i="9"/>
  <c r="K146" i="9" s="1"/>
  <c r="L146" i="9" s="1"/>
  <c r="O145" i="9"/>
  <c r="P145" i="9"/>
  <c r="N145" i="9"/>
  <c r="J74" i="15"/>
  <c r="G73" i="15"/>
  <c r="I72" i="15"/>
  <c r="K72" i="15" s="1"/>
  <c r="L72" i="15" s="1"/>
  <c r="M72" i="15"/>
  <c r="P71" i="15"/>
  <c r="S71" i="15" s="1"/>
  <c r="V71" i="15" s="1"/>
  <c r="O71" i="15"/>
  <c r="R71" i="15" s="1"/>
  <c r="U71" i="15" s="1"/>
  <c r="N71" i="15"/>
  <c r="Q71" i="15" s="1"/>
  <c r="T71" i="15" s="1"/>
  <c r="J74" i="14"/>
  <c r="G73" i="14"/>
  <c r="M72" i="14"/>
  <c r="I72" i="14"/>
  <c r="K72" i="14" s="1"/>
  <c r="L72" i="14" s="1"/>
  <c r="P71" i="14"/>
  <c r="N71" i="14"/>
  <c r="O71" i="14"/>
  <c r="R71" i="14"/>
  <c r="U71" i="14" s="1"/>
  <c r="Q71" i="14"/>
  <c r="T71" i="14" s="1"/>
  <c r="S71" i="14"/>
  <c r="V71" i="14" s="1"/>
  <c r="J74" i="13"/>
  <c r="G73" i="13"/>
  <c r="M72" i="13"/>
  <c r="I72" i="13"/>
  <c r="K72" i="13" s="1"/>
  <c r="L72" i="13" s="1"/>
  <c r="O71" i="13"/>
  <c r="P71" i="13"/>
  <c r="N71" i="13"/>
  <c r="R71" i="13"/>
  <c r="U71" i="13" s="1"/>
  <c r="Q71" i="13"/>
  <c r="T71" i="13" s="1"/>
  <c r="S71" i="13"/>
  <c r="V71" i="13" s="1"/>
  <c r="M17" i="8" s="1" a="1"/>
  <c r="I72" i="12"/>
  <c r="K72" i="12" s="1"/>
  <c r="L72" i="12" s="1"/>
  <c r="M72" i="12"/>
  <c r="J74" i="12"/>
  <c r="G73" i="12"/>
  <c r="O71" i="12"/>
  <c r="P71" i="12"/>
  <c r="N71" i="12"/>
  <c r="Q71" i="12"/>
  <c r="T71" i="12" s="1"/>
  <c r="S71" i="12"/>
  <c r="V71" i="12" s="1"/>
  <c r="R71" i="12"/>
  <c r="U71" i="12" s="1"/>
  <c r="J74" i="11"/>
  <c r="G73" i="11"/>
  <c r="I72" i="11"/>
  <c r="K72" i="11" s="1"/>
  <c r="L72" i="11" s="1"/>
  <c r="M72" i="11"/>
  <c r="N71" i="11"/>
  <c r="P71" i="11"/>
  <c r="S71" i="11" s="1"/>
  <c r="V71" i="11" s="1"/>
  <c r="O71" i="11"/>
  <c r="Q71" i="11"/>
  <c r="T71" i="11" s="1"/>
  <c r="R71" i="11"/>
  <c r="U71" i="11" s="1"/>
  <c r="J74" i="10"/>
  <c r="G73" i="10"/>
  <c r="I72" i="10"/>
  <c r="K72" i="10" s="1"/>
  <c r="L72" i="10" s="1"/>
  <c r="M72" i="10"/>
  <c r="P71" i="10"/>
  <c r="O71" i="10"/>
  <c r="N71" i="10"/>
  <c r="S71" i="10"/>
  <c r="V71" i="10" s="1"/>
  <c r="Q71" i="10"/>
  <c r="T71" i="10" s="1"/>
  <c r="R71" i="10"/>
  <c r="U71" i="10" s="1"/>
  <c r="P70" i="9"/>
  <c r="O70" i="9"/>
  <c r="N70" i="9"/>
  <c r="I71" i="9"/>
  <c r="K71" i="9" s="1"/>
  <c r="L71" i="9" s="1"/>
  <c r="M71" i="9"/>
  <c r="J73" i="9"/>
  <c r="G72" i="9"/>
  <c r="R145" i="9" l="1"/>
  <c r="U145" i="9" s="1"/>
  <c r="S145" i="9"/>
  <c r="V145" i="9" s="1"/>
  <c r="Q145" i="9"/>
  <c r="T145" i="9" s="1"/>
  <c r="J149" i="9"/>
  <c r="G148" i="9"/>
  <c r="M147" i="9"/>
  <c r="I147" i="9"/>
  <c r="K147" i="9" s="1"/>
  <c r="L147" i="9" s="1"/>
  <c r="N146" i="9"/>
  <c r="P146" i="9"/>
  <c r="O146" i="9"/>
  <c r="J75" i="15"/>
  <c r="G74" i="15"/>
  <c r="M73" i="15"/>
  <c r="I73" i="15"/>
  <c r="K73" i="15" s="1"/>
  <c r="L73" i="15" s="1"/>
  <c r="O72" i="15"/>
  <c r="R72" i="15" s="1"/>
  <c r="U72" i="15" s="1"/>
  <c r="P72" i="15"/>
  <c r="S72" i="15" s="1"/>
  <c r="V72" i="15" s="1"/>
  <c r="N72" i="15"/>
  <c r="Q72" i="15" s="1"/>
  <c r="T72" i="15" s="1"/>
  <c r="J75" i="14"/>
  <c r="G74" i="14"/>
  <c r="I73" i="14"/>
  <c r="K73" i="14" s="1"/>
  <c r="L73" i="14" s="1"/>
  <c r="M73" i="14"/>
  <c r="P72" i="14"/>
  <c r="S72" i="14" s="1"/>
  <c r="V72" i="14" s="1"/>
  <c r="N72" i="14"/>
  <c r="Q72" i="14" s="1"/>
  <c r="T72" i="14" s="1"/>
  <c r="O72" i="14"/>
  <c r="R72" i="14" s="1"/>
  <c r="U72" i="14" s="1"/>
  <c r="J75" i="13"/>
  <c r="G74" i="13"/>
  <c r="I73" i="13"/>
  <c r="K73" i="13" s="1"/>
  <c r="L73" i="13" s="1"/>
  <c r="M73" i="13"/>
  <c r="O72" i="13"/>
  <c r="R72" i="13" s="1"/>
  <c r="U72" i="13" s="1"/>
  <c r="P72" i="13"/>
  <c r="S72" i="13" s="1"/>
  <c r="V72" i="13" s="1"/>
  <c r="N72" i="13"/>
  <c r="Q72" i="13" s="1"/>
  <c r="T72" i="13" s="1"/>
  <c r="P72" i="12"/>
  <c r="S72" i="12" s="1"/>
  <c r="V72" i="12" s="1"/>
  <c r="O72" i="12"/>
  <c r="R72" i="12" s="1"/>
  <c r="U72" i="12" s="1"/>
  <c r="N72" i="12"/>
  <c r="Q72" i="12" s="1"/>
  <c r="T72" i="12" s="1"/>
  <c r="J75" i="12"/>
  <c r="G74" i="12"/>
  <c r="I73" i="12"/>
  <c r="K73" i="12" s="1"/>
  <c r="L73" i="12" s="1"/>
  <c r="M73" i="12"/>
  <c r="J75" i="11"/>
  <c r="G74" i="11"/>
  <c r="I73" i="11"/>
  <c r="K73" i="11" s="1"/>
  <c r="L73" i="11" s="1"/>
  <c r="M73" i="11"/>
  <c r="O72" i="11"/>
  <c r="R72" i="11" s="1"/>
  <c r="U72" i="11" s="1"/>
  <c r="N72" i="11"/>
  <c r="Q72" i="11" s="1"/>
  <c r="T72" i="11" s="1"/>
  <c r="P72" i="11"/>
  <c r="S72" i="11" s="1"/>
  <c r="V72" i="11" s="1"/>
  <c r="J75" i="10"/>
  <c r="G74" i="10"/>
  <c r="I73" i="10"/>
  <c r="K73" i="10" s="1"/>
  <c r="L73" i="10" s="1"/>
  <c r="M73" i="10"/>
  <c r="N72" i="10"/>
  <c r="Q72" i="10" s="1"/>
  <c r="T72" i="10" s="1"/>
  <c r="O72" i="10"/>
  <c r="P72" i="10"/>
  <c r="R72" i="10"/>
  <c r="U72" i="10" s="1"/>
  <c r="S72" i="10"/>
  <c r="V72" i="10" s="1"/>
  <c r="P71" i="9"/>
  <c r="O71" i="9"/>
  <c r="N71" i="9"/>
  <c r="I72" i="9"/>
  <c r="K72" i="9" s="1"/>
  <c r="L72" i="9" s="1"/>
  <c r="M72" i="9"/>
  <c r="J74" i="9"/>
  <c r="G73" i="9"/>
  <c r="S146" i="9" l="1"/>
  <c r="V146" i="9" s="1"/>
  <c r="R146" i="9"/>
  <c r="U146" i="9" s="1"/>
  <c r="Q146" i="9"/>
  <c r="T146" i="9" s="1"/>
  <c r="J150" i="9"/>
  <c r="G149" i="9"/>
  <c r="M148" i="9"/>
  <c r="I148" i="9"/>
  <c r="K148" i="9" s="1"/>
  <c r="L148" i="9" s="1"/>
  <c r="P147" i="9"/>
  <c r="N147" i="9"/>
  <c r="O147" i="9"/>
  <c r="G75" i="10"/>
  <c r="J76" i="10"/>
  <c r="G75" i="11"/>
  <c r="J76" i="11"/>
  <c r="G75" i="12"/>
  <c r="M75" i="12" s="1"/>
  <c r="J76" i="12"/>
  <c r="G75" i="13"/>
  <c r="J76" i="13"/>
  <c r="G76" i="13" s="1"/>
  <c r="G75" i="14"/>
  <c r="J76" i="14"/>
  <c r="G75" i="15"/>
  <c r="I74" i="15"/>
  <c r="K74" i="15" s="1"/>
  <c r="L74" i="15" s="1"/>
  <c r="M74" i="15"/>
  <c r="O73" i="15"/>
  <c r="R73" i="15" s="1"/>
  <c r="U73" i="15" s="1"/>
  <c r="P73" i="15"/>
  <c r="S73" i="15" s="1"/>
  <c r="V73" i="15" s="1"/>
  <c r="N73" i="15"/>
  <c r="Q73" i="15" s="1"/>
  <c r="T73" i="15" s="1"/>
  <c r="I74" i="14"/>
  <c r="K74" i="14" s="1"/>
  <c r="L74" i="14" s="1"/>
  <c r="M74" i="14"/>
  <c r="P73" i="14"/>
  <c r="O73" i="14"/>
  <c r="R73" i="14" s="1"/>
  <c r="U73" i="14" s="1"/>
  <c r="N73" i="14"/>
  <c r="Q73" i="14" s="1"/>
  <c r="T73" i="14" s="1"/>
  <c r="S73" i="14"/>
  <c r="V73" i="14" s="1"/>
  <c r="I75" i="13"/>
  <c r="K75" i="13" s="1"/>
  <c r="L75" i="13" s="1"/>
  <c r="M75" i="13"/>
  <c r="M74" i="13"/>
  <c r="I74" i="13"/>
  <c r="K74" i="13" s="1"/>
  <c r="L74" i="13" s="1"/>
  <c r="P73" i="13"/>
  <c r="S73" i="13" s="1"/>
  <c r="V73" i="13" s="1"/>
  <c r="O73" i="13"/>
  <c r="N73" i="13"/>
  <c r="Q73" i="13"/>
  <c r="T73" i="13" s="1"/>
  <c r="R73" i="13"/>
  <c r="U73" i="13" s="1"/>
  <c r="I75" i="12"/>
  <c r="K75" i="12" s="1"/>
  <c r="L75" i="12" s="1"/>
  <c r="I74" i="12"/>
  <c r="K74" i="12" s="1"/>
  <c r="L74" i="12" s="1"/>
  <c r="M74" i="12"/>
  <c r="P73" i="12"/>
  <c r="O73" i="12"/>
  <c r="N73" i="12"/>
  <c r="Q73" i="12"/>
  <c r="T73" i="12" s="1"/>
  <c r="R73" i="12"/>
  <c r="U73" i="12" s="1"/>
  <c r="S73" i="12"/>
  <c r="V73" i="12" s="1"/>
  <c r="I75" i="11"/>
  <c r="K75" i="11" s="1"/>
  <c r="L75" i="11" s="1"/>
  <c r="M75" i="11"/>
  <c r="I74" i="11"/>
  <c r="K74" i="11" s="1"/>
  <c r="L74" i="11" s="1"/>
  <c r="M74" i="11"/>
  <c r="P73" i="11"/>
  <c r="S73" i="11" s="1"/>
  <c r="V73" i="11" s="1"/>
  <c r="O73" i="11"/>
  <c r="R73" i="11" s="1"/>
  <c r="U73" i="11" s="1"/>
  <c r="N73" i="11"/>
  <c r="Q73" i="11"/>
  <c r="T73" i="11" s="1"/>
  <c r="I74" i="10"/>
  <c r="K74" i="10" s="1"/>
  <c r="L74" i="10" s="1"/>
  <c r="M74" i="10"/>
  <c r="P73" i="10"/>
  <c r="O73" i="10"/>
  <c r="N73" i="10"/>
  <c r="Q73" i="10"/>
  <c r="T73" i="10" s="1"/>
  <c r="R73" i="10"/>
  <c r="U73" i="10" s="1"/>
  <c r="S73" i="10"/>
  <c r="V73" i="10" s="1"/>
  <c r="P72" i="9"/>
  <c r="O72" i="9"/>
  <c r="N72" i="9"/>
  <c r="I73" i="9"/>
  <c r="K73" i="9" s="1"/>
  <c r="L73" i="9" s="1"/>
  <c r="M73" i="9"/>
  <c r="J75" i="9"/>
  <c r="G74" i="9"/>
  <c r="I2" i="9"/>
  <c r="K2" i="9" s="1"/>
  <c r="L2" i="9" s="1"/>
  <c r="S147" i="9" l="1"/>
  <c r="V147" i="9" s="1"/>
  <c r="Q147" i="9"/>
  <c r="T147" i="9" s="1"/>
  <c r="R147" i="9"/>
  <c r="U147" i="9" s="1"/>
  <c r="J151" i="9"/>
  <c r="G150" i="9"/>
  <c r="M149" i="9"/>
  <c r="I149" i="9"/>
  <c r="K149" i="9" s="1"/>
  <c r="L149" i="9" s="1"/>
  <c r="P148" i="9"/>
  <c r="N148" i="9"/>
  <c r="O148" i="9"/>
  <c r="M75" i="10"/>
  <c r="I75" i="10"/>
  <c r="K75" i="10" s="1"/>
  <c r="L75" i="10" s="1"/>
  <c r="J77" i="10"/>
  <c r="G76" i="10"/>
  <c r="J77" i="11"/>
  <c r="G76" i="11"/>
  <c r="J77" i="12"/>
  <c r="G77" i="12" s="1"/>
  <c r="G76" i="12"/>
  <c r="I76" i="13"/>
  <c r="K76" i="13" s="1"/>
  <c r="L76" i="13" s="1"/>
  <c r="M76" i="13"/>
  <c r="I75" i="14"/>
  <c r="K75" i="14" s="1"/>
  <c r="L75" i="14" s="1"/>
  <c r="M75" i="14"/>
  <c r="J77" i="14"/>
  <c r="G77" i="14" s="1"/>
  <c r="G76" i="14"/>
  <c r="I75" i="15"/>
  <c r="K75" i="15" s="1"/>
  <c r="L75" i="15" s="1"/>
  <c r="M75" i="15"/>
  <c r="P74" i="15"/>
  <c r="S74" i="15" s="1"/>
  <c r="V74" i="15" s="1"/>
  <c r="O74" i="15"/>
  <c r="R74" i="15" s="1"/>
  <c r="U74" i="15" s="1"/>
  <c r="N74" i="15"/>
  <c r="Q74" i="15" s="1"/>
  <c r="T74" i="15" s="1"/>
  <c r="P75" i="14"/>
  <c r="O75" i="14"/>
  <c r="N75" i="14"/>
  <c r="O74" i="14"/>
  <c r="R74" i="14" s="1"/>
  <c r="U74" i="14" s="1"/>
  <c r="P74" i="14"/>
  <c r="N74" i="14"/>
  <c r="Q74" i="14"/>
  <c r="T74" i="14" s="1"/>
  <c r="S74" i="14"/>
  <c r="V74" i="14" s="1"/>
  <c r="P75" i="13"/>
  <c r="O75" i="13"/>
  <c r="N75" i="13"/>
  <c r="P74" i="13"/>
  <c r="O74" i="13"/>
  <c r="N74" i="13"/>
  <c r="P75" i="12"/>
  <c r="O75" i="12"/>
  <c r="N75" i="12"/>
  <c r="P74" i="12"/>
  <c r="S75" i="12" s="1"/>
  <c r="V75" i="12" s="1"/>
  <c r="O74" i="12"/>
  <c r="R75" i="12" s="1"/>
  <c r="U75" i="12" s="1"/>
  <c r="N74" i="12"/>
  <c r="Q75" i="12" s="1"/>
  <c r="T75" i="12" s="1"/>
  <c r="Q74" i="12"/>
  <c r="T74" i="12" s="1"/>
  <c r="R74" i="12"/>
  <c r="U74" i="12" s="1"/>
  <c r="S74" i="12"/>
  <c r="V74" i="12" s="1"/>
  <c r="P75" i="11"/>
  <c r="O75" i="11"/>
  <c r="N75" i="11"/>
  <c r="O74" i="11"/>
  <c r="R75" i="11" s="1"/>
  <c r="U75" i="11" s="1"/>
  <c r="P74" i="11"/>
  <c r="N74" i="11"/>
  <c r="Q75" i="11" s="1"/>
  <c r="T75" i="11" s="1"/>
  <c r="Q74" i="11"/>
  <c r="T74" i="11" s="1"/>
  <c r="R74" i="11"/>
  <c r="U74" i="11" s="1"/>
  <c r="L15" i="8" s="1" a="1"/>
  <c r="S74" i="11"/>
  <c r="V74" i="11" s="1"/>
  <c r="N75" i="10"/>
  <c r="O74" i="10"/>
  <c r="P74" i="10"/>
  <c r="N74" i="10"/>
  <c r="R74" i="10"/>
  <c r="U74" i="10" s="1"/>
  <c r="Q74" i="10"/>
  <c r="T74" i="10" s="1"/>
  <c r="S74" i="10"/>
  <c r="V74" i="10" s="1"/>
  <c r="P73" i="9"/>
  <c r="O73" i="9"/>
  <c r="N73" i="9"/>
  <c r="I74" i="9"/>
  <c r="K74" i="9" s="1"/>
  <c r="L74" i="9" s="1"/>
  <c r="M74" i="9"/>
  <c r="S73" i="9"/>
  <c r="V73" i="9" s="1"/>
  <c r="O2" i="9"/>
  <c r="R73" i="9" s="1"/>
  <c r="U73" i="9" s="1"/>
  <c r="N2" i="9"/>
  <c r="Q73" i="9" s="1"/>
  <c r="T73" i="9" s="1"/>
  <c r="G75" i="9"/>
  <c r="M75" i="9" s="1"/>
  <c r="S148" i="9" l="1"/>
  <c r="V148" i="9" s="1"/>
  <c r="Q148" i="9"/>
  <c r="T148" i="9" s="1"/>
  <c r="R148" i="9"/>
  <c r="U148" i="9" s="1"/>
  <c r="J152" i="9"/>
  <c r="G151" i="9"/>
  <c r="M150" i="9"/>
  <c r="I150" i="9"/>
  <c r="K150" i="9" s="1"/>
  <c r="L150" i="9" s="1"/>
  <c r="S149" i="9"/>
  <c r="V149" i="9" s="1"/>
  <c r="P149" i="9"/>
  <c r="O149" i="9"/>
  <c r="N149" i="9"/>
  <c r="S75" i="11"/>
  <c r="V75" i="11" s="1"/>
  <c r="Q75" i="10"/>
  <c r="T75" i="10" s="1"/>
  <c r="P75" i="10"/>
  <c r="S75" i="10" s="1"/>
  <c r="V75" i="10" s="1"/>
  <c r="O75" i="10"/>
  <c r="R75" i="10" s="1"/>
  <c r="U75" i="10" s="1"/>
  <c r="L14" i="8" s="1" a="1"/>
  <c r="Q75" i="13"/>
  <c r="T75" i="13" s="1"/>
  <c r="Q74" i="13"/>
  <c r="T74" i="13" s="1"/>
  <c r="G77" i="10"/>
  <c r="J78" i="10"/>
  <c r="M76" i="10"/>
  <c r="I76" i="10"/>
  <c r="K76" i="10" s="1"/>
  <c r="L76" i="10" s="1"/>
  <c r="G77" i="11"/>
  <c r="J78" i="11"/>
  <c r="M76" i="11"/>
  <c r="I76" i="11"/>
  <c r="K76" i="11" s="1"/>
  <c r="L76" i="11" s="1"/>
  <c r="I77" i="12"/>
  <c r="K77" i="12" s="1"/>
  <c r="L77" i="12" s="1"/>
  <c r="M77" i="12"/>
  <c r="I76" i="12"/>
  <c r="K76" i="12" s="1"/>
  <c r="L76" i="12" s="1"/>
  <c r="M76" i="12"/>
  <c r="O76" i="13"/>
  <c r="R76" i="13" s="1"/>
  <c r="N76" i="13"/>
  <c r="P76" i="13"/>
  <c r="Q76" i="13"/>
  <c r="S76" i="13"/>
  <c r="S74" i="13"/>
  <c r="V74" i="13" s="1"/>
  <c r="S75" i="13"/>
  <c r="V75" i="13" s="1"/>
  <c r="R74" i="13"/>
  <c r="U74" i="13" s="1"/>
  <c r="R75" i="13"/>
  <c r="U75" i="13" s="1"/>
  <c r="R75" i="14"/>
  <c r="U75" i="14" s="1"/>
  <c r="S75" i="14"/>
  <c r="V75" i="14" s="1"/>
  <c r="Q75" i="14"/>
  <c r="T75" i="14" s="1"/>
  <c r="M77" i="14"/>
  <c r="I77" i="14"/>
  <c r="K77" i="14" s="1"/>
  <c r="L77" i="14" s="1"/>
  <c r="I76" i="14"/>
  <c r="K76" i="14" s="1"/>
  <c r="L76" i="14" s="1"/>
  <c r="M76" i="14"/>
  <c r="P75" i="15"/>
  <c r="O75" i="15"/>
  <c r="R75" i="15" s="1"/>
  <c r="U75" i="15" s="1"/>
  <c r="N75" i="15"/>
  <c r="Q75" i="15"/>
  <c r="T75" i="15" s="1"/>
  <c r="S75" i="15"/>
  <c r="V75" i="15" s="1"/>
  <c r="M19" i="8" s="1" a="1"/>
  <c r="P74" i="9"/>
  <c r="O74" i="9"/>
  <c r="N74" i="9"/>
  <c r="S74" i="9"/>
  <c r="V74" i="9" s="1"/>
  <c r="R74" i="9"/>
  <c r="U74" i="9" s="1"/>
  <c r="Q74" i="9"/>
  <c r="T74" i="9" s="1"/>
  <c r="S72" i="9"/>
  <c r="V72" i="9" s="1"/>
  <c r="S71" i="9"/>
  <c r="V71" i="9" s="1"/>
  <c r="S70" i="9"/>
  <c r="V70" i="9" s="1"/>
  <c r="S69" i="9"/>
  <c r="V69" i="9" s="1"/>
  <c r="S68" i="9"/>
  <c r="V68" i="9" s="1"/>
  <c r="S67" i="9"/>
  <c r="V67" i="9" s="1"/>
  <c r="S66" i="9"/>
  <c r="V66" i="9" s="1"/>
  <c r="S65" i="9"/>
  <c r="V65" i="9" s="1"/>
  <c r="S64" i="9"/>
  <c r="V64" i="9" s="1"/>
  <c r="S63" i="9"/>
  <c r="V63" i="9" s="1"/>
  <c r="S62" i="9"/>
  <c r="V62" i="9" s="1"/>
  <c r="S61" i="9"/>
  <c r="V61" i="9" s="1"/>
  <c r="S60" i="9"/>
  <c r="V60" i="9" s="1"/>
  <c r="S59" i="9"/>
  <c r="V59" i="9" s="1"/>
  <c r="S58" i="9"/>
  <c r="V58" i="9" s="1"/>
  <c r="S57" i="9"/>
  <c r="V57" i="9" s="1"/>
  <c r="S56" i="9"/>
  <c r="V56" i="9" s="1"/>
  <c r="S55" i="9"/>
  <c r="V55" i="9" s="1"/>
  <c r="S54" i="9"/>
  <c r="V54" i="9" s="1"/>
  <c r="S53" i="9"/>
  <c r="V53" i="9" s="1"/>
  <c r="S52" i="9"/>
  <c r="V52" i="9" s="1"/>
  <c r="S51" i="9"/>
  <c r="V51" i="9" s="1"/>
  <c r="S50" i="9"/>
  <c r="V50" i="9" s="1"/>
  <c r="S49" i="9"/>
  <c r="V49" i="9" s="1"/>
  <c r="S48" i="9"/>
  <c r="V48" i="9" s="1"/>
  <c r="S47" i="9"/>
  <c r="V47" i="9" s="1"/>
  <c r="S46" i="9"/>
  <c r="V46" i="9" s="1"/>
  <c r="S45" i="9"/>
  <c r="V45" i="9" s="1"/>
  <c r="S44" i="9"/>
  <c r="V44" i="9" s="1"/>
  <c r="S43" i="9"/>
  <c r="V43" i="9" s="1"/>
  <c r="S42" i="9"/>
  <c r="V42" i="9" s="1"/>
  <c r="S41" i="9"/>
  <c r="V41" i="9" s="1"/>
  <c r="S40" i="9"/>
  <c r="V40" i="9" s="1"/>
  <c r="S39" i="9"/>
  <c r="V39" i="9" s="1"/>
  <c r="S38" i="9"/>
  <c r="V38" i="9" s="1"/>
  <c r="S37" i="9"/>
  <c r="V37" i="9" s="1"/>
  <c r="S36" i="9"/>
  <c r="V36" i="9" s="1"/>
  <c r="S35" i="9"/>
  <c r="V35" i="9" s="1"/>
  <c r="S34" i="9"/>
  <c r="V34" i="9" s="1"/>
  <c r="S33" i="9"/>
  <c r="V33" i="9" s="1"/>
  <c r="S32" i="9"/>
  <c r="V32" i="9" s="1"/>
  <c r="S31" i="9"/>
  <c r="V31" i="9" s="1"/>
  <c r="S30" i="9"/>
  <c r="V30" i="9" s="1"/>
  <c r="S29" i="9"/>
  <c r="V29" i="9" s="1"/>
  <c r="S28" i="9"/>
  <c r="V28" i="9" s="1"/>
  <c r="S27" i="9"/>
  <c r="V27" i="9" s="1"/>
  <c r="S26" i="9"/>
  <c r="V26" i="9" s="1"/>
  <c r="S25" i="9"/>
  <c r="V25" i="9" s="1"/>
  <c r="S24" i="9"/>
  <c r="V24" i="9" s="1"/>
  <c r="S23" i="9"/>
  <c r="V23" i="9" s="1"/>
  <c r="S22" i="9"/>
  <c r="V22" i="9" s="1"/>
  <c r="S21" i="9"/>
  <c r="V21" i="9" s="1"/>
  <c r="S20" i="9"/>
  <c r="V20" i="9" s="1"/>
  <c r="S19" i="9"/>
  <c r="V19" i="9" s="1"/>
  <c r="S18" i="9"/>
  <c r="V18" i="9" s="1"/>
  <c r="S17" i="9"/>
  <c r="V17" i="9" s="1"/>
  <c r="S16" i="9"/>
  <c r="V16" i="9" s="1"/>
  <c r="S15" i="9"/>
  <c r="V15" i="9" s="1"/>
  <c r="S14" i="9"/>
  <c r="V14" i="9" s="1"/>
  <c r="S13" i="9"/>
  <c r="V13" i="9" s="1"/>
  <c r="S12" i="9"/>
  <c r="V12" i="9" s="1"/>
  <c r="S11" i="9"/>
  <c r="V11" i="9" s="1"/>
  <c r="S10" i="9"/>
  <c r="V10" i="9" s="1"/>
  <c r="S9" i="9"/>
  <c r="V9" i="9" s="1"/>
  <c r="S8" i="9"/>
  <c r="V8" i="9" s="1"/>
  <c r="S7" i="9"/>
  <c r="V7" i="9" s="1"/>
  <c r="S6" i="9"/>
  <c r="V6" i="9" s="1"/>
  <c r="S5" i="9"/>
  <c r="V5" i="9" s="1"/>
  <c r="S4" i="9"/>
  <c r="V4" i="9" s="1"/>
  <c r="S3" i="9"/>
  <c r="V3" i="9" s="1"/>
  <c r="S2" i="9"/>
  <c r="R72" i="9"/>
  <c r="U72" i="9" s="1"/>
  <c r="R71" i="9"/>
  <c r="U71" i="9" s="1"/>
  <c r="R70" i="9"/>
  <c r="U70" i="9" s="1"/>
  <c r="R69" i="9"/>
  <c r="U69" i="9" s="1"/>
  <c r="R68" i="9"/>
  <c r="U68" i="9" s="1"/>
  <c r="R67" i="9"/>
  <c r="U67" i="9" s="1"/>
  <c r="R66" i="9"/>
  <c r="U66" i="9" s="1"/>
  <c r="R65" i="9"/>
  <c r="U65" i="9" s="1"/>
  <c r="R64" i="9"/>
  <c r="U64" i="9" s="1"/>
  <c r="R63" i="9"/>
  <c r="U63" i="9" s="1"/>
  <c r="R62" i="9"/>
  <c r="U62" i="9" s="1"/>
  <c r="R61" i="9"/>
  <c r="U61" i="9" s="1"/>
  <c r="R60" i="9"/>
  <c r="U60" i="9" s="1"/>
  <c r="R59" i="9"/>
  <c r="U59" i="9" s="1"/>
  <c r="R58" i="9"/>
  <c r="U58" i="9" s="1"/>
  <c r="R57" i="9"/>
  <c r="U57" i="9" s="1"/>
  <c r="R56" i="9"/>
  <c r="U56" i="9" s="1"/>
  <c r="R55" i="9"/>
  <c r="U55" i="9" s="1"/>
  <c r="R54" i="9"/>
  <c r="U54" i="9" s="1"/>
  <c r="R53" i="9"/>
  <c r="U53" i="9" s="1"/>
  <c r="R52" i="9"/>
  <c r="U52" i="9" s="1"/>
  <c r="R51" i="9"/>
  <c r="U51" i="9" s="1"/>
  <c r="R50" i="9"/>
  <c r="U50" i="9" s="1"/>
  <c r="R49" i="9"/>
  <c r="U49" i="9" s="1"/>
  <c r="R48" i="9"/>
  <c r="U48" i="9" s="1"/>
  <c r="R47" i="9"/>
  <c r="U47" i="9" s="1"/>
  <c r="R46" i="9"/>
  <c r="U46" i="9" s="1"/>
  <c r="R45" i="9"/>
  <c r="U45" i="9" s="1"/>
  <c r="R44" i="9"/>
  <c r="U44" i="9" s="1"/>
  <c r="R43" i="9"/>
  <c r="U43" i="9" s="1"/>
  <c r="R42" i="9"/>
  <c r="U42" i="9" s="1"/>
  <c r="R41" i="9"/>
  <c r="U41" i="9" s="1"/>
  <c r="R40" i="9"/>
  <c r="U40" i="9" s="1"/>
  <c r="R39" i="9"/>
  <c r="U39" i="9" s="1"/>
  <c r="R38" i="9"/>
  <c r="U38" i="9" s="1"/>
  <c r="R37" i="9"/>
  <c r="U37" i="9" s="1"/>
  <c r="R36" i="9"/>
  <c r="U36" i="9" s="1"/>
  <c r="R35" i="9"/>
  <c r="U35" i="9" s="1"/>
  <c r="R34" i="9"/>
  <c r="U34" i="9" s="1"/>
  <c r="R33" i="9"/>
  <c r="U33" i="9" s="1"/>
  <c r="R32" i="9"/>
  <c r="U32" i="9" s="1"/>
  <c r="R31" i="9"/>
  <c r="U31" i="9" s="1"/>
  <c r="R30" i="9"/>
  <c r="U30" i="9" s="1"/>
  <c r="R29" i="9"/>
  <c r="U29" i="9" s="1"/>
  <c r="R28" i="9"/>
  <c r="U28" i="9" s="1"/>
  <c r="R27" i="9"/>
  <c r="U27" i="9" s="1"/>
  <c r="R26" i="9"/>
  <c r="U26" i="9" s="1"/>
  <c r="R25" i="9"/>
  <c r="U25" i="9" s="1"/>
  <c r="R24" i="9"/>
  <c r="U24" i="9" s="1"/>
  <c r="R23" i="9"/>
  <c r="U23" i="9" s="1"/>
  <c r="R22" i="9"/>
  <c r="U22" i="9" s="1"/>
  <c r="R21" i="9"/>
  <c r="U21" i="9" s="1"/>
  <c r="R20" i="9"/>
  <c r="U20" i="9" s="1"/>
  <c r="R19" i="9"/>
  <c r="U19" i="9" s="1"/>
  <c r="R18" i="9"/>
  <c r="U18" i="9" s="1"/>
  <c r="R17" i="9"/>
  <c r="U17" i="9" s="1"/>
  <c r="R16" i="9"/>
  <c r="U16" i="9" s="1"/>
  <c r="R15" i="9"/>
  <c r="U15" i="9" s="1"/>
  <c r="R14" i="9"/>
  <c r="U14" i="9" s="1"/>
  <c r="R13" i="9"/>
  <c r="U13" i="9" s="1"/>
  <c r="R12" i="9"/>
  <c r="U12" i="9" s="1"/>
  <c r="R11" i="9"/>
  <c r="U11" i="9" s="1"/>
  <c r="R10" i="9"/>
  <c r="U10" i="9" s="1"/>
  <c r="R9" i="9"/>
  <c r="U9" i="9" s="1"/>
  <c r="R8" i="9"/>
  <c r="U8" i="9" s="1"/>
  <c r="R7" i="9"/>
  <c r="U7" i="9" s="1"/>
  <c r="R6" i="9"/>
  <c r="U6" i="9" s="1"/>
  <c r="R5" i="9"/>
  <c r="U5" i="9" s="1"/>
  <c r="R4" i="9"/>
  <c r="U4" i="9" s="1"/>
  <c r="R3" i="9"/>
  <c r="U3" i="9" s="1"/>
  <c r="Q72" i="9"/>
  <c r="T72" i="9" s="1"/>
  <c r="Q71" i="9"/>
  <c r="T71" i="9" s="1"/>
  <c r="Q70" i="9"/>
  <c r="T70" i="9" s="1"/>
  <c r="Q69" i="9"/>
  <c r="T69" i="9" s="1"/>
  <c r="Q68" i="9"/>
  <c r="T68" i="9" s="1"/>
  <c r="Q67" i="9"/>
  <c r="T67" i="9" s="1"/>
  <c r="Q66" i="9"/>
  <c r="T66" i="9" s="1"/>
  <c r="Q65" i="9"/>
  <c r="T65" i="9" s="1"/>
  <c r="Q64" i="9"/>
  <c r="T64" i="9" s="1"/>
  <c r="Q63" i="9"/>
  <c r="T63" i="9" s="1"/>
  <c r="Q62" i="9"/>
  <c r="T62" i="9" s="1"/>
  <c r="Q61" i="9"/>
  <c r="T61" i="9" s="1"/>
  <c r="Q60" i="9"/>
  <c r="T60" i="9" s="1"/>
  <c r="Q59" i="9"/>
  <c r="T59" i="9" s="1"/>
  <c r="Q58" i="9"/>
  <c r="T58" i="9" s="1"/>
  <c r="Q57" i="9"/>
  <c r="T57" i="9" s="1"/>
  <c r="Q56" i="9"/>
  <c r="T56" i="9" s="1"/>
  <c r="Q55" i="9"/>
  <c r="T55" i="9" s="1"/>
  <c r="Q54" i="9"/>
  <c r="T54" i="9" s="1"/>
  <c r="Q53" i="9"/>
  <c r="T53" i="9" s="1"/>
  <c r="Q52" i="9"/>
  <c r="T52" i="9" s="1"/>
  <c r="Q51" i="9"/>
  <c r="T51" i="9" s="1"/>
  <c r="Q50" i="9"/>
  <c r="T50" i="9" s="1"/>
  <c r="Q49" i="9"/>
  <c r="T49" i="9" s="1"/>
  <c r="Q48" i="9"/>
  <c r="T48" i="9" s="1"/>
  <c r="Q47" i="9"/>
  <c r="T47" i="9" s="1"/>
  <c r="Q46" i="9"/>
  <c r="T46" i="9" s="1"/>
  <c r="Q45" i="9"/>
  <c r="T45" i="9" s="1"/>
  <c r="Q44" i="9"/>
  <c r="T44" i="9" s="1"/>
  <c r="Q43" i="9"/>
  <c r="T43" i="9" s="1"/>
  <c r="Q42" i="9"/>
  <c r="T42" i="9" s="1"/>
  <c r="Q41" i="9"/>
  <c r="T41" i="9" s="1"/>
  <c r="Q40" i="9"/>
  <c r="T40" i="9" s="1"/>
  <c r="Q39" i="9"/>
  <c r="T39" i="9" s="1"/>
  <c r="Q38" i="9"/>
  <c r="T38" i="9" s="1"/>
  <c r="Q37" i="9"/>
  <c r="T37" i="9" s="1"/>
  <c r="Q36" i="9"/>
  <c r="T36" i="9" s="1"/>
  <c r="Q35" i="9"/>
  <c r="T35" i="9" s="1"/>
  <c r="Q34" i="9"/>
  <c r="T34" i="9" s="1"/>
  <c r="Q33" i="9"/>
  <c r="T33" i="9" s="1"/>
  <c r="Q32" i="9"/>
  <c r="T32" i="9" s="1"/>
  <c r="Q31" i="9"/>
  <c r="T31" i="9" s="1"/>
  <c r="Q30" i="9"/>
  <c r="T30" i="9" s="1"/>
  <c r="Q29" i="9"/>
  <c r="T29" i="9" s="1"/>
  <c r="Q28" i="9"/>
  <c r="T28" i="9" s="1"/>
  <c r="Q27" i="9"/>
  <c r="T27" i="9" s="1"/>
  <c r="Q26" i="9"/>
  <c r="T26" i="9" s="1"/>
  <c r="Q25" i="9"/>
  <c r="T25" i="9" s="1"/>
  <c r="Q24" i="9"/>
  <c r="T24" i="9" s="1"/>
  <c r="Q23" i="9"/>
  <c r="T23" i="9" s="1"/>
  <c r="Q22" i="9"/>
  <c r="T22" i="9" s="1"/>
  <c r="Q21" i="9"/>
  <c r="T21" i="9" s="1"/>
  <c r="Q20" i="9"/>
  <c r="T20" i="9" s="1"/>
  <c r="Q19" i="9"/>
  <c r="T19" i="9" s="1"/>
  <c r="Q18" i="9"/>
  <c r="T18" i="9" s="1"/>
  <c r="Q17" i="9"/>
  <c r="T17" i="9" s="1"/>
  <c r="Q16" i="9"/>
  <c r="T16" i="9" s="1"/>
  <c r="Q15" i="9"/>
  <c r="T15" i="9" s="1"/>
  <c r="Q14" i="9"/>
  <c r="T14" i="9" s="1"/>
  <c r="Q13" i="9"/>
  <c r="T13" i="9" s="1"/>
  <c r="Q12" i="9"/>
  <c r="T12" i="9" s="1"/>
  <c r="Q11" i="9"/>
  <c r="T11" i="9" s="1"/>
  <c r="Q10" i="9"/>
  <c r="T10" i="9" s="1"/>
  <c r="Q9" i="9"/>
  <c r="T9" i="9" s="1"/>
  <c r="Q8" i="9"/>
  <c r="T8" i="9" s="1"/>
  <c r="Q7" i="9"/>
  <c r="T7" i="9" s="1"/>
  <c r="Q6" i="9"/>
  <c r="T6" i="9" s="1"/>
  <c r="Q5" i="9"/>
  <c r="T5" i="9" s="1"/>
  <c r="Q4" i="9"/>
  <c r="T4" i="9" s="1"/>
  <c r="Q3" i="9"/>
  <c r="T3" i="9" s="1"/>
  <c r="Q2" i="9"/>
  <c r="I75" i="9"/>
  <c r="K75" i="9" s="1"/>
  <c r="L75" i="9" s="1"/>
  <c r="R149" i="9" l="1"/>
  <c r="U149" i="9" s="1"/>
  <c r="Q149" i="9"/>
  <c r="T149" i="9" s="1"/>
  <c r="J153" i="9"/>
  <c r="G152" i="9"/>
  <c r="I151" i="9"/>
  <c r="K151" i="9" s="1"/>
  <c r="L151" i="9" s="1"/>
  <c r="M151" i="9"/>
  <c r="N150" i="9"/>
  <c r="P150" i="9"/>
  <c r="O150" i="9"/>
  <c r="V2" i="9"/>
  <c r="U2" i="9"/>
  <c r="T2" i="9"/>
  <c r="I77" i="10"/>
  <c r="K77" i="10" s="1"/>
  <c r="L77" i="10" s="1"/>
  <c r="M77" i="10"/>
  <c r="J79" i="10"/>
  <c r="G78" i="10"/>
  <c r="O76" i="10"/>
  <c r="R76" i="10" s="1"/>
  <c r="P76" i="10"/>
  <c r="S76" i="10" s="1"/>
  <c r="N76" i="10"/>
  <c r="Q76" i="10" s="1"/>
  <c r="I77" i="11"/>
  <c r="K77" i="11" s="1"/>
  <c r="L77" i="11" s="1"/>
  <c r="M77" i="11"/>
  <c r="G78" i="11"/>
  <c r="J79" i="11"/>
  <c r="O76" i="11"/>
  <c r="R76" i="11" s="1"/>
  <c r="N76" i="11"/>
  <c r="Q76" i="11" s="1"/>
  <c r="P76" i="11"/>
  <c r="S76" i="11" s="1"/>
  <c r="O77" i="12"/>
  <c r="P77" i="12"/>
  <c r="N77" i="12"/>
  <c r="O76" i="12"/>
  <c r="P76" i="12"/>
  <c r="S77" i="12" s="1"/>
  <c r="N76" i="12"/>
  <c r="Q76" i="12" s="1"/>
  <c r="R76" i="12"/>
  <c r="S76" i="12"/>
  <c r="B17" i="8"/>
  <c r="H17" i="8" s="1"/>
  <c r="D17" i="8"/>
  <c r="J17" i="8" s="1"/>
  <c r="G17" i="8"/>
  <c r="C17" i="8"/>
  <c r="I17" i="8" s="1"/>
  <c r="F17" i="8"/>
  <c r="L17" i="8" a="1"/>
  <c r="P77" i="14"/>
  <c r="O77" i="14"/>
  <c r="N77" i="14"/>
  <c r="N76" i="14"/>
  <c r="Q76" i="14" s="1"/>
  <c r="O76" i="14"/>
  <c r="P76" i="14"/>
  <c r="N75" i="9"/>
  <c r="Q75" i="9" s="1"/>
  <c r="O75" i="9"/>
  <c r="R75" i="9" s="1"/>
  <c r="P75" i="9"/>
  <c r="S75" i="9" s="1"/>
  <c r="Q150" i="9" l="1"/>
  <c r="T150" i="9" s="1"/>
  <c r="S150" i="9"/>
  <c r="V150" i="9" s="1"/>
  <c r="R150" i="9"/>
  <c r="U150" i="9" s="1"/>
  <c r="G153" i="9"/>
  <c r="J154" i="9"/>
  <c r="M152" i="9"/>
  <c r="I152" i="9"/>
  <c r="K152" i="9" s="1"/>
  <c r="L152" i="9" s="1"/>
  <c r="N151" i="9"/>
  <c r="P151" i="9"/>
  <c r="O151" i="9"/>
  <c r="R151" i="9"/>
  <c r="U151" i="9" s="1"/>
  <c r="M13" i="8" a="1"/>
  <c r="L13" i="8" a="1"/>
  <c r="F13" i="8"/>
  <c r="K13" i="8" a="1"/>
  <c r="E13" i="8"/>
  <c r="R77" i="12"/>
  <c r="C16" i="8" s="1"/>
  <c r="I16" i="8" s="1"/>
  <c r="S77" i="14"/>
  <c r="S76" i="14"/>
  <c r="B13" i="8"/>
  <c r="H13" i="8" s="1"/>
  <c r="T75" i="9"/>
  <c r="C13" i="8"/>
  <c r="I13" i="8" s="1"/>
  <c r="U75" i="9"/>
  <c r="D13" i="8"/>
  <c r="J13" i="8" s="1"/>
  <c r="V75" i="9"/>
  <c r="G13" i="8" s="1"/>
  <c r="N77" i="10"/>
  <c r="P77" i="10"/>
  <c r="S77" i="10" s="1"/>
  <c r="O77" i="10"/>
  <c r="R77" i="10"/>
  <c r="Q77" i="10"/>
  <c r="J80" i="10"/>
  <c r="G79" i="10"/>
  <c r="I78" i="10"/>
  <c r="K78" i="10" s="1"/>
  <c r="L78" i="10" s="1"/>
  <c r="M78" i="10"/>
  <c r="O77" i="11"/>
  <c r="R77" i="11" s="1"/>
  <c r="P77" i="11"/>
  <c r="N77" i="11"/>
  <c r="Q77" i="11" s="1"/>
  <c r="I78" i="11"/>
  <c r="K78" i="11" s="1"/>
  <c r="L78" i="11" s="1"/>
  <c r="M78" i="11"/>
  <c r="J80" i="11"/>
  <c r="G80" i="11" s="1"/>
  <c r="G79" i="11"/>
  <c r="S77" i="11"/>
  <c r="D16" i="8"/>
  <c r="J16" i="8" s="1"/>
  <c r="G16" i="8"/>
  <c r="Q77" i="12"/>
  <c r="K17" i="8" a="1"/>
  <c r="E17" i="8"/>
  <c r="R77" i="14"/>
  <c r="R76" i="14"/>
  <c r="Q77" i="14"/>
  <c r="B18" i="8" s="1"/>
  <c r="H18" i="8" s="1"/>
  <c r="D18" i="8"/>
  <c r="J18" i="8" s="1"/>
  <c r="G18" i="8"/>
  <c r="F18" i="8"/>
  <c r="S151" i="9" l="1"/>
  <c r="V151" i="9" s="1"/>
  <c r="Q151" i="9"/>
  <c r="T151" i="9" s="1"/>
  <c r="M153" i="9"/>
  <c r="I153" i="9"/>
  <c r="K153" i="9" s="1"/>
  <c r="L153" i="9" s="1"/>
  <c r="G154" i="9"/>
  <c r="J155" i="9"/>
  <c r="P152" i="9"/>
  <c r="N152" i="9"/>
  <c r="O152" i="9"/>
  <c r="L18" i="8" a="1"/>
  <c r="C18" i="8"/>
  <c r="I18" i="8" s="1"/>
  <c r="G80" i="10"/>
  <c r="J81" i="10"/>
  <c r="G81" i="10" s="1"/>
  <c r="M79" i="10"/>
  <c r="I79" i="10"/>
  <c r="K79" i="10" s="1"/>
  <c r="L79" i="10" s="1"/>
  <c r="N78" i="10"/>
  <c r="Q78" i="10" s="1"/>
  <c r="P78" i="10"/>
  <c r="S78" i="10" s="1"/>
  <c r="O78" i="10"/>
  <c r="R78" i="10" s="1"/>
  <c r="P78" i="11"/>
  <c r="S78" i="11" s="1"/>
  <c r="O78" i="11"/>
  <c r="R78" i="11" s="1"/>
  <c r="N78" i="11"/>
  <c r="Q78" i="11" s="1"/>
  <c r="I80" i="11"/>
  <c r="K80" i="11" s="1"/>
  <c r="L80" i="11" s="1"/>
  <c r="M80" i="11"/>
  <c r="I79" i="11"/>
  <c r="K79" i="11" s="1"/>
  <c r="L79" i="11" s="1"/>
  <c r="M79" i="11"/>
  <c r="L16" i="8" a="1"/>
  <c r="F16" i="8"/>
  <c r="B16" i="8"/>
  <c r="H16" i="8" s="1"/>
  <c r="K18" i="8" a="1"/>
  <c r="E18" i="8"/>
  <c r="S152" i="9" l="1"/>
  <c r="V152" i="9" s="1"/>
  <c r="Q152" i="9"/>
  <c r="T152" i="9" s="1"/>
  <c r="R152" i="9"/>
  <c r="U152" i="9" s="1"/>
  <c r="O153" i="9"/>
  <c r="N153" i="9"/>
  <c r="P153" i="9"/>
  <c r="M154" i="9"/>
  <c r="I154" i="9"/>
  <c r="K154" i="9" s="1"/>
  <c r="L154" i="9" s="1"/>
  <c r="G155" i="9"/>
  <c r="J156" i="9"/>
  <c r="M80" i="10"/>
  <c r="I80" i="10"/>
  <c r="K80" i="10" s="1"/>
  <c r="L80" i="10" s="1"/>
  <c r="M81" i="10"/>
  <c r="I81" i="10"/>
  <c r="K81" i="10" s="1"/>
  <c r="L81" i="10" s="1"/>
  <c r="N79" i="10"/>
  <c r="Q79" i="10" s="1"/>
  <c r="O79" i="10"/>
  <c r="R79" i="10" s="1"/>
  <c r="P79" i="10"/>
  <c r="S79" i="10" s="1"/>
  <c r="O80" i="11"/>
  <c r="P80" i="11"/>
  <c r="N80" i="11"/>
  <c r="N79" i="11"/>
  <c r="Q80" i="11" s="1"/>
  <c r="O79" i="11"/>
  <c r="P79" i="11"/>
  <c r="Q79" i="11"/>
  <c r="R79" i="11"/>
  <c r="S79" i="11"/>
  <c r="K16" i="8" a="1"/>
  <c r="E16" i="8"/>
  <c r="S153" i="9" l="1"/>
  <c r="V153" i="9" s="1"/>
  <c r="R153" i="9"/>
  <c r="U153" i="9" s="1"/>
  <c r="Q153" i="9"/>
  <c r="T153" i="9" s="1"/>
  <c r="P154" i="9"/>
  <c r="S154" i="9" s="1"/>
  <c r="V154" i="9" s="1"/>
  <c r="O154" i="9"/>
  <c r="N154" i="9"/>
  <c r="M155" i="9"/>
  <c r="I155" i="9"/>
  <c r="K155" i="9" s="1"/>
  <c r="L155" i="9" s="1"/>
  <c r="J157" i="9"/>
  <c r="G156" i="9"/>
  <c r="R80" i="11"/>
  <c r="B19" i="8"/>
  <c r="H19" i="8" s="1"/>
  <c r="C19" i="8"/>
  <c r="I19" i="8" s="1"/>
  <c r="G19" i="8"/>
  <c r="D19" i="8"/>
  <c r="J19" i="8" s="1"/>
  <c r="O80" i="10"/>
  <c r="P80" i="10"/>
  <c r="S80" i="10" s="1"/>
  <c r="N80" i="10"/>
  <c r="Q80" i="10" s="1"/>
  <c r="K14" i="8" s="1" a="1"/>
  <c r="Q81" i="10"/>
  <c r="O81" i="10"/>
  <c r="P81" i="10"/>
  <c r="S81" i="10" s="1"/>
  <c r="N81" i="10"/>
  <c r="B15" i="8"/>
  <c r="H15" i="8" s="1"/>
  <c r="C15" i="8"/>
  <c r="I15" i="8" s="1"/>
  <c r="F15" i="8"/>
  <c r="S80" i="11"/>
  <c r="Q154" i="9" l="1"/>
  <c r="T154" i="9" s="1"/>
  <c r="R154" i="9"/>
  <c r="U154" i="9" s="1"/>
  <c r="R155" i="9"/>
  <c r="U155" i="9" s="1"/>
  <c r="N155" i="9"/>
  <c r="P155" i="9"/>
  <c r="S155" i="9" s="1"/>
  <c r="V155" i="9" s="1"/>
  <c r="O155" i="9"/>
  <c r="J158" i="9"/>
  <c r="G157" i="9"/>
  <c r="M156" i="9"/>
  <c r="I156" i="9"/>
  <c r="K156" i="9" s="1"/>
  <c r="L156" i="9" s="1"/>
  <c r="R80" i="10"/>
  <c r="C14" i="8" s="1"/>
  <c r="I14" i="8" s="1"/>
  <c r="R81" i="10"/>
  <c r="F19" i="8"/>
  <c r="L19" i="8" a="1"/>
  <c r="E19" i="8"/>
  <c r="K19" i="8" a="1"/>
  <c r="B14" i="8"/>
  <c r="H14" i="8" s="1"/>
  <c r="E14" i="8"/>
  <c r="F14" i="8"/>
  <c r="D14" i="8"/>
  <c r="J14" i="8" s="1"/>
  <c r="G14" i="8"/>
  <c r="K15" i="8" a="1"/>
  <c r="E15" i="8"/>
  <c r="G15" i="8"/>
  <c r="D15" i="8"/>
  <c r="J15" i="8" s="1"/>
  <c r="Q155" i="9" l="1"/>
  <c r="T155" i="9" s="1"/>
  <c r="J159" i="9"/>
  <c r="G158" i="9"/>
  <c r="M157" i="9"/>
  <c r="I157" i="9"/>
  <c r="K157" i="9" s="1"/>
  <c r="L157" i="9" s="1"/>
  <c r="N156" i="9"/>
  <c r="P156" i="9"/>
  <c r="O156" i="9"/>
  <c r="Q156" i="9" l="1"/>
  <c r="T156" i="9" s="1"/>
  <c r="S156" i="9"/>
  <c r="V156" i="9" s="1"/>
  <c r="R156" i="9"/>
  <c r="U156" i="9" s="1"/>
  <c r="J160" i="9"/>
  <c r="G159" i="9"/>
  <c r="I158" i="9"/>
  <c r="K158" i="9" s="1"/>
  <c r="L158" i="9" s="1"/>
  <c r="M158" i="9"/>
  <c r="P157" i="9"/>
  <c r="N157" i="9"/>
  <c r="Q157" i="9" s="1"/>
  <c r="T157" i="9" s="1"/>
  <c r="O157" i="9"/>
  <c r="R157" i="9" l="1"/>
  <c r="U157" i="9" s="1"/>
  <c r="S157" i="9"/>
  <c r="V157" i="9" s="1"/>
  <c r="J161" i="9"/>
  <c r="G160" i="9"/>
  <c r="M159" i="9"/>
  <c r="I159" i="9"/>
  <c r="K159" i="9" s="1"/>
  <c r="L159" i="9" s="1"/>
  <c r="P158" i="9"/>
  <c r="O158" i="9"/>
  <c r="N158" i="9"/>
  <c r="R158" i="9"/>
  <c r="U158" i="9" s="1"/>
  <c r="Q158" i="9"/>
  <c r="T158" i="9" s="1"/>
  <c r="S158" i="9" l="1"/>
  <c r="V158" i="9" s="1"/>
  <c r="G161" i="9"/>
  <c r="J162" i="9"/>
  <c r="M160" i="9"/>
  <c r="I160" i="9"/>
  <c r="K160" i="9" s="1"/>
  <c r="L160" i="9" s="1"/>
  <c r="P159" i="9"/>
  <c r="N159" i="9"/>
  <c r="O159" i="9"/>
  <c r="Q159" i="9" l="1"/>
  <c r="T159" i="9" s="1"/>
  <c r="R159" i="9"/>
  <c r="U159" i="9" s="1"/>
  <c r="S159" i="9"/>
  <c r="V159" i="9" s="1"/>
  <c r="I161" i="9"/>
  <c r="K161" i="9" s="1"/>
  <c r="L161" i="9" s="1"/>
  <c r="M161" i="9"/>
  <c r="J163" i="9"/>
  <c r="G162" i="9"/>
  <c r="N160" i="9"/>
  <c r="O160" i="9"/>
  <c r="P160" i="9"/>
  <c r="S160" i="9"/>
  <c r="V160" i="9" s="1"/>
  <c r="Q160" i="9" l="1"/>
  <c r="T160" i="9" s="1"/>
  <c r="R160" i="9"/>
  <c r="U160" i="9" s="1"/>
  <c r="N161" i="9"/>
  <c r="O161" i="9"/>
  <c r="P161" i="9"/>
  <c r="J164" i="9"/>
  <c r="G163" i="9"/>
  <c r="I162" i="9"/>
  <c r="K162" i="9" s="1"/>
  <c r="L162" i="9" s="1"/>
  <c r="M162" i="9"/>
  <c r="Q161" i="9" l="1"/>
  <c r="T161" i="9" s="1"/>
  <c r="R161" i="9"/>
  <c r="U161" i="9" s="1"/>
  <c r="S161" i="9"/>
  <c r="V161" i="9" s="1"/>
  <c r="J165" i="9"/>
  <c r="G164" i="9"/>
  <c r="I163" i="9"/>
  <c r="K163" i="9" s="1"/>
  <c r="L163" i="9" s="1"/>
  <c r="M163" i="9"/>
  <c r="P162" i="9"/>
  <c r="N162" i="9"/>
  <c r="O162" i="9"/>
  <c r="S162" i="9" l="1"/>
  <c r="V162" i="9" s="1"/>
  <c r="R162" i="9"/>
  <c r="U162" i="9" s="1"/>
  <c r="Q162" i="9"/>
  <c r="T162" i="9" s="1"/>
  <c r="J166" i="9"/>
  <c r="G165" i="9"/>
  <c r="I164" i="9"/>
  <c r="K164" i="9" s="1"/>
  <c r="L164" i="9" s="1"/>
  <c r="M164" i="9"/>
  <c r="N163" i="9"/>
  <c r="O163" i="9"/>
  <c r="P163" i="9"/>
  <c r="S163" i="9" s="1"/>
  <c r="V163" i="9" s="1"/>
  <c r="Q163" i="9" l="1"/>
  <c r="T163" i="9" s="1"/>
  <c r="R163" i="9"/>
  <c r="U163" i="9" s="1"/>
  <c r="J167" i="9"/>
  <c r="G166" i="9"/>
  <c r="I165" i="9"/>
  <c r="K165" i="9" s="1"/>
  <c r="L165" i="9" s="1"/>
  <c r="M165" i="9"/>
  <c r="N164" i="9"/>
  <c r="O164" i="9"/>
  <c r="P164" i="9"/>
  <c r="R164" i="9"/>
  <c r="U164" i="9" s="1"/>
  <c r="Q164" i="9" l="1"/>
  <c r="T164" i="9" s="1"/>
  <c r="S164" i="9"/>
  <c r="V164" i="9" s="1"/>
  <c r="J168" i="9"/>
  <c r="G167" i="9"/>
  <c r="I166" i="9"/>
  <c r="K166" i="9" s="1"/>
  <c r="L166" i="9" s="1"/>
  <c r="M166" i="9"/>
  <c r="P165" i="9"/>
  <c r="S165" i="9" s="1"/>
  <c r="V165" i="9" s="1"/>
  <c r="N165" i="9"/>
  <c r="O165" i="9"/>
  <c r="Q165" i="9" l="1"/>
  <c r="T165" i="9" s="1"/>
  <c r="R165" i="9"/>
  <c r="U165" i="9" s="1"/>
  <c r="J169" i="9"/>
  <c r="G168" i="9"/>
  <c r="I167" i="9"/>
  <c r="K167" i="9" s="1"/>
  <c r="L167" i="9" s="1"/>
  <c r="M167" i="9"/>
  <c r="N166" i="9"/>
  <c r="Q166" i="9" s="1"/>
  <c r="T166" i="9" s="1"/>
  <c r="O166" i="9"/>
  <c r="P166" i="9"/>
  <c r="R166" i="9" l="1"/>
  <c r="U166" i="9" s="1"/>
  <c r="S166" i="9"/>
  <c r="V166" i="9" s="1"/>
  <c r="J170" i="9"/>
  <c r="G169" i="9"/>
  <c r="I168" i="9"/>
  <c r="K168" i="9" s="1"/>
  <c r="L168" i="9" s="1"/>
  <c r="M168" i="9"/>
  <c r="N167" i="9"/>
  <c r="O167" i="9"/>
  <c r="P167" i="9"/>
  <c r="R167" i="9" l="1"/>
  <c r="U167" i="9" s="1"/>
  <c r="S167" i="9"/>
  <c r="V167" i="9" s="1"/>
  <c r="Q167" i="9"/>
  <c r="T167" i="9" s="1"/>
  <c r="J171" i="9"/>
  <c r="G170" i="9"/>
  <c r="I169" i="9"/>
  <c r="K169" i="9" s="1"/>
  <c r="L169" i="9" s="1"/>
  <c r="M169" i="9"/>
  <c r="N168" i="9"/>
  <c r="O168" i="9"/>
  <c r="P168" i="9"/>
  <c r="S168" i="9" s="1"/>
  <c r="V168" i="9" s="1"/>
  <c r="Q168" i="9" l="1"/>
  <c r="T168" i="9" s="1"/>
  <c r="R168" i="9"/>
  <c r="U168" i="9" s="1"/>
  <c r="J172" i="9"/>
  <c r="G171" i="9"/>
  <c r="I170" i="9"/>
  <c r="K170" i="9" s="1"/>
  <c r="L170" i="9" s="1"/>
  <c r="M170" i="9"/>
  <c r="P169" i="9"/>
  <c r="N169" i="9"/>
  <c r="O169" i="9"/>
  <c r="R169" i="9" s="1"/>
  <c r="U169" i="9" s="1"/>
  <c r="S169" i="9" l="1"/>
  <c r="V169" i="9" s="1"/>
  <c r="Q169" i="9"/>
  <c r="T169" i="9" s="1"/>
  <c r="J173" i="9"/>
  <c r="G172" i="9"/>
  <c r="I171" i="9"/>
  <c r="K171" i="9" s="1"/>
  <c r="L171" i="9" s="1"/>
  <c r="M171" i="9"/>
  <c r="N170" i="9"/>
  <c r="O170" i="9"/>
  <c r="P170" i="9"/>
  <c r="R170" i="9" l="1"/>
  <c r="U170" i="9" s="1"/>
  <c r="Q170" i="9"/>
  <c r="T170" i="9" s="1"/>
  <c r="S170" i="9"/>
  <c r="V170" i="9" s="1"/>
  <c r="G173" i="9"/>
  <c r="J174" i="9"/>
  <c r="I172" i="9"/>
  <c r="K172" i="9" s="1"/>
  <c r="L172" i="9" s="1"/>
  <c r="M172" i="9"/>
  <c r="N171" i="9"/>
  <c r="O171" i="9"/>
  <c r="P171" i="9"/>
  <c r="S171" i="9" l="1"/>
  <c r="V171" i="9" s="1"/>
  <c r="Q171" i="9"/>
  <c r="T171" i="9" s="1"/>
  <c r="R171" i="9"/>
  <c r="U171" i="9" s="1"/>
  <c r="M173" i="9"/>
  <c r="I173" i="9"/>
  <c r="K173" i="9" s="1"/>
  <c r="L173" i="9" s="1"/>
  <c r="J175" i="9"/>
  <c r="G174" i="9"/>
  <c r="N172" i="9"/>
  <c r="O172" i="9"/>
  <c r="P172" i="9"/>
  <c r="Q172" i="9" l="1"/>
  <c r="T172" i="9" s="1"/>
  <c r="R172" i="9"/>
  <c r="U172" i="9" s="1"/>
  <c r="S172" i="9"/>
  <c r="V172" i="9" s="1"/>
  <c r="N173" i="9"/>
  <c r="O173" i="9"/>
  <c r="P173" i="9"/>
  <c r="S173" i="9" s="1"/>
  <c r="V173" i="9" s="1"/>
  <c r="J176" i="9"/>
  <c r="G175" i="9"/>
  <c r="M174" i="9"/>
  <c r="I174" i="9"/>
  <c r="K174" i="9" s="1"/>
  <c r="L174" i="9" s="1"/>
  <c r="R173" i="9" l="1"/>
  <c r="U173" i="9" s="1"/>
  <c r="Q173" i="9"/>
  <c r="T173" i="9" s="1"/>
  <c r="J177" i="9"/>
  <c r="G176" i="9"/>
  <c r="I175" i="9"/>
  <c r="K175" i="9" s="1"/>
  <c r="L175" i="9" s="1"/>
  <c r="M175" i="9"/>
  <c r="N174" i="9"/>
  <c r="O174" i="9"/>
  <c r="P174" i="9"/>
  <c r="Q174" i="9" l="1"/>
  <c r="T174" i="9" s="1"/>
  <c r="S174" i="9"/>
  <c r="V174" i="9" s="1"/>
  <c r="R174" i="9"/>
  <c r="U174" i="9" s="1"/>
  <c r="J178" i="9"/>
  <c r="G177" i="9"/>
  <c r="I176" i="9"/>
  <c r="K176" i="9" s="1"/>
  <c r="L176" i="9" s="1"/>
  <c r="M176" i="9"/>
  <c r="N175" i="9"/>
  <c r="O175" i="9"/>
  <c r="P175" i="9"/>
  <c r="Q175" i="9" l="1"/>
  <c r="T175" i="9" s="1"/>
  <c r="R175" i="9"/>
  <c r="U175" i="9" s="1"/>
  <c r="S175" i="9"/>
  <c r="V175" i="9" s="1"/>
  <c r="J179" i="9"/>
  <c r="G178" i="9"/>
  <c r="I177" i="9"/>
  <c r="K177" i="9" s="1"/>
  <c r="L177" i="9" s="1"/>
  <c r="M177" i="9"/>
  <c r="N176" i="9"/>
  <c r="O176" i="9"/>
  <c r="P176" i="9"/>
  <c r="Q176" i="9" l="1"/>
  <c r="T176" i="9" s="1"/>
  <c r="R176" i="9"/>
  <c r="U176" i="9" s="1"/>
  <c r="S176" i="9"/>
  <c r="V176" i="9" s="1"/>
  <c r="J180" i="9"/>
  <c r="G179" i="9"/>
  <c r="M178" i="9"/>
  <c r="I178" i="9"/>
  <c r="K178" i="9" s="1"/>
  <c r="L178" i="9" s="1"/>
  <c r="N177" i="9"/>
  <c r="O177" i="9"/>
  <c r="P177" i="9"/>
  <c r="R177" i="9" l="1"/>
  <c r="U177" i="9" s="1"/>
  <c r="Q177" i="9"/>
  <c r="T177" i="9" s="1"/>
  <c r="S177" i="9"/>
  <c r="V177" i="9" s="1"/>
  <c r="J181" i="9"/>
  <c r="G180" i="9"/>
  <c r="M179" i="9"/>
  <c r="I179" i="9"/>
  <c r="K179" i="9" s="1"/>
  <c r="L179" i="9" s="1"/>
  <c r="P178" i="9"/>
  <c r="O178" i="9"/>
  <c r="N178" i="9"/>
  <c r="R178" i="9" l="1"/>
  <c r="U178" i="9" s="1"/>
  <c r="S178" i="9"/>
  <c r="V178" i="9" s="1"/>
  <c r="Q178" i="9"/>
  <c r="T178" i="9" s="1"/>
  <c r="J182" i="9"/>
  <c r="G181" i="9"/>
  <c r="M180" i="9"/>
  <c r="I180" i="9"/>
  <c r="K180" i="9" s="1"/>
  <c r="L180" i="9" s="1"/>
  <c r="P179" i="9"/>
  <c r="O179" i="9"/>
  <c r="N179" i="9"/>
  <c r="Q179" i="9" s="1"/>
  <c r="T179" i="9" s="1"/>
  <c r="R179" i="9" l="1"/>
  <c r="U179" i="9" s="1"/>
  <c r="S179" i="9"/>
  <c r="V179" i="9" s="1"/>
  <c r="J183" i="9"/>
  <c r="G182" i="9"/>
  <c r="M181" i="9"/>
  <c r="I181" i="9"/>
  <c r="K181" i="9" s="1"/>
  <c r="L181" i="9" s="1"/>
  <c r="P180" i="9"/>
  <c r="S180" i="9" s="1"/>
  <c r="V180" i="9" s="1"/>
  <c r="O180" i="9"/>
  <c r="N180" i="9"/>
  <c r="Q180" i="9" l="1"/>
  <c r="T180" i="9" s="1"/>
  <c r="R180" i="9"/>
  <c r="U180" i="9" s="1"/>
  <c r="J184" i="9"/>
  <c r="G183" i="9"/>
  <c r="M182" i="9"/>
  <c r="I182" i="9"/>
  <c r="K182" i="9" s="1"/>
  <c r="L182" i="9" s="1"/>
  <c r="P181" i="9"/>
  <c r="N181" i="9"/>
  <c r="Q181" i="9" s="1"/>
  <c r="T181" i="9" s="1"/>
  <c r="O181" i="9"/>
  <c r="S181" i="9" l="1"/>
  <c r="V181" i="9" s="1"/>
  <c r="R181" i="9"/>
  <c r="U181" i="9" s="1"/>
  <c r="J185" i="9"/>
  <c r="G184" i="9"/>
  <c r="M183" i="9"/>
  <c r="I183" i="9"/>
  <c r="K183" i="9" s="1"/>
  <c r="L183" i="9" s="1"/>
  <c r="P182" i="9"/>
  <c r="O182" i="9"/>
  <c r="N182" i="9"/>
  <c r="Q182" i="9" l="1"/>
  <c r="T182" i="9" s="1"/>
  <c r="S182" i="9"/>
  <c r="V182" i="9" s="1"/>
  <c r="R182" i="9"/>
  <c r="U182" i="9" s="1"/>
  <c r="J186" i="9"/>
  <c r="G185" i="9"/>
  <c r="M184" i="9"/>
  <c r="I184" i="9"/>
  <c r="K184" i="9" s="1"/>
  <c r="L184" i="9" s="1"/>
  <c r="P183" i="9"/>
  <c r="S183" i="9" s="1"/>
  <c r="V183" i="9" s="1"/>
  <c r="N183" i="9"/>
  <c r="Q183" i="9" s="1"/>
  <c r="T183" i="9" s="1"/>
  <c r="O183" i="9"/>
  <c r="R183" i="9" s="1"/>
  <c r="U183" i="9" s="1"/>
  <c r="G186" i="9" l="1"/>
  <c r="J187" i="9"/>
  <c r="M185" i="9"/>
  <c r="I185" i="9"/>
  <c r="K185" i="9" s="1"/>
  <c r="L185" i="9" s="1"/>
  <c r="O184" i="9"/>
  <c r="P184" i="9"/>
  <c r="N184" i="9"/>
  <c r="Q184" i="9" l="1"/>
  <c r="T184" i="9" s="1"/>
  <c r="R184" i="9"/>
  <c r="U184" i="9" s="1"/>
  <c r="S184" i="9"/>
  <c r="V184" i="9" s="1"/>
  <c r="M186" i="9"/>
  <c r="I186" i="9"/>
  <c r="K186" i="9" s="1"/>
  <c r="L186" i="9" s="1"/>
  <c r="J188" i="9"/>
  <c r="G187" i="9"/>
  <c r="P185" i="9"/>
  <c r="N185" i="9"/>
  <c r="O185" i="9"/>
  <c r="S185" i="9" l="1"/>
  <c r="V185" i="9" s="1"/>
  <c r="Q185" i="9"/>
  <c r="T185" i="9" s="1"/>
  <c r="R185" i="9"/>
  <c r="U185" i="9" s="1"/>
  <c r="P186" i="9"/>
  <c r="O186" i="9"/>
  <c r="N186" i="9"/>
  <c r="Q186" i="9" s="1"/>
  <c r="T186" i="9" s="1"/>
  <c r="J189" i="9"/>
  <c r="G188" i="9"/>
  <c r="M187" i="9"/>
  <c r="I187" i="9"/>
  <c r="K187" i="9" s="1"/>
  <c r="L187" i="9" s="1"/>
  <c r="R186" i="9" l="1"/>
  <c r="U186" i="9" s="1"/>
  <c r="S186" i="9"/>
  <c r="V186" i="9" s="1"/>
  <c r="J190" i="9"/>
  <c r="G189" i="9"/>
  <c r="M188" i="9"/>
  <c r="I188" i="9"/>
  <c r="K188" i="9" s="1"/>
  <c r="L188" i="9" s="1"/>
  <c r="P187" i="9"/>
  <c r="O187" i="9"/>
  <c r="N187" i="9"/>
  <c r="Q187" i="9" s="1"/>
  <c r="T187" i="9" s="1"/>
  <c r="R187" i="9" l="1"/>
  <c r="U187" i="9" s="1"/>
  <c r="S187" i="9"/>
  <c r="V187" i="9" s="1"/>
  <c r="J191" i="9"/>
  <c r="G190" i="9"/>
  <c r="M189" i="9"/>
  <c r="I189" i="9"/>
  <c r="K189" i="9" s="1"/>
  <c r="L189" i="9" s="1"/>
  <c r="P188" i="9"/>
  <c r="O188" i="9"/>
  <c r="N188" i="9"/>
  <c r="S188" i="9" l="1"/>
  <c r="V188" i="9" s="1"/>
  <c r="R188" i="9"/>
  <c r="U188" i="9" s="1"/>
  <c r="Q188" i="9"/>
  <c r="T188" i="9" s="1"/>
  <c r="J192" i="9"/>
  <c r="G191" i="9"/>
  <c r="M190" i="9"/>
  <c r="I190" i="9"/>
  <c r="K190" i="9" s="1"/>
  <c r="L190" i="9" s="1"/>
  <c r="O189" i="9"/>
  <c r="P189" i="9"/>
  <c r="N189" i="9"/>
  <c r="R189" i="9" l="1"/>
  <c r="U189" i="9" s="1"/>
  <c r="S189" i="9"/>
  <c r="V189" i="9" s="1"/>
  <c r="Q189" i="9"/>
  <c r="T189" i="9" s="1"/>
  <c r="J193" i="9"/>
  <c r="G192" i="9"/>
  <c r="M191" i="9"/>
  <c r="I191" i="9"/>
  <c r="K191" i="9" s="1"/>
  <c r="L191" i="9" s="1"/>
  <c r="P190" i="9"/>
  <c r="S190" i="9" s="1"/>
  <c r="V190" i="9" s="1"/>
  <c r="O190" i="9"/>
  <c r="R190" i="9" s="1"/>
  <c r="U190" i="9" s="1"/>
  <c r="N190" i="9"/>
  <c r="Q190" i="9" l="1"/>
  <c r="T190" i="9" s="1"/>
  <c r="G193" i="9"/>
  <c r="J194" i="9"/>
  <c r="I192" i="9"/>
  <c r="K192" i="9" s="1"/>
  <c r="L192" i="9" s="1"/>
  <c r="M192" i="9"/>
  <c r="P191" i="9"/>
  <c r="O191" i="9"/>
  <c r="N191" i="9"/>
  <c r="Q191" i="9" l="1"/>
  <c r="T191" i="9" s="1"/>
  <c r="S191" i="9"/>
  <c r="V191" i="9" s="1"/>
  <c r="R191" i="9"/>
  <c r="U191" i="9" s="1"/>
  <c r="I193" i="9"/>
  <c r="K193" i="9" s="1"/>
  <c r="L193" i="9" s="1"/>
  <c r="M193" i="9"/>
  <c r="J195" i="9"/>
  <c r="G194" i="9"/>
  <c r="N192" i="9"/>
  <c r="O192" i="9"/>
  <c r="P192" i="9"/>
  <c r="S192" i="9"/>
  <c r="V192" i="9" s="1"/>
  <c r="R192" i="9" l="1"/>
  <c r="U192" i="9" s="1"/>
  <c r="Q192" i="9"/>
  <c r="T192" i="9" s="1"/>
  <c r="N193" i="9"/>
  <c r="O193" i="9"/>
  <c r="P193" i="9"/>
  <c r="J196" i="9"/>
  <c r="G195" i="9"/>
  <c r="I194" i="9"/>
  <c r="K194" i="9" s="1"/>
  <c r="L194" i="9" s="1"/>
  <c r="M194" i="9"/>
  <c r="R193" i="9" l="1"/>
  <c r="U193" i="9" s="1"/>
  <c r="Q193" i="9"/>
  <c r="T193" i="9" s="1"/>
  <c r="S193" i="9"/>
  <c r="V193" i="9" s="1"/>
  <c r="J197" i="9"/>
  <c r="G196" i="9"/>
  <c r="I195" i="9"/>
  <c r="K195" i="9" s="1"/>
  <c r="L195" i="9" s="1"/>
  <c r="M195" i="9"/>
  <c r="N194" i="9"/>
  <c r="O194" i="9"/>
  <c r="P194" i="9"/>
  <c r="S194" i="9"/>
  <c r="V194" i="9" s="1"/>
  <c r="Q194" i="9" l="1"/>
  <c r="T194" i="9" s="1"/>
  <c r="R194" i="9"/>
  <c r="U194" i="9" s="1"/>
  <c r="G197" i="9"/>
  <c r="J198" i="9"/>
  <c r="M196" i="9"/>
  <c r="I196" i="9"/>
  <c r="K196" i="9" s="1"/>
  <c r="L196" i="9" s="1"/>
  <c r="N195" i="9"/>
  <c r="O195" i="9"/>
  <c r="P195" i="9"/>
  <c r="Q195" i="9"/>
  <c r="T195" i="9" s="1"/>
  <c r="S195" i="9" l="1"/>
  <c r="V195" i="9" s="1"/>
  <c r="R195" i="9"/>
  <c r="U195" i="9" s="1"/>
  <c r="I197" i="9"/>
  <c r="K197" i="9" s="1"/>
  <c r="L197" i="9" s="1"/>
  <c r="M197" i="9"/>
  <c r="J199" i="9"/>
  <c r="G198" i="9"/>
  <c r="N196" i="9"/>
  <c r="O196" i="9"/>
  <c r="P196" i="9"/>
  <c r="Q196" i="9" l="1"/>
  <c r="T196" i="9" s="1"/>
  <c r="R196" i="9"/>
  <c r="U196" i="9" s="1"/>
  <c r="S196" i="9"/>
  <c r="V196" i="9" s="1"/>
  <c r="N197" i="9"/>
  <c r="O197" i="9"/>
  <c r="P197" i="9"/>
  <c r="J200" i="9"/>
  <c r="G199" i="9"/>
  <c r="I198" i="9"/>
  <c r="K198" i="9" s="1"/>
  <c r="L198" i="9" s="1"/>
  <c r="M198" i="9"/>
  <c r="R197" i="9" l="1"/>
  <c r="U197" i="9" s="1"/>
  <c r="S197" i="9"/>
  <c r="V197" i="9" s="1"/>
  <c r="Q197" i="9"/>
  <c r="T197" i="9" s="1"/>
  <c r="J201" i="9"/>
  <c r="G200" i="9"/>
  <c r="I199" i="9"/>
  <c r="K199" i="9" s="1"/>
  <c r="L199" i="9" s="1"/>
  <c r="M199" i="9"/>
  <c r="N198" i="9"/>
  <c r="O198" i="9"/>
  <c r="P198" i="9"/>
  <c r="Q198" i="9"/>
  <c r="T198" i="9" s="1"/>
  <c r="S198" i="9" l="1"/>
  <c r="V198" i="9" s="1"/>
  <c r="R198" i="9"/>
  <c r="U198" i="9" s="1"/>
  <c r="J202" i="9"/>
  <c r="G201" i="9"/>
  <c r="I200" i="9"/>
  <c r="K200" i="9" s="1"/>
  <c r="L200" i="9" s="1"/>
  <c r="M200" i="9"/>
  <c r="O199" i="9"/>
  <c r="N199" i="9"/>
  <c r="P199" i="9"/>
  <c r="R199" i="9" l="1"/>
  <c r="U199" i="9" s="1"/>
  <c r="Q199" i="9"/>
  <c r="T199" i="9" s="1"/>
  <c r="S199" i="9"/>
  <c r="V199" i="9" s="1"/>
  <c r="J203" i="9"/>
  <c r="G202" i="9"/>
  <c r="I201" i="9"/>
  <c r="K201" i="9" s="1"/>
  <c r="L201" i="9" s="1"/>
  <c r="M201" i="9"/>
  <c r="N200" i="9"/>
  <c r="O200" i="9"/>
  <c r="P200" i="9"/>
  <c r="S200" i="9" s="1"/>
  <c r="V200" i="9" s="1"/>
  <c r="R200" i="9"/>
  <c r="U200" i="9" s="1"/>
  <c r="Q200" i="9" l="1"/>
  <c r="T200" i="9" s="1"/>
  <c r="G203" i="9"/>
  <c r="J204" i="9"/>
  <c r="I202" i="9"/>
  <c r="K202" i="9" s="1"/>
  <c r="L202" i="9" s="1"/>
  <c r="M202" i="9"/>
  <c r="N201" i="9"/>
  <c r="Q201" i="9" s="1"/>
  <c r="T201" i="9" s="1"/>
  <c r="O201" i="9"/>
  <c r="P201" i="9"/>
  <c r="S201" i="9"/>
  <c r="V201" i="9" s="1"/>
  <c r="R201" i="9" l="1"/>
  <c r="U201" i="9" s="1"/>
  <c r="I203" i="9"/>
  <c r="K203" i="9" s="1"/>
  <c r="L203" i="9" s="1"/>
  <c r="M203" i="9"/>
  <c r="J205" i="9"/>
  <c r="G204" i="9"/>
  <c r="N202" i="9"/>
  <c r="Q202" i="9" s="1"/>
  <c r="T202" i="9" s="1"/>
  <c r="O202" i="9"/>
  <c r="P202" i="9"/>
  <c r="R202" i="9"/>
  <c r="U202" i="9" s="1"/>
  <c r="S202" i="9"/>
  <c r="V202" i="9" s="1"/>
  <c r="N203" i="9" l="1"/>
  <c r="O203" i="9"/>
  <c r="P203" i="9"/>
  <c r="J206" i="9"/>
  <c r="G205" i="9"/>
  <c r="I204" i="9"/>
  <c r="K204" i="9" s="1"/>
  <c r="L204" i="9" s="1"/>
  <c r="M204" i="9"/>
  <c r="Q203" i="9" l="1"/>
  <c r="T203" i="9" s="1"/>
  <c r="R203" i="9"/>
  <c r="U203" i="9" s="1"/>
  <c r="S203" i="9"/>
  <c r="V203" i="9" s="1"/>
  <c r="J207" i="9"/>
  <c r="G206" i="9"/>
  <c r="I205" i="9"/>
  <c r="K205" i="9" s="1"/>
  <c r="L205" i="9" s="1"/>
  <c r="M205" i="9"/>
  <c r="N204" i="9"/>
  <c r="O204" i="9"/>
  <c r="R204" i="9" s="1"/>
  <c r="U204" i="9" s="1"/>
  <c r="P204" i="9"/>
  <c r="S204" i="9"/>
  <c r="V204" i="9" s="1"/>
  <c r="Q204" i="9" l="1"/>
  <c r="T204" i="9" s="1"/>
  <c r="J208" i="9"/>
  <c r="G207" i="9"/>
  <c r="I206" i="9"/>
  <c r="K206" i="9" s="1"/>
  <c r="L206" i="9" s="1"/>
  <c r="M206" i="9"/>
  <c r="N205" i="9"/>
  <c r="O205" i="9"/>
  <c r="P205" i="9"/>
  <c r="R205" i="9"/>
  <c r="U205" i="9" s="1"/>
  <c r="Q205" i="9"/>
  <c r="T205" i="9" s="1"/>
  <c r="S205" i="9"/>
  <c r="V205" i="9" s="1"/>
  <c r="G208" i="9" l="1"/>
  <c r="J209" i="9"/>
  <c r="I207" i="9"/>
  <c r="K207" i="9" s="1"/>
  <c r="L207" i="9" s="1"/>
  <c r="M207" i="9"/>
  <c r="N206" i="9"/>
  <c r="O206" i="9"/>
  <c r="P206" i="9"/>
  <c r="Q206" i="9"/>
  <c r="T206" i="9" s="1"/>
  <c r="R206" i="9" l="1"/>
  <c r="U206" i="9" s="1"/>
  <c r="S206" i="9"/>
  <c r="V206" i="9" s="1"/>
  <c r="I208" i="9"/>
  <c r="K208" i="9" s="1"/>
  <c r="L208" i="9" s="1"/>
  <c r="M208" i="9"/>
  <c r="J210" i="9"/>
  <c r="G209" i="9"/>
  <c r="N207" i="9"/>
  <c r="Q207" i="9" s="1"/>
  <c r="T207" i="9" s="1"/>
  <c r="P207" i="9"/>
  <c r="O207" i="9"/>
  <c r="S207" i="9"/>
  <c r="V207" i="9" s="1"/>
  <c r="R207" i="9" l="1"/>
  <c r="U207" i="9" s="1"/>
  <c r="N208" i="9"/>
  <c r="O208" i="9"/>
  <c r="P208" i="9"/>
  <c r="S208" i="9"/>
  <c r="V208" i="9" s="1"/>
  <c r="J211" i="9"/>
  <c r="G210" i="9"/>
  <c r="I209" i="9"/>
  <c r="K209" i="9" s="1"/>
  <c r="L209" i="9" s="1"/>
  <c r="M209" i="9"/>
  <c r="R208" i="9" l="1"/>
  <c r="U208" i="9" s="1"/>
  <c r="Q208" i="9"/>
  <c r="T208" i="9" s="1"/>
  <c r="J212" i="9"/>
  <c r="G211" i="9"/>
  <c r="I210" i="9"/>
  <c r="K210" i="9" s="1"/>
  <c r="L210" i="9" s="1"/>
  <c r="M210" i="9"/>
  <c r="N209" i="9"/>
  <c r="O209" i="9"/>
  <c r="P209" i="9"/>
  <c r="S209" i="9"/>
  <c r="V209" i="9" s="1"/>
  <c r="Q209" i="9" l="1"/>
  <c r="T209" i="9" s="1"/>
  <c r="R209" i="9"/>
  <c r="U209" i="9" s="1"/>
  <c r="J213" i="9"/>
  <c r="G212" i="9"/>
  <c r="I211" i="9"/>
  <c r="K211" i="9" s="1"/>
  <c r="L211" i="9" s="1"/>
  <c r="M211" i="9"/>
  <c r="N210" i="9"/>
  <c r="O210" i="9"/>
  <c r="P210" i="9"/>
  <c r="S210" i="9"/>
  <c r="V210" i="9" s="1"/>
  <c r="Q210" i="9" l="1"/>
  <c r="T210" i="9" s="1"/>
  <c r="R210" i="9"/>
  <c r="U210" i="9" s="1"/>
  <c r="J214" i="9"/>
  <c r="G213" i="9"/>
  <c r="I212" i="9"/>
  <c r="K212" i="9" s="1"/>
  <c r="L212" i="9" s="1"/>
  <c r="M212" i="9"/>
  <c r="N211" i="9"/>
  <c r="Q211" i="9" s="1"/>
  <c r="T211" i="9" s="1"/>
  <c r="O211" i="9"/>
  <c r="P211" i="9"/>
  <c r="S211" i="9"/>
  <c r="V211" i="9" s="1"/>
  <c r="R211" i="9" l="1"/>
  <c r="U211" i="9" s="1"/>
  <c r="G214" i="9"/>
  <c r="J215" i="9"/>
  <c r="I213" i="9"/>
  <c r="K213" i="9" s="1"/>
  <c r="L213" i="9" s="1"/>
  <c r="M213" i="9"/>
  <c r="N212" i="9"/>
  <c r="O212" i="9"/>
  <c r="P212" i="9"/>
  <c r="R212" i="9" l="1"/>
  <c r="U212" i="9" s="1"/>
  <c r="Q212" i="9"/>
  <c r="T212" i="9" s="1"/>
  <c r="S212" i="9"/>
  <c r="V212" i="9" s="1"/>
  <c r="I214" i="9"/>
  <c r="K214" i="9" s="1"/>
  <c r="L214" i="9" s="1"/>
  <c r="M214" i="9"/>
  <c r="G215" i="9"/>
  <c r="J216" i="9"/>
  <c r="P213" i="9"/>
  <c r="N213" i="9"/>
  <c r="O213" i="9"/>
  <c r="S213" i="9" l="1"/>
  <c r="V213" i="9" s="1"/>
  <c r="Q213" i="9"/>
  <c r="T213" i="9" s="1"/>
  <c r="R213" i="9"/>
  <c r="U213" i="9" s="1"/>
  <c r="O214" i="9"/>
  <c r="P214" i="9"/>
  <c r="N214" i="9"/>
  <c r="M215" i="9"/>
  <c r="I215" i="9"/>
  <c r="K215" i="9" s="1"/>
  <c r="L215" i="9" s="1"/>
  <c r="G216" i="9"/>
  <c r="J217" i="9"/>
  <c r="R214" i="9" l="1"/>
  <c r="U214" i="9" s="1"/>
  <c r="S214" i="9"/>
  <c r="V214" i="9" s="1"/>
  <c r="Q214" i="9"/>
  <c r="T214" i="9" s="1"/>
  <c r="S215" i="9"/>
  <c r="V215" i="9" s="1"/>
  <c r="O215" i="9"/>
  <c r="R215" i="9" s="1"/>
  <c r="U215" i="9" s="1"/>
  <c r="P215" i="9"/>
  <c r="N215" i="9"/>
  <c r="M216" i="9"/>
  <c r="I216" i="9"/>
  <c r="K216" i="9" s="1"/>
  <c r="L216" i="9" s="1"/>
  <c r="J218" i="9"/>
  <c r="G217" i="9"/>
  <c r="Q215" i="9" l="1"/>
  <c r="T215" i="9" s="1"/>
  <c r="S216" i="9"/>
  <c r="V216" i="9" s="1"/>
  <c r="O216" i="9"/>
  <c r="P216" i="9"/>
  <c r="N216" i="9"/>
  <c r="J219" i="9"/>
  <c r="G218" i="9"/>
  <c r="I217" i="9"/>
  <c r="K217" i="9" s="1"/>
  <c r="L217" i="9" s="1"/>
  <c r="M217" i="9"/>
  <c r="Q216" i="9" l="1"/>
  <c r="T216" i="9" s="1"/>
  <c r="R216" i="9"/>
  <c r="U216" i="9" s="1"/>
  <c r="J220" i="9"/>
  <c r="G219" i="9"/>
  <c r="I218" i="9"/>
  <c r="K218" i="9" s="1"/>
  <c r="L218" i="9" s="1"/>
  <c r="M218" i="9"/>
  <c r="O217" i="9"/>
  <c r="P217" i="9"/>
  <c r="N217" i="9"/>
  <c r="Q217" i="9"/>
  <c r="T217" i="9" s="1"/>
  <c r="S217" i="9"/>
  <c r="V217" i="9" s="1"/>
  <c r="R217" i="9" l="1"/>
  <c r="U217" i="9" s="1"/>
  <c r="J221" i="9"/>
  <c r="G220" i="9"/>
  <c r="M219" i="9"/>
  <c r="I219" i="9"/>
  <c r="K219" i="9" s="1"/>
  <c r="L219" i="9" s="1"/>
  <c r="P218" i="9"/>
  <c r="N218" i="9"/>
  <c r="O218" i="9"/>
  <c r="R218" i="9" s="1"/>
  <c r="U218" i="9" s="1"/>
  <c r="S218" i="9" l="1"/>
  <c r="V218" i="9" s="1"/>
  <c r="Q218" i="9"/>
  <c r="T218" i="9" s="1"/>
  <c r="J222" i="9"/>
  <c r="G222" i="9" s="1"/>
  <c r="G221" i="9"/>
  <c r="M220" i="9"/>
  <c r="I220" i="9"/>
  <c r="K220" i="9" s="1"/>
  <c r="L220" i="9" s="1"/>
  <c r="O219" i="9"/>
  <c r="P219" i="9"/>
  <c r="N219" i="9"/>
  <c r="R219" i="9" l="1"/>
  <c r="U219" i="9" s="1"/>
  <c r="S219" i="9"/>
  <c r="V219" i="9" s="1"/>
  <c r="Q219" i="9"/>
  <c r="T219" i="9" s="1"/>
  <c r="I222" i="9"/>
  <c r="K222" i="9" s="1"/>
  <c r="L222" i="9" s="1"/>
  <c r="M222" i="9"/>
  <c r="I221" i="9"/>
  <c r="K221" i="9" s="1"/>
  <c r="L221" i="9" s="1"/>
  <c r="M221" i="9"/>
  <c r="P220" i="9"/>
  <c r="N220" i="9"/>
  <c r="O220" i="9"/>
  <c r="S220" i="9" l="1"/>
  <c r="V220" i="9" s="1"/>
  <c r="Q220" i="9"/>
  <c r="T220" i="9" s="1"/>
  <c r="R220" i="9"/>
  <c r="U220" i="9" s="1"/>
  <c r="P222" i="9"/>
  <c r="O222" i="9"/>
  <c r="N222" i="9"/>
  <c r="P221" i="9"/>
  <c r="N221" i="9"/>
  <c r="O221" i="9"/>
  <c r="R221" i="9" l="1"/>
  <c r="U221" i="9" s="1"/>
  <c r="S221" i="9"/>
  <c r="V221" i="9" s="1"/>
  <c r="Q221" i="9"/>
  <c r="T221" i="9" s="1"/>
  <c r="R222" i="9"/>
  <c r="U222" i="9" s="1"/>
  <c r="S222" i="9"/>
  <c r="V222" i="9" s="1"/>
  <c r="Q222" i="9"/>
  <c r="T22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<sst xmlns="http://schemas.openxmlformats.org/spreadsheetml/2006/main" count="1428" uniqueCount="88">
  <si>
    <t>Classe_SUCS</t>
  </si>
  <si>
    <t>N1_60</t>
  </si>
  <si>
    <t>SP-SM</t>
  </si>
  <si>
    <t>SM</t>
  </si>
  <si>
    <t>GP</t>
  </si>
  <si>
    <t>GW-GM</t>
  </si>
  <si>
    <t>SW-SM</t>
  </si>
  <si>
    <t>ML</t>
  </si>
  <si>
    <t>SP</t>
  </si>
  <si>
    <t>CL</t>
  </si>
  <si>
    <t>GW</t>
  </si>
  <si>
    <t>GP-GM</t>
  </si>
  <si>
    <t>𝜑′𝑓</t>
  </si>
  <si>
    <t>σ' p (kPa)</t>
  </si>
  <si>
    <t>σ' v (kPa)</t>
  </si>
  <si>
    <t>β</t>
  </si>
  <si>
    <t>Grupo_Solo</t>
  </si>
  <si>
    <t>Relleno (Aterro)</t>
  </si>
  <si>
    <t>Areias</t>
  </si>
  <si>
    <t>Gravas</t>
  </si>
  <si>
    <t>Finos</t>
  </si>
  <si>
    <t>Prof_Inicial_m</t>
  </si>
  <si>
    <t>Prof_Final_m</t>
  </si>
  <si>
    <t>Peso</t>
  </si>
  <si>
    <t>Diametro (m)</t>
  </si>
  <si>
    <t>N60</t>
  </si>
  <si>
    <t>Área (m²)</t>
  </si>
  <si>
    <t>Resumo</t>
  </si>
  <si>
    <t>SPT-01</t>
  </si>
  <si>
    <t>SPT-02</t>
  </si>
  <si>
    <t>SPT-04</t>
  </si>
  <si>
    <t>SPT-05</t>
  </si>
  <si>
    <t>SPT-06</t>
  </si>
  <si>
    <t>SPT-03</t>
  </si>
  <si>
    <t>SPT</t>
  </si>
  <si>
    <t>Peso (kN/m³)</t>
  </si>
  <si>
    <t>Peso sub (kN/m³)</t>
  </si>
  <si>
    <t>Capacidade axial geotécnica da fase I</t>
  </si>
  <si>
    <t>Grupo Solo</t>
  </si>
  <si>
    <t>Perímetro (m)</t>
  </si>
  <si>
    <t>Estacas - Propriedades geométricas</t>
  </si>
  <si>
    <t>Diameter (in)</t>
  </si>
  <si>
    <t>Resistencia última (kN)</t>
  </si>
  <si>
    <t>Resistencia admissível (kN - FS=2)</t>
  </si>
  <si>
    <t>Profundidade necessária (m)</t>
  </si>
  <si>
    <t>Profundidade para capacidade fase I (m)</t>
  </si>
  <si>
    <t>qs (kPa)</t>
  </si>
  <si>
    <t>qp (kPa)</t>
  </si>
  <si>
    <t>Rs-1,2m (kN)</t>
  </si>
  <si>
    <t>Rs-1,3m (kN)</t>
  </si>
  <si>
    <t>Rs-1,5m (kN)</t>
  </si>
  <si>
    <t>Rn-1,2m (kN)</t>
  </si>
  <si>
    <t>Rn-1,3m (kN)</t>
  </si>
  <si>
    <t>Rn-1,5m (kN)</t>
  </si>
  <si>
    <t>Radm-1,2m (kN)</t>
  </si>
  <si>
    <t>Radm-1,3m (kN)</t>
  </si>
  <si>
    <t>Radm-1,5m (kN)</t>
  </si>
  <si>
    <t>Considerando o pior caso (SPT-01)</t>
  </si>
  <si>
    <t>Eixo</t>
  </si>
  <si>
    <t>A</t>
  </si>
  <si>
    <t>B</t>
  </si>
  <si>
    <t>C</t>
  </si>
  <si>
    <t>D</t>
  </si>
  <si>
    <t>E</t>
  </si>
  <si>
    <t>Rn-1,2m (kN) - A</t>
  </si>
  <si>
    <t>Rn-1,3m (kN) - A</t>
  </si>
  <si>
    <t>Rn-1,5m (kN) - A</t>
  </si>
  <si>
    <t>Rn-1,2m (kN) - B</t>
  </si>
  <si>
    <t>Rn-1,3m (kN) - B</t>
  </si>
  <si>
    <t>Rn-1,5m (kN) - B</t>
  </si>
  <si>
    <t>Rn-1,2m (kN) - C</t>
  </si>
  <si>
    <t>Rn-1,3m (kN) - C</t>
  </si>
  <si>
    <t>Rn-1,5m (kN) - C</t>
  </si>
  <si>
    <t>Rn-1,2m (kN) - D</t>
  </si>
  <si>
    <t>Rn-1,3m (kN) - D</t>
  </si>
  <si>
    <t>Rn-1,5m (kN) - D</t>
  </si>
  <si>
    <t>Rn-1,2m (kN) - E</t>
  </si>
  <si>
    <t>Rn-1,3m (kN) - E</t>
  </si>
  <si>
    <t>Rn-1,5m (kN) - E</t>
  </si>
  <si>
    <t>1,2m - cota de fundo</t>
  </si>
  <si>
    <t>1,3m - cota de fundo</t>
  </si>
  <si>
    <t>1,5m - cota de fundo</t>
  </si>
  <si>
    <t>Prof</t>
  </si>
  <si>
    <t>Médio - percentil 10%</t>
  </si>
  <si>
    <t>Embutimento-1,2M</t>
  </si>
  <si>
    <t>Embutimento-1,3M</t>
  </si>
  <si>
    <t>Embutimento-1,5M</t>
  </si>
  <si>
    <t>Cota 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</si>
</sst>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GreekC_IV25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'SPT-01'!$N$2:$N$75</c:f>
              <c:numCache>
                <c:formatCode>General</c:formatCode>
                <c:ptCount val="74"/>
                <c:pt idx="0">
                  <c:v>70.051697456769688</c:v>
                </c:pt>
                <c:pt idx="1">
                  <c:v>132.76051583360774</c:v>
                </c:pt>
                <c:pt idx="2">
                  <c:v>90.12385474585497</c:v>
                </c:pt>
                <c:pt idx="3">
                  <c:v>93.7921243774625</c:v>
                </c:pt>
                <c:pt idx="4">
                  <c:v>151.54833810295079</c:v>
                </c:pt>
                <c:pt idx="5">
                  <c:v>162.19125135958157</c:v>
                </c:pt>
                <c:pt idx="6">
                  <c:v>188.71056430145771</c:v>
                </c:pt>
                <c:pt idx="7">
                  <c:v>210.64217296612077</c:v>
                </c:pt>
                <c:pt idx="8">
                  <c:v>101.60625528126042</c:v>
                </c:pt>
                <c:pt idx="9">
                  <c:v>167.87006581407962</c:v>
                </c:pt>
                <c:pt idx="10">
                  <c:v>246.50305395974056</c:v>
                </c:pt>
                <c:pt idx="11">
                  <c:v>257.85908650497294</c:v>
                </c:pt>
                <c:pt idx="12">
                  <c:v>235.65813057405956</c:v>
                </c:pt>
                <c:pt idx="13">
                  <c:v>279.82984947117507</c:v>
                </c:pt>
                <c:pt idx="14">
                  <c:v>179.55745045037148</c:v>
                </c:pt>
                <c:pt idx="15">
                  <c:v>170.83771190588263</c:v>
                </c:pt>
                <c:pt idx="16">
                  <c:v>258.33032650046715</c:v>
                </c:pt>
                <c:pt idx="17">
                  <c:v>321.30357096636556</c:v>
                </c:pt>
                <c:pt idx="18">
                  <c:v>182.89073585030192</c:v>
                </c:pt>
                <c:pt idx="19">
                  <c:v>341.01909035095247</c:v>
                </c:pt>
                <c:pt idx="20">
                  <c:v>350.65703411530706</c:v>
                </c:pt>
                <c:pt idx="21">
                  <c:v>360.15930066123212</c:v>
                </c:pt>
                <c:pt idx="22">
                  <c:v>318.75738200398649</c:v>
                </c:pt>
                <c:pt idx="23">
                  <c:v>378.78497003160373</c:v>
                </c:pt>
                <c:pt idx="24">
                  <c:v>387.92093044592599</c:v>
                </c:pt>
                <c:pt idx="25">
                  <c:v>279.92991531278648</c:v>
                </c:pt>
                <c:pt idx="26">
                  <c:v>266.49382713758433</c:v>
                </c:pt>
                <c:pt idx="27">
                  <c:v>505.97213795546065</c:v>
                </c:pt>
                <c:pt idx="28">
                  <c:v>513.71792175013718</c:v>
                </c:pt>
                <c:pt idx="29">
                  <c:v>521.38331611398462</c:v>
                </c:pt>
                <c:pt idx="30">
                  <c:v>528.97111875884434</c:v>
                </c:pt>
                <c:pt idx="31">
                  <c:v>536.48396498187708</c:v>
                </c:pt>
                <c:pt idx="32">
                  <c:v>543.92434069332353</c:v>
                </c:pt>
                <c:pt idx="33">
                  <c:v>551.29459412377014</c:v>
                </c:pt>
                <c:pt idx="34">
                  <c:v>558.59694637154428</c:v>
                </c:pt>
                <c:pt idx="35">
                  <c:v>522.91621818048418</c:v>
                </c:pt>
                <c:pt idx="36">
                  <c:v>573.00625229943762</c:v>
                </c:pt>
                <c:pt idx="37">
                  <c:v>580.11709382938648</c:v>
                </c:pt>
                <c:pt idx="38">
                  <c:v>587.16782480884126</c:v>
                </c:pt>
                <c:pt idx="39">
                  <c:v>594.16015695394447</c:v>
                </c:pt>
                <c:pt idx="40">
                  <c:v>415.55583935029136</c:v>
                </c:pt>
                <c:pt idx="41">
                  <c:v>607.97606869601464</c:v>
                </c:pt>
                <c:pt idx="42">
                  <c:v>614.80268457894181</c:v>
                </c:pt>
                <c:pt idx="43">
                  <c:v>621.57698369485581</c:v>
                </c:pt>
                <c:pt idx="44">
                  <c:v>564.88733674024127</c:v>
                </c:pt>
                <c:pt idx="45">
                  <c:v>634.97398545458134</c:v>
                </c:pt>
                <c:pt idx="46">
                  <c:v>641.59922170367531</c:v>
                </c:pt>
                <c:pt idx="47">
                  <c:v>546.3300471431254</c:v>
                </c:pt>
                <c:pt idx="48">
                  <c:v>553.90337217961758</c:v>
                </c:pt>
                <c:pt idx="49">
                  <c:v>561.42329413620075</c:v>
                </c:pt>
                <c:pt idx="50">
                  <c:v>568.89126141412476</c:v>
                </c:pt>
                <c:pt idx="51">
                  <c:v>576.3086552095873</c:v>
                </c:pt>
                <c:pt idx="52">
                  <c:v>347.97216642299634</c:v>
                </c:pt>
                <c:pt idx="53">
                  <c:v>590.99693693317192</c:v>
                </c:pt>
                <c:pt idx="54">
                  <c:v>598.27028873138636</c:v>
                </c:pt>
                <c:pt idx="55">
                  <c:v>605.49800184910248</c:v>
                </c:pt>
                <c:pt idx="56">
                  <c:v>612.68118020566726</c:v>
                </c:pt>
                <c:pt idx="57">
                  <c:v>619.82088194217499</c:v>
                </c:pt>
                <c:pt idx="58">
                  <c:v>626.91812208348745</c:v>
                </c:pt>
                <c:pt idx="59">
                  <c:v>633.97387500245986</c:v>
                </c:pt>
                <c:pt idx="60">
                  <c:v>640.98907670439075</c:v>
                </c:pt>
                <c:pt idx="61">
                  <c:v>647.9646269473335</c:v>
                </c:pt>
                <c:pt idx="62">
                  <c:v>654.90139121267498</c:v>
                </c:pt>
                <c:pt idx="63">
                  <c:v>661.80020253878467</c:v>
                </c:pt>
                <c:pt idx="64">
                  <c:v>569.32557574979944</c:v>
                </c:pt>
                <c:pt idx="65">
                  <c:v>675.48714644540905</c:v>
                </c:pt>
                <c:pt idx="66">
                  <c:v>682.27679769514816</c:v>
                </c:pt>
                <c:pt idx="67">
                  <c:v>689.0315362218588</c:v>
                </c:pt>
                <c:pt idx="68">
                  <c:v>573.71082791087008</c:v>
                </c:pt>
                <c:pt idx="69">
                  <c:v>554.19313581967458</c:v>
                </c:pt>
                <c:pt idx="70">
                  <c:v>816.49567094463794</c:v>
                </c:pt>
                <c:pt idx="71">
                  <c:v>822.06495141454934</c:v>
                </c:pt>
                <c:pt idx="72">
                  <c:v>553.7354779226647</c:v>
                </c:pt>
                <c:pt idx="73">
                  <c:v>594.16860521400338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FE-477C-AA19-CB39CC62690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'SPT-01'!$O$2:$O$75</c:f>
              <c:numCache>
                <c:formatCode>General</c:formatCode>
                <c:ptCount val="74"/>
                <c:pt idx="0">
                  <c:v>76.0135440488352</c:v>
                </c:pt>
                <c:pt idx="1">
                  <c:v>144.05928313859565</c:v>
                </c:pt>
                <c:pt idx="2">
                  <c:v>97.793970043374557</c:v>
                </c:pt>
                <c:pt idx="3">
                  <c:v>101.77443283511887</c:v>
                </c:pt>
                <c:pt idx="4">
                  <c:v>164.4460690053296</c:v>
                </c:pt>
                <c:pt idx="5">
                  <c:v>175.99476211358851</c:v>
                </c:pt>
                <c:pt idx="6">
                  <c:v>204.77103785902858</c:v>
                </c:pt>
                <c:pt idx="7">
                  <c:v>228.56916641004599</c:v>
                </c:pt>
                <c:pt idx="8">
                  <c:v>110.25359615626132</c:v>
                </c:pt>
                <c:pt idx="9">
                  <c:v>182.15687992591617</c:v>
                </c:pt>
                <c:pt idx="10">
                  <c:v>267.4820372754632</c:v>
                </c:pt>
                <c:pt idx="11">
                  <c:v>279.80454067560896</c:v>
                </c:pt>
                <c:pt idx="12">
                  <c:v>255.71414168674548</c:v>
                </c:pt>
                <c:pt idx="13">
                  <c:v>303.64515580914741</c:v>
                </c:pt>
                <c:pt idx="14">
                  <c:v>194.83893559508397</c:v>
                </c:pt>
                <c:pt idx="15">
                  <c:v>185.37709164255352</c:v>
                </c:pt>
                <c:pt idx="16">
                  <c:v>280.31588620263454</c:v>
                </c:pt>
                <c:pt idx="17">
                  <c:v>348.64855572946055</c:v>
                </c:pt>
                <c:pt idx="18">
                  <c:v>198.45590485883827</c:v>
                </c:pt>
                <c:pt idx="19">
                  <c:v>370.04199165741653</c:v>
                </c:pt>
                <c:pt idx="20">
                  <c:v>380.50018595490769</c:v>
                </c:pt>
                <c:pt idx="21">
                  <c:v>390.81115603665614</c:v>
                </c:pt>
                <c:pt idx="22">
                  <c:v>345.88566983411306</c:v>
                </c:pt>
                <c:pt idx="23">
                  <c:v>411.02198875769767</c:v>
                </c:pt>
                <c:pt idx="24">
                  <c:v>420.93547771791975</c:v>
                </c:pt>
                <c:pt idx="25">
                  <c:v>303.75373789259811</c:v>
                </c:pt>
                <c:pt idx="26">
                  <c:v>289.1741528514213</c:v>
                </c:pt>
                <c:pt idx="27">
                  <c:v>549.03359650486163</c:v>
                </c:pt>
                <c:pt idx="28">
                  <c:v>557.43859594163825</c:v>
                </c:pt>
                <c:pt idx="29">
                  <c:v>565.75636429389829</c:v>
                </c:pt>
                <c:pt idx="30">
                  <c:v>573.98993737661829</c:v>
                </c:pt>
                <c:pt idx="31">
                  <c:v>582.1421747675688</c:v>
                </c:pt>
                <c:pt idx="32">
                  <c:v>590.21577394381916</c:v>
                </c:pt>
                <c:pt idx="33">
                  <c:v>598.21328298536764</c:v>
                </c:pt>
                <c:pt idx="34">
                  <c:v>606.13711202018646</c:v>
                </c:pt>
                <c:pt idx="35">
                  <c:v>567.41972611073822</c:v>
                </c:pt>
                <c:pt idx="36">
                  <c:v>621.77274185683666</c:v>
                </c:pt>
                <c:pt idx="37">
                  <c:v>629.48876138933429</c:v>
                </c:pt>
                <c:pt idx="38">
                  <c:v>637.1395545798066</c:v>
                </c:pt>
                <c:pt idx="39">
                  <c:v>644.72697882236537</c:v>
                </c:pt>
                <c:pt idx="40">
                  <c:v>450.92229376308217</c:v>
                </c:pt>
                <c:pt idx="41">
                  <c:v>659.71871284035637</c:v>
                </c:pt>
                <c:pt idx="42">
                  <c:v>667.12631730906458</c:v>
                </c:pt>
                <c:pt idx="43">
                  <c:v>674.47715251994998</c:v>
                </c:pt>
                <c:pt idx="44">
                  <c:v>612.96285476068738</c:v>
                </c:pt>
                <c:pt idx="45">
                  <c:v>689.01432464220534</c:v>
                </c:pt>
                <c:pt idx="46">
                  <c:v>696.20341078483921</c:v>
                </c:pt>
                <c:pt idx="47">
                  <c:v>592.8262213680722</c:v>
                </c:pt>
                <c:pt idx="48">
                  <c:v>601.04408470554256</c:v>
                </c:pt>
                <c:pt idx="49">
                  <c:v>609.20400002013275</c:v>
                </c:pt>
                <c:pt idx="50">
                  <c:v>617.30753898128444</c:v>
                </c:pt>
                <c:pt idx="51">
                  <c:v>625.35620033380746</c:v>
                </c:pt>
                <c:pt idx="52">
                  <c:v>377.58681888452799</c:v>
                </c:pt>
                <c:pt idx="53">
                  <c:v>641.2945485870589</c:v>
                </c:pt>
                <c:pt idx="54">
                  <c:v>649.18690904895118</c:v>
                </c:pt>
                <c:pt idx="55">
                  <c:v>657.02974668732395</c:v>
                </c:pt>
                <c:pt idx="56">
                  <c:v>664.82425937210701</c:v>
                </c:pt>
                <c:pt idx="57">
                  <c:v>672.5715952989558</c:v>
                </c:pt>
                <c:pt idx="58">
                  <c:v>680.27285587782694</c:v>
                </c:pt>
                <c:pt idx="59">
                  <c:v>687.92909840692471</c:v>
                </c:pt>
                <c:pt idx="60">
                  <c:v>695.54133855157306</c:v>
                </c:pt>
                <c:pt idx="61">
                  <c:v>703.11055264497895</c:v>
                </c:pt>
                <c:pt idx="62">
                  <c:v>710.63767982651984</c:v>
                </c:pt>
                <c:pt idx="63">
                  <c:v>718.12362403144732</c:v>
                </c:pt>
                <c:pt idx="64">
                  <c:v>617.77881623914402</c:v>
                </c:pt>
                <c:pt idx="65">
                  <c:v>732.97541422799713</c:v>
                </c:pt>
                <c:pt idx="66">
                  <c:v>740.34290813728853</c:v>
                </c:pt>
                <c:pt idx="67">
                  <c:v>747.67251802797443</c:v>
                </c:pt>
                <c:pt idx="68">
                  <c:v>622.53728135009317</c:v>
                </c:pt>
                <c:pt idx="69">
                  <c:v>601.35850908092357</c:v>
                </c:pt>
                <c:pt idx="70">
                  <c:v>885.98466421652188</c:v>
                </c:pt>
                <c:pt idx="71">
                  <c:v>892.02792600302166</c:v>
                </c:pt>
                <c:pt idx="72">
                  <c:v>600.8619015756575</c:v>
                </c:pt>
                <c:pt idx="73">
                  <c:v>644.73614608328035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FE-477C-AA19-CB39CC62690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'SPT-01'!$P$2:$P$75</c:f>
              <c:numCache>
                <c:formatCode>General</c:formatCode>
                <c:ptCount val="74"/>
                <c:pt idx="0">
                  <c:v>87.750929526964157</c:v>
                </c:pt>
                <c:pt idx="1">
                  <c:v>166.30373127029057</c:v>
                </c:pt>
                <c:pt idx="2">
                  <c:v>112.8945095353662</c:v>
                </c:pt>
                <c:pt idx="3">
                  <c:v>117.48960261112988</c:v>
                </c:pt>
                <c:pt idx="4">
                  <c:v>189.83847671938784</c:v>
                </c:pt>
                <c:pt idx="5">
                  <c:v>203.17042391053968</c:v>
                </c:pt>
                <c:pt idx="6">
                  <c:v>236.39009517549624</c:v>
                </c:pt>
                <c:pt idx="7">
                  <c:v>263.86293475277364</c:v>
                </c:pt>
                <c:pt idx="8">
                  <c:v>127.27804850391932</c:v>
                </c:pt>
                <c:pt idx="9">
                  <c:v>210.28404520859439</c:v>
                </c:pt>
                <c:pt idx="10">
                  <c:v>308.78441067829203</c:v>
                </c:pt>
                <c:pt idx="11">
                  <c:v>323.00965357404857</c:v>
                </c:pt>
                <c:pt idx="12">
                  <c:v>295.19941356484588</c:v>
                </c:pt>
                <c:pt idx="13">
                  <c:v>350.53154016203047</c:v>
                </c:pt>
                <c:pt idx="14">
                  <c:v>224.92435947373662</c:v>
                </c:pt>
                <c:pt idx="15">
                  <c:v>214.00149549912425</c:v>
                </c:pt>
                <c:pt idx="16">
                  <c:v>323.59995686627667</c:v>
                </c:pt>
                <c:pt idx="17">
                  <c:v>402.48399448180368</c:v>
                </c:pt>
                <c:pt idx="18">
                  <c:v>229.09983134439418</c:v>
                </c:pt>
                <c:pt idx="19">
                  <c:v>427.18082860451761</c:v>
                </c:pt>
                <c:pt idx="20">
                  <c:v>439.25389113912132</c:v>
                </c:pt>
                <c:pt idx="21">
                  <c:v>451.15699630702221</c:v>
                </c:pt>
                <c:pt idx="22">
                  <c:v>399.29448649967458</c:v>
                </c:pt>
                <c:pt idx="23">
                  <c:v>474.48861937469513</c:v>
                </c:pt>
                <c:pt idx="24">
                  <c:v>485.93286765965735</c:v>
                </c:pt>
                <c:pt idx="25">
                  <c:v>350.65688859660224</c:v>
                </c:pt>
                <c:pt idx="26">
                  <c:v>333.82604410053784</c:v>
                </c:pt>
                <c:pt idx="27">
                  <c:v>633.81084302399461</c:v>
                </c:pt>
                <c:pt idx="28">
                  <c:v>643.51367325615593</c:v>
                </c:pt>
                <c:pt idx="29">
                  <c:v>653.11580289810308</c:v>
                </c:pt>
                <c:pt idx="30">
                  <c:v>662.62073653036089</c:v>
                </c:pt>
                <c:pt idx="31">
                  <c:v>672.03177528314927</c:v>
                </c:pt>
                <c:pt idx="32">
                  <c:v>681.35203315573233</c:v>
                </c:pt>
                <c:pt idx="33">
                  <c:v>690.58445168163757</c:v>
                </c:pt>
                <c:pt idx="34">
                  <c:v>699.73181314095052</c:v>
                </c:pt>
                <c:pt idx="35">
                  <c:v>655.03600734842576</c:v>
                </c:pt>
                <c:pt idx="36">
                  <c:v>717.78176817296594</c:v>
                </c:pt>
                <c:pt idx="37">
                  <c:v>726.68923189798159</c:v>
                </c:pt>
                <c:pt idx="38">
                  <c:v>735.52139756639428</c:v>
                </c:pt>
                <c:pt idx="39">
                  <c:v>744.28040937581886</c:v>
                </c:pt>
                <c:pt idx="40">
                  <c:v>520.55000088826398</c:v>
                </c:pt>
                <c:pt idx="41">
                  <c:v>761.58704349952893</c:v>
                </c:pt>
                <c:pt idx="42">
                  <c:v>770.13846924649374</c:v>
                </c:pt>
                <c:pt idx="43">
                  <c:v>778.62435989435392</c:v>
                </c:pt>
                <c:pt idx="44">
                  <c:v>707.61153086344052</c:v>
                </c:pt>
                <c:pt idx="45">
                  <c:v>795.40624241783985</c:v>
                </c:pt>
                <c:pt idx="46">
                  <c:v>803.7054080383806</c:v>
                </c:pt>
                <c:pt idx="47">
                  <c:v>684.3655643734362</c:v>
                </c:pt>
                <c:pt idx="48">
                  <c:v>693.85236249095715</c:v>
                </c:pt>
                <c:pt idx="49">
                  <c:v>703.27226472912389</c:v>
                </c:pt>
                <c:pt idx="50">
                  <c:v>712.62708544162979</c:v>
                </c:pt>
                <c:pt idx="51">
                  <c:v>721.91855479711603</c:v>
                </c:pt>
                <c:pt idx="52">
                  <c:v>435.89066591816839</c:v>
                </c:pt>
                <c:pt idx="53">
                  <c:v>740.31797153064883</c:v>
                </c:pt>
                <c:pt idx="54">
                  <c:v>749.42900529915698</c:v>
                </c:pt>
                <c:pt idx="55">
                  <c:v>758.48286933757254</c:v>
                </c:pt>
                <c:pt idx="56">
                  <c:v>767.48094648103529</c:v>
                </c:pt>
                <c:pt idx="57">
                  <c:v>776.42456222011822</c:v>
                </c:pt>
                <c:pt idx="58">
                  <c:v>785.31498803543252</c:v>
                </c:pt>
                <c:pt idx="59">
                  <c:v>794.15344448446444</c:v>
                </c:pt>
                <c:pt idx="60">
                  <c:v>802.94110406321295</c:v>
                </c:pt>
                <c:pt idx="61">
                  <c:v>811.67909386221834</c:v>
                </c:pt>
                <c:pt idx="62">
                  <c:v>820.36849803502651</c:v>
                </c:pt>
                <c:pt idx="63">
                  <c:v>829.01036009512654</c:v>
                </c:pt>
                <c:pt idx="64">
                  <c:v>713.1711334525412</c:v>
                </c:pt>
                <c:pt idx="65">
                  <c:v>846.15544142496731</c:v>
                </c:pt>
                <c:pt idx="66">
                  <c:v>854.66056307025224</c:v>
                </c:pt>
                <c:pt idx="67">
                  <c:v>863.12195095876461</c:v>
                </c:pt>
                <c:pt idx="68">
                  <c:v>718.66436155856343</c:v>
                </c:pt>
                <c:pt idx="69">
                  <c:v>694.21533768900724</c:v>
                </c:pt>
                <c:pt idx="70">
                  <c:v>1022.7911197205439</c:v>
                </c:pt>
                <c:pt idx="71">
                  <c:v>1029.7675322240766</c:v>
                </c:pt>
                <c:pt idx="72">
                  <c:v>693.64204814248694</c:v>
                </c:pt>
                <c:pt idx="73">
                  <c:v>744.29099216966927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FE-477C-AA19-CB39CC626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'SPT-01'!$Q$2:$Q$75</c:f>
              <c:numCache>
                <c:formatCode>General</c:formatCode>
                <c:ptCount val="74"/>
                <c:pt idx="0">
                  <c:v>434.49984336366094</c:v>
                </c:pt>
                <c:pt idx="1">
                  <c:v>820.90384808061049</c:v>
                </c:pt>
                <c:pt idx="2">
                  <c:v>647.67386250407333</c:v>
                </c:pt>
                <c:pt idx="3">
                  <c:v>735.95279618677466</c:v>
                </c:pt>
                <c:pt idx="4">
                  <c:v>1155.4205718473688</c:v>
                </c:pt>
                <c:pt idx="5">
                  <c:v>1355.7588465296508</c:v>
                </c:pt>
                <c:pt idx="6">
                  <c:v>2002.2948785466576</c:v>
                </c:pt>
                <c:pt idx="7">
                  <c:v>2337.4627515995471</c:v>
                </c:pt>
                <c:pt idx="8">
                  <c:v>1751.2445737494372</c:v>
                </c:pt>
                <c:pt idx="9">
                  <c:v>2325.697640133767</c:v>
                </c:pt>
                <c:pt idx="10">
                  <c:v>3044.1603169728933</c:v>
                </c:pt>
                <c:pt idx="11">
                  <c:v>3361.8861449579927</c:v>
                </c:pt>
                <c:pt idx="12">
                  <c:v>3454.5008919228439</c:v>
                </c:pt>
                <c:pt idx="13">
                  <c:v>3992.5486115761059</c:v>
                </c:pt>
                <c:pt idx="14">
                  <c:v>3551.8966941859371</c:v>
                </c:pt>
                <c:pt idx="15">
                  <c:v>3660.0777146041473</c:v>
                </c:pt>
                <c:pt idx="16">
                  <c:v>4445.9595995067766</c:v>
                </c:pt>
                <c:pt idx="17">
                  <c:v>5137.8680525148284</c:v>
                </c:pt>
                <c:pt idx="18">
                  <c:v>4471.6309350881966</c:v>
                </c:pt>
                <c:pt idx="19">
                  <c:v>5763.2419193712522</c:v>
                </c:pt>
                <c:pt idx="20">
                  <c:v>6163.3094288438242</c:v>
                </c:pt>
                <c:pt idx="21">
                  <c:v>6572.0662419064465</c:v>
                </c:pt>
                <c:pt idx="22">
                  <c:v>6635.3662447546621</c:v>
                </c:pt>
                <c:pt idx="23">
                  <c:v>7364.54052725773</c:v>
                </c:pt>
                <c:pt idx="24">
                  <c:v>7798.8740283498828</c:v>
                </c:pt>
                <c:pt idx="25">
                  <c:v>7423.7331141056957</c:v>
                </c:pt>
                <c:pt idx="26">
                  <c:v>7600.9628418398115</c:v>
                </c:pt>
                <c:pt idx="27">
                  <c:v>8982.479413859659</c:v>
                </c:pt>
                <c:pt idx="28">
                  <c:v>9531.8763057911056</c:v>
                </c:pt>
                <c:pt idx="29">
                  <c:v>10088.577457773174</c:v>
                </c:pt>
                <c:pt idx="30">
                  <c:v>10652.51775696908</c:v>
                </c:pt>
                <c:pt idx="31">
                  <c:v>11223.634004382377</c:v>
                </c:pt>
                <c:pt idx="32">
                  <c:v>11801.864823174172</c:v>
                </c:pt>
                <c:pt idx="33">
                  <c:v>12387.150572851666</c:v>
                </c:pt>
                <c:pt idx="34">
                  <c:v>12979.433268876324</c:v>
                </c:pt>
                <c:pt idx="35">
                  <c:v>13286.228129538258</c:v>
                </c:pt>
                <c:pt idx="36">
                  <c:v>14141.848111149196</c:v>
                </c:pt>
                <c:pt idx="37">
                  <c:v>14754.789195158231</c:v>
                </c:pt>
                <c:pt idx="38">
                  <c:v>15374.51040655191</c:v>
                </c:pt>
                <c:pt idx="39">
                  <c:v>16000.960997307418</c:v>
                </c:pt>
                <c:pt idx="40">
                  <c:v>15386.293621857771</c:v>
                </c:pt>
                <c:pt idx="41">
                  <c:v>17088.313724347056</c:v>
                </c:pt>
                <c:pt idx="42">
                  <c:v>17734.660372201943</c:v>
                </c:pt>
                <c:pt idx="43">
                  <c:v>18387.545564714506</c:v>
                </c:pt>
                <c:pt idx="44">
                  <c:v>18611.785904772667</c:v>
                </c:pt>
                <c:pt idx="45">
                  <c:v>19649.339995940209</c:v>
                </c:pt>
                <c:pt idx="46">
                  <c:v>20321.575456667619</c:v>
                </c:pt>
                <c:pt idx="47">
                  <c:v>20901.894127568044</c:v>
                </c:pt>
                <c:pt idx="48">
                  <c:v>21493.062787844065</c:v>
                </c:pt>
                <c:pt idx="49">
                  <c:v>22091.44406335364</c:v>
                </c:pt>
                <c:pt idx="50">
                  <c:v>22696.994690400621</c:v>
                </c:pt>
                <c:pt idx="51">
                  <c:v>23309.672373450932</c:v>
                </c:pt>
                <c:pt idx="52">
                  <c:v>22301.894014282254</c:v>
                </c:pt>
                <c:pt idx="53">
                  <c:v>24320.539727066229</c:v>
                </c:pt>
                <c:pt idx="54">
                  <c:v>24954.35396316988</c:v>
                </c:pt>
                <c:pt idx="55">
                  <c:v>25595.135068513358</c:v>
                </c:pt>
                <c:pt idx="56">
                  <c:v>26242.84508774431</c:v>
                </c:pt>
                <c:pt idx="57">
                  <c:v>26897.446844178732</c:v>
                </c:pt>
                <c:pt idx="58">
                  <c:v>27558.90391321035</c:v>
                </c:pt>
                <c:pt idx="59">
                  <c:v>28227.18059694122</c:v>
                </c:pt>
                <c:pt idx="60">
                  <c:v>28902.241899966601</c:v>
                </c:pt>
                <c:pt idx="61">
                  <c:v>29584.053506250762</c:v>
                </c:pt>
                <c:pt idx="62">
                  <c:v>30272.581757034528</c:v>
                </c:pt>
                <c:pt idx="63">
                  <c:v>30967.793629718595</c:v>
                </c:pt>
                <c:pt idx="64">
                  <c:v>30990.349034638733</c:v>
                </c:pt>
                <c:pt idx="65">
                  <c:v>32278.802923424242</c:v>
                </c:pt>
                <c:pt idx="66">
                  <c:v>32993.87359010928</c:v>
                </c:pt>
                <c:pt idx="67">
                  <c:v>33715.501758863538</c:v>
                </c:pt>
                <c:pt idx="68">
                  <c:v>32954.509420844799</c:v>
                </c:pt>
                <c:pt idx="69">
                  <c:v>33391.137365403876</c:v>
                </c:pt>
                <c:pt idx="70">
                  <c:v>35741.319095810599</c:v>
                </c:pt>
                <c:pt idx="71">
                  <c:v>36589.248762343028</c:v>
                </c:pt>
                <c:pt idx="72">
                  <c:v>35560.241773011192</c:v>
                </c:pt>
                <c:pt idx="73">
                  <c:v>36376.499072935374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44-4E65-8BE5-F76037BC210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'SPT-01'!$R$2:$R$75</c:f>
              <c:numCache>
                <c:formatCode>General</c:formatCode>
                <c:ptCount val="74"/>
                <c:pt idx="0">
                  <c:v>501.74058174538084</c:v>
                </c:pt>
                <c:pt idx="1">
                  <c:v>942.09137402203942</c:v>
                </c:pt>
                <c:pt idx="2">
                  <c:v>732.25076952952224</c:v>
                </c:pt>
                <c:pt idx="3">
                  <c:v>827.58501500438911</c:v>
                </c:pt>
                <c:pt idx="4">
                  <c:v>1304.9989225726297</c:v>
                </c:pt>
                <c:pt idx="5">
                  <c:v>1525.5548092755675</c:v>
                </c:pt>
                <c:pt idx="6">
                  <c:v>2265.1308182713437</c:v>
                </c:pt>
                <c:pt idx="7">
                  <c:v>2639.1636343402697</c:v>
                </c:pt>
                <c:pt idx="8">
                  <c:v>1945.9409015289127</c:v>
                </c:pt>
                <c:pt idx="9">
                  <c:v>2603.0442953952979</c:v>
                </c:pt>
                <c:pt idx="10">
                  <c:v>3421.8419983351769</c:v>
                </c:pt>
                <c:pt idx="11">
                  <c:v>3771.5793697663312</c:v>
                </c:pt>
                <c:pt idx="12">
                  <c:v>3860.1985854670984</c:v>
                </c:pt>
                <c:pt idx="13">
                  <c:v>4465.4787754712506</c:v>
                </c:pt>
                <c:pt idx="14">
                  <c:v>3935.8253521729598</c:v>
                </c:pt>
                <c:pt idx="15">
                  <c:v>4048.0105564139844</c:v>
                </c:pt>
                <c:pt idx="16">
                  <c:v>4944.581360396136</c:v>
                </c:pt>
                <c:pt idx="17">
                  <c:v>5726.148893377831</c:v>
                </c:pt>
                <c:pt idx="18">
                  <c:v>4932.7032351167109</c:v>
                </c:pt>
                <c:pt idx="19">
                  <c:v>6413.1711559691521</c:v>
                </c:pt>
                <c:pt idx="20">
                  <c:v>6851.389773314846</c:v>
                </c:pt>
                <c:pt idx="21">
                  <c:v>7298.9697049000297</c:v>
                </c:pt>
                <c:pt idx="22">
                  <c:v>7346.4449849238608</c:v>
                </c:pt>
                <c:pt idx="23">
                  <c:v>8166.7713032942429</c:v>
                </c:pt>
                <c:pt idx="24">
                  <c:v>8641.9232352183735</c:v>
                </c:pt>
                <c:pt idx="25">
                  <c:v>8180.4614907966316</c:v>
                </c:pt>
                <c:pt idx="26">
                  <c:v>8365.3625363802857</c:v>
                </c:pt>
                <c:pt idx="27">
                  <c:v>9937.1560027656687</c:v>
                </c:pt>
                <c:pt idx="28">
                  <c:v>10536.27268776866</c:v>
                </c:pt>
                <c:pt idx="29">
                  <c:v>11143.285285112001</c:v>
                </c:pt>
                <c:pt idx="30">
                  <c:v>11758.124176627489</c:v>
                </c:pt>
                <c:pt idx="31">
                  <c:v>12380.721760960963</c:v>
                </c:pt>
                <c:pt idx="32">
                  <c:v>13011.012358878217</c:v>
                </c:pt>
                <c:pt idx="33">
                  <c:v>13648.932124457315</c:v>
                </c:pt>
                <c:pt idx="34">
                  <c:v>14294.418961736006</c:v>
                </c:pt>
                <c:pt idx="35">
                  <c:v>14609.378341010915</c:v>
                </c:pt>
                <c:pt idx="36">
                  <c:v>15561.28393480685</c:v>
                </c:pt>
                <c:pt idx="37">
                  <c:v>16229.115764370641</c:v>
                </c:pt>
                <c:pt idx="38">
                  <c:v>16904.282283810611</c:v>
                </c:pt>
                <c:pt idx="39">
                  <c:v>17586.729061410027</c:v>
                </c:pt>
                <c:pt idx="40">
                  <c:v>16834.204767973177</c:v>
                </c:pt>
                <c:pt idx="41">
                  <c:v>18771.921821173815</c:v>
                </c:pt>
                <c:pt idx="42">
                  <c:v>19475.895953991065</c:v>
                </c:pt>
                <c:pt idx="43">
                  <c:v>20186.945527430817</c:v>
                </c:pt>
                <c:pt idx="44">
                  <c:v>20401.984456863764</c:v>
                </c:pt>
                <c:pt idx="45">
                  <c:v>21561.269347471552</c:v>
                </c:pt>
                <c:pt idx="46">
                  <c:v>22293.260223310659</c:v>
                </c:pt>
                <c:pt idx="47">
                  <c:v>22925.78996977576</c:v>
                </c:pt>
                <c:pt idx="48">
                  <c:v>23570.36518747887</c:v>
                </c:pt>
                <c:pt idx="49">
                  <c:v>24222.741342731613</c:v>
                </c:pt>
                <c:pt idx="50">
                  <c:v>24882.872211478709</c:v>
                </c:pt>
                <c:pt idx="51">
                  <c:v>25550.712585927344</c:v>
                </c:pt>
                <c:pt idx="52">
                  <c:v>24344.59082624461</c:v>
                </c:pt>
                <c:pt idx="53">
                  <c:v>26653.581289984821</c:v>
                </c:pt>
                <c:pt idx="54">
                  <c:v>27344.288562335889</c:v>
                </c:pt>
                <c:pt idx="55">
                  <c:v>28042.533969742304</c:v>
                </c:pt>
                <c:pt idx="56">
                  <c:v>28748.276872931561</c:v>
                </c:pt>
                <c:pt idx="57">
                  <c:v>29461.477454363052</c:v>
                </c:pt>
                <c:pt idx="58">
                  <c:v>30182.096690746657</c:v>
                </c:pt>
                <c:pt idx="59">
                  <c:v>30910.09632678323</c:v>
                </c:pt>
                <c:pt idx="60">
                  <c:v>31645.438850063747</c:v>
                </c:pt>
                <c:pt idx="61">
                  <c:v>32388.087467066794</c:v>
                </c:pt>
                <c:pt idx="62">
                  <c:v>33138.006080197592</c:v>
                </c:pt>
                <c:pt idx="63">
                  <c:v>33895.159265814684</c:v>
                </c:pt>
                <c:pt idx="64">
                  <c:v>33874.233103739534</c:v>
                </c:pt>
                <c:pt idx="65">
                  <c:v>35323.240464771887</c:v>
                </c:pt>
                <c:pt idx="66">
                  <c:v>36101.891255269053</c:v>
                </c:pt>
                <c:pt idx="67">
                  <c:v>36887.641255547263</c:v>
                </c:pt>
                <c:pt idx="68">
                  <c:v>35951.056254572512</c:v>
                </c:pt>
                <c:pt idx="69">
                  <c:v>36415.081973862289</c:v>
                </c:pt>
                <c:pt idx="70">
                  <c:v>39092.62911461859</c:v>
                </c:pt>
                <c:pt idx="71">
                  <c:v>40014.87069013984</c:v>
                </c:pt>
                <c:pt idx="72">
                  <c:v>38766.865284834137</c:v>
                </c:pt>
                <c:pt idx="73">
                  <c:v>39671.03247252576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44-4E65-8BE5-F76037BC210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'SPT-01'!$S$2:$S$75</c:f>
              <c:numCache>
                <c:formatCode>General</c:formatCode>
                <c:ptCount val="74"/>
                <c:pt idx="0">
                  <c:v>655.38697978902485</c:v>
                </c:pt>
                <c:pt idx="1">
                  <c:v>1216.7460565767328</c:v>
                </c:pt>
                <c:pt idx="2">
                  <c:v>919.46113339757676</c:v>
                </c:pt>
                <c:pt idx="3">
                  <c:v>1028.3638195283706</c:v>
                </c:pt>
                <c:pt idx="4">
                  <c:v>1635.4927476649727</c:v>
                </c:pt>
                <c:pt idx="5">
                  <c:v>1898.0780043613117</c:v>
                </c:pt>
                <c:pt idx="6">
                  <c:v>2847.5413943858048</c:v>
                </c:pt>
                <c:pt idx="7">
                  <c:v>3305.3558620170852</c:v>
                </c:pt>
                <c:pt idx="8">
                  <c:v>2361.3321385641802</c:v>
                </c:pt>
                <c:pt idx="9">
                  <c:v>3204.878202360067</c:v>
                </c:pt>
                <c:pt idx="10">
                  <c:v>4248.7501672575791</c:v>
                </c:pt>
                <c:pt idx="11">
                  <c:v>4665.0035951723548</c:v>
                </c:pt>
                <c:pt idx="12">
                  <c:v>4737.4097740892303</c:v>
                </c:pt>
                <c:pt idx="13">
                  <c:v>5490.1213598446011</c:v>
                </c:pt>
                <c:pt idx="14">
                  <c:v>4749.0559074605044</c:v>
                </c:pt>
                <c:pt idx="15">
                  <c:v>4865.4682197575903</c:v>
                </c:pt>
                <c:pt idx="16">
                  <c:v>6010.7414003298891</c:v>
                </c:pt>
                <c:pt idx="17">
                  <c:v>6990.4506978146728</c:v>
                </c:pt>
                <c:pt idx="18">
                  <c:v>5897.0151116657889</c:v>
                </c:pt>
                <c:pt idx="19">
                  <c:v>7804.7638458636729</c:v>
                </c:pt>
                <c:pt idx="20">
                  <c:v>8320.9756455238439</c:v>
                </c:pt>
                <c:pt idx="21">
                  <c:v>8847.824342562235</c:v>
                </c:pt>
                <c:pt idx="22">
                  <c:v>8849.2383093148674</c:v>
                </c:pt>
                <c:pt idx="23">
                  <c:v>9869.4660348398083</c:v>
                </c:pt>
                <c:pt idx="24">
                  <c:v>10427.687508107747</c:v>
                </c:pt>
                <c:pt idx="25">
                  <c:v>9758.0570869518961</c:v>
                </c:pt>
                <c:pt idx="26">
                  <c:v>9952.8523213620756</c:v>
                </c:pt>
                <c:pt idx="27">
                  <c:v>11950.342990893434</c:v>
                </c:pt>
                <c:pt idx="28">
                  <c:v>12649.427449564726</c:v>
                </c:pt>
                <c:pt idx="29">
                  <c:v>13357.551563195419</c:v>
                </c:pt>
                <c:pt idx="30">
                  <c:v>14074.63757191094</c:v>
                </c:pt>
                <c:pt idx="31">
                  <c:v>14800.609893281962</c:v>
                </c:pt>
                <c:pt idx="32">
                  <c:v>15535.395025068941</c:v>
                </c:pt>
                <c:pt idx="33">
                  <c:v>16278.92145354222</c:v>
                </c:pt>
                <c:pt idx="34">
                  <c:v>17031.119567027843</c:v>
                </c:pt>
                <c:pt idx="35">
                  <c:v>17349.541778595165</c:v>
                </c:pt>
                <c:pt idx="36">
                  <c:v>18507.500682686928</c:v>
                </c:pt>
                <c:pt idx="37">
                  <c:v>19285.314005484182</c:v>
                </c:pt>
                <c:pt idx="38">
                  <c:v>20071.53802286413</c:v>
                </c:pt>
                <c:pt idx="39">
                  <c:v>20866.111497276012</c:v>
                </c:pt>
                <c:pt idx="40">
                  <c:v>19782.066048564368</c:v>
                </c:pt>
                <c:pt idx="41">
                  <c:v>22247.650879210942</c:v>
                </c:pt>
                <c:pt idx="42">
                  <c:v>23066.919769135013</c:v>
                </c:pt>
                <c:pt idx="43">
                  <c:v>23894.307356922436</c:v>
                </c:pt>
                <c:pt idx="44">
                  <c:v>24071.353654015555</c:v>
                </c:pt>
                <c:pt idx="45">
                  <c:v>25493.787317720838</c:v>
                </c:pt>
                <c:pt idx="46">
                  <c:v>26345.209345831583</c:v>
                </c:pt>
                <c:pt idx="47">
                  <c:v>27082.51294366772</c:v>
                </c:pt>
                <c:pt idx="48">
                  <c:v>27834.406816822098</c:v>
                </c:pt>
                <c:pt idx="49">
                  <c:v>28595.241955194702</c:v>
                </c:pt>
                <c:pt idx="50">
                  <c:v>29364.966813657418</c:v>
                </c:pt>
                <c:pt idx="51">
                  <c:v>30143.530933940969</c:v>
                </c:pt>
                <c:pt idx="52">
                  <c:v>28467.810161769452</c:v>
                </c:pt>
                <c:pt idx="53">
                  <c:v>31431.722686837638</c:v>
                </c:pt>
                <c:pt idx="54">
                  <c:v>32236.512176539618</c:v>
                </c:pt>
                <c:pt idx="55">
                  <c:v>33049.949260169313</c:v>
                </c:pt>
                <c:pt idx="56">
                  <c:v>33871.988398406538</c:v>
                </c:pt>
                <c:pt idx="57">
                  <c:v>34702.584942136709</c:v>
                </c:pt>
                <c:pt idx="58">
                  <c:v>35541.695104179846</c:v>
                </c:pt>
                <c:pt idx="59">
                  <c:v>36389.275932170516</c:v>
                </c:pt>
                <c:pt idx="60">
                  <c:v>37245.285282538985</c:v>
                </c:pt>
                <c:pt idx="61">
                  <c:v>38109.681795545286</c:v>
                </c:pt>
                <c:pt idx="62">
                  <c:v>38982.424871319359</c:v>
                </c:pt>
                <c:pt idx="63">
                  <c:v>39863.474646862007</c:v>
                </c:pt>
                <c:pt idx="64">
                  <c:v>39725.039142562156</c:v>
                </c:pt>
                <c:pt idx="65">
                  <c:v>41525.903846392939</c:v>
                </c:pt>
                <c:pt idx="66">
                  <c:v>42431.641585943027</c:v>
                </c:pt>
                <c:pt idx="67">
                  <c:v>43345.533513235445</c:v>
                </c:pt>
                <c:pt idx="68">
                  <c:v>41985.368165027539</c:v>
                </c:pt>
                <c:pt idx="69">
                  <c:v>42496.473116328358</c:v>
                </c:pt>
                <c:pt idx="70">
                  <c:v>45908.014204768609</c:v>
                </c:pt>
                <c:pt idx="71">
                  <c:v>46978.066603016989</c:v>
                </c:pt>
                <c:pt idx="72">
                  <c:v>45206.552241984333</c:v>
                </c:pt>
                <c:pt idx="73">
                  <c:v>46296.751289631786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44-4E65-8BE5-F76037BC2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'SPT-01'!$M$2:$M$75</c:f>
              <c:numCache>
                <c:formatCode>General</c:formatCode>
                <c:ptCount val="74"/>
                <c:pt idx="0">
                  <c:v>322.52048310344361</c:v>
                </c:pt>
                <c:pt idx="1">
                  <c:v>546.98374760197623</c:v>
                </c:pt>
                <c:pt idx="2">
                  <c:v>313.92725174145215</c:v>
                </c:pt>
                <c:pt idx="3">
                  <c:v>309.04832192307941</c:v>
                </c:pt>
                <c:pt idx="4">
                  <c:v>546.14516931922401</c:v>
                </c:pt>
                <c:pt idx="5">
                  <c:v>579.90359703842807</c:v>
                </c:pt>
                <c:pt idx="6">
                  <c:v>985.05887820263081</c:v>
                </c:pt>
                <c:pt idx="7">
                  <c:v>1095.2586127926913</c:v>
                </c:pt>
                <c:pt idx="8">
                  <c:v>486.56442418085936</c:v>
                </c:pt>
                <c:pt idx="9">
                  <c:v>846.3723892872755</c:v>
                </c:pt>
                <c:pt idx="10">
                  <c:v>1264.0357723663781</c:v>
                </c:pt>
                <c:pt idx="11">
                  <c:v>1317.0151896054276</c:v>
                </c:pt>
                <c:pt idx="12">
                  <c:v>1190.4281244645351</c:v>
                </c:pt>
                <c:pt idx="13">
                  <c:v>1418.9395140062052</c:v>
                </c:pt>
                <c:pt idx="14">
                  <c:v>870.08166635970929</c:v>
                </c:pt>
                <c:pt idx="15">
                  <c:v>814.63326681309638</c:v>
                </c:pt>
                <c:pt idx="16">
                  <c:v>1281.4930530096999</c:v>
                </c:pt>
                <c:pt idx="17">
                  <c:v>1609.4619751704843</c:v>
                </c:pt>
                <c:pt idx="18">
                  <c:v>858.02139704930357</c:v>
                </c:pt>
                <c:pt idx="19">
                  <c:v>1699.2531615909886</c:v>
                </c:pt>
                <c:pt idx="20">
                  <c:v>1742.9792459779485</c:v>
                </c:pt>
                <c:pt idx="21">
                  <c:v>1785.9858941207722</c:v>
                </c:pt>
                <c:pt idx="22">
                  <c:v>1559.9174169917712</c:v>
                </c:pt>
                <c:pt idx="23">
                  <c:v>1869.9964545771375</c:v>
                </c:pt>
                <c:pt idx="24">
                  <c:v>1911.0695259454794</c:v>
                </c:pt>
                <c:pt idx="25">
                  <c:v>1331.3608272224942</c:v>
                </c:pt>
                <c:pt idx="26">
                  <c:v>1252.3660489893368</c:v>
                </c:pt>
                <c:pt idx="27">
                  <c:v>2027.1841322321566</c:v>
                </c:pt>
                <c:pt idx="28">
                  <c:v>2058.7584421271213</c:v>
                </c:pt>
                <c:pt idx="29">
                  <c:v>2090.0131641342746</c:v>
                </c:pt>
                <c:pt idx="30">
                  <c:v>2120.9593415122058</c:v>
                </c:pt>
                <c:pt idx="31">
                  <c:v>2151.6073790621344</c:v>
                </c:pt>
                <c:pt idx="32">
                  <c:v>2181.9670941935242</c:v>
                </c:pt>
                <c:pt idx="33">
                  <c:v>2212.0477628251388</c:v>
                </c:pt>
                <c:pt idx="34">
                  <c:v>2241.8581607482483</c:v>
                </c:pt>
                <c:pt idx="35">
                  <c:v>2050.6003222362569</c:v>
                </c:pt>
                <c:pt idx="36">
                  <c:v>2300.7009676446642</c:v>
                </c:pt>
                <c:pt idx="37">
                  <c:v>2329.7487465647068</c:v>
                </c:pt>
                <c:pt idx="38">
                  <c:v>2358.5570532769525</c:v>
                </c:pt>
                <c:pt idx="39">
                  <c:v>2387.1326584110802</c:v>
                </c:pt>
                <c:pt idx="40">
                  <c:v>1475.4306984111331</c:v>
                </c:pt>
                <c:pt idx="41">
                  <c:v>2443.6112592901345</c:v>
                </c:pt>
                <c:pt idx="42">
                  <c:v>2471.5262710387583</c:v>
                </c:pt>
                <c:pt idx="43">
                  <c:v>2499.232650523456</c:v>
                </c:pt>
                <c:pt idx="44">
                  <c:v>2197.7751313357739</c:v>
                </c:pt>
                <c:pt idx="45">
                  <c:v>2554.0407116127312</c:v>
                </c:pt>
                <c:pt idx="46">
                  <c:v>2581.1524275629363</c:v>
                </c:pt>
                <c:pt idx="47">
                  <c:v>2611.2308556667444</c:v>
                </c:pt>
                <c:pt idx="48">
                  <c:v>2644.2089867255067</c:v>
                </c:pt>
                <c:pt idx="49">
                  <c:v>2676.9151649320302</c:v>
                </c:pt>
                <c:pt idx="50">
                  <c:v>2709.3570814212821</c:v>
                </c:pt>
                <c:pt idx="51">
                  <c:v>2741.5420618113021</c:v>
                </c:pt>
                <c:pt idx="52">
                  <c:v>1541.7628356239823</c:v>
                </c:pt>
                <c:pt idx="53">
                  <c:v>2805.1688319521268</c:v>
                </c:pt>
                <c:pt idx="54">
                  <c:v>2836.6236526355497</c:v>
                </c:pt>
                <c:pt idx="55">
                  <c:v>2867.8476380288012</c:v>
                </c:pt>
                <c:pt idx="56">
                  <c:v>2898.8466106175483</c:v>
                </c:pt>
                <c:pt idx="57">
                  <c:v>2929.6261455664394</c:v>
                </c:pt>
                <c:pt idx="58">
                  <c:v>2960.1915853435453</c:v>
                </c:pt>
                <c:pt idx="59">
                  <c:v>2990.5480532447964</c:v>
                </c:pt>
                <c:pt idx="60">
                  <c:v>3020.7004659182371</c:v>
                </c:pt>
                <c:pt idx="61">
                  <c:v>3050.6535449773783</c:v>
                </c:pt>
                <c:pt idx="62">
                  <c:v>3080.4118277836524</c:v>
                </c:pt>
                <c:pt idx="63">
                  <c:v>3109.9796774697438</c:v>
                </c:pt>
                <c:pt idx="64">
                  <c:v>2626.1122696558841</c:v>
                </c:pt>
                <c:pt idx="65">
                  <c:v>3168.5607142046433</c:v>
                </c:pt>
                <c:pt idx="66">
                  <c:v>3197.5818372045501</c:v>
                </c:pt>
                <c:pt idx="67">
                  <c:v>3226.4284146668501</c:v>
                </c:pt>
                <c:pt idx="68">
                  <c:v>2045.275170481357</c:v>
                </c:pt>
                <c:pt idx="69">
                  <c:v>1941.2351782153385</c:v>
                </c:pt>
                <c:pt idx="70">
                  <c:v>3298.4794786242637</c:v>
                </c:pt>
                <c:pt idx="71">
                  <c:v>3321.3686070471645</c:v>
                </c:pt>
                <c:pt idx="72">
                  <c:v>1920.7115563794671</c:v>
                </c:pt>
                <c:pt idx="73">
                  <c:v>2117.2502242645724</c:v>
                </c:pt>
              </c:numCache>
            </c:numRef>
          </c:xVal>
          <c:yVal>
            <c:numRef>
              <c:f>'SPT-01'!$A$2:$A$75</c:f>
              <c:numCache>
                <c:formatCode>General</c:formatCode>
                <c:ptCount val="74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BC-4D2E-A6D3-04129CD40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'SPT-02'!$N$2:$N$90</c:f>
              <c:numCache>
                <c:formatCode>General</c:formatCode>
                <c:ptCount val="89"/>
                <c:pt idx="0">
                  <c:v>93.785924949095019</c:v>
                </c:pt>
                <c:pt idx="1">
                  <c:v>132.76051583360774</c:v>
                </c:pt>
                <c:pt idx="2">
                  <c:v>159.99567280679383</c:v>
                </c:pt>
                <c:pt idx="3">
                  <c:v>195.11690710484453</c:v>
                </c:pt>
                <c:pt idx="4">
                  <c:v>137.03864786622012</c:v>
                </c:pt>
                <c:pt idx="5">
                  <c:v>247.26522833515514</c:v>
                </c:pt>
                <c:pt idx="6">
                  <c:v>198.28031676251891</c:v>
                </c:pt>
                <c:pt idx="7">
                  <c:v>80.308044472560439</c:v>
                </c:pt>
                <c:pt idx="8">
                  <c:v>271.33457278059922</c:v>
                </c:pt>
                <c:pt idx="9">
                  <c:v>301.93705399482195</c:v>
                </c:pt>
                <c:pt idx="10">
                  <c:v>312.94861345780356</c:v>
                </c:pt>
                <c:pt idx="11">
                  <c:v>323.6970210046839</c:v>
                </c:pt>
                <c:pt idx="12">
                  <c:v>334.2027144039053</c:v>
                </c:pt>
                <c:pt idx="13">
                  <c:v>344.483559211299</c:v>
                </c:pt>
                <c:pt idx="14">
                  <c:v>354.55528422470559</c:v>
                </c:pt>
                <c:pt idx="15">
                  <c:v>280.32364653856121</c:v>
                </c:pt>
                <c:pt idx="16">
                  <c:v>374.12560523011979</c:v>
                </c:pt>
                <c:pt idx="17">
                  <c:v>306.38008579703722</c:v>
                </c:pt>
                <c:pt idx="18">
                  <c:v>308.42323797183593</c:v>
                </c:pt>
                <c:pt idx="19">
                  <c:v>332.74642200798377</c:v>
                </c:pt>
                <c:pt idx="20">
                  <c:v>373.83306543455916</c:v>
                </c:pt>
                <c:pt idx="21">
                  <c:v>420.20665552073763</c:v>
                </c:pt>
                <c:pt idx="22">
                  <c:v>429.00344851587704</c:v>
                </c:pt>
                <c:pt idx="23">
                  <c:v>437.67653503609387</c:v>
                </c:pt>
                <c:pt idx="24">
                  <c:v>446.2316983226583</c:v>
                </c:pt>
                <c:pt idx="25">
                  <c:v>454.67427429692697</c:v>
                </c:pt>
                <c:pt idx="26">
                  <c:v>463.00919899867034</c:v>
                </c:pt>
                <c:pt idx="27">
                  <c:v>357.80037213111058</c:v>
                </c:pt>
                <c:pt idx="28">
                  <c:v>479.37408079118524</c:v>
                </c:pt>
                <c:pt idx="29">
                  <c:v>487.4122549663453</c:v>
                </c:pt>
                <c:pt idx="30">
                  <c:v>495.35927086389722</c:v>
                </c:pt>
                <c:pt idx="31">
                  <c:v>503.21858723580334</c:v>
                </c:pt>
                <c:pt idx="32">
                  <c:v>510.99344439796283</c:v>
                </c:pt>
                <c:pt idx="33">
                  <c:v>518.68688325236474</c:v>
                </c:pt>
                <c:pt idx="34">
                  <c:v>526.30176222021669</c:v>
                </c:pt>
                <c:pt idx="35">
                  <c:v>533.84077236052156</c:v>
                </c:pt>
                <c:pt idx="36">
                  <c:v>541.30645090714177</c:v>
                </c:pt>
                <c:pt idx="37">
                  <c:v>548.7011934225294</c:v>
                </c:pt>
                <c:pt idx="38">
                  <c:v>399.83398756724682</c:v>
                </c:pt>
                <c:pt idx="39">
                  <c:v>405.20506380532947</c:v>
                </c:pt>
                <c:pt idx="40">
                  <c:v>570.48185771907015</c:v>
                </c:pt>
                <c:pt idx="41">
                  <c:v>472.73294655702153</c:v>
                </c:pt>
                <c:pt idx="42">
                  <c:v>478.62072557399642</c:v>
                </c:pt>
                <c:pt idx="43">
                  <c:v>408.84985397499997</c:v>
                </c:pt>
                <c:pt idx="44">
                  <c:v>598.65425770479283</c:v>
                </c:pt>
                <c:pt idx="45">
                  <c:v>605.5539208724025</c:v>
                </c:pt>
                <c:pt idx="46">
                  <c:v>512.85648896210125</c:v>
                </c:pt>
                <c:pt idx="47">
                  <c:v>520.67983104738755</c:v>
                </c:pt>
                <c:pt idx="48">
                  <c:v>528.44259115674583</c:v>
                </c:pt>
                <c:pt idx="49">
                  <c:v>536.1465701564457</c:v>
                </c:pt>
                <c:pt idx="50">
                  <c:v>543.79347750366526</c:v>
                </c:pt>
                <c:pt idx="51">
                  <c:v>551.3849377274986</c:v>
                </c:pt>
                <c:pt idx="52">
                  <c:v>448.9712641926032</c:v>
                </c:pt>
                <c:pt idx="53">
                  <c:v>668.01654279554327</c:v>
                </c:pt>
                <c:pt idx="54">
                  <c:v>674.41400473267686</c:v>
                </c:pt>
                <c:pt idx="55">
                  <c:v>680.76953575477819</c:v>
                </c:pt>
                <c:pt idx="56">
                  <c:v>687.08406585035198</c:v>
                </c:pt>
                <c:pt idx="57">
                  <c:v>693.35849029985457</c:v>
                </c:pt>
                <c:pt idx="58">
                  <c:v>611.49870111034977</c:v>
                </c:pt>
                <c:pt idx="59">
                  <c:v>705.79044055213126</c:v>
                </c:pt>
                <c:pt idx="60">
                  <c:v>711.94959903137601</c:v>
                </c:pt>
                <c:pt idx="61">
                  <c:v>718.07192026689233</c:v>
                </c:pt>
                <c:pt idx="62">
                  <c:v>514.24622659336649</c:v>
                </c:pt>
                <c:pt idx="63">
                  <c:v>730.20901175583231</c:v>
                </c:pt>
                <c:pt idx="64">
                  <c:v>736.22519986449822</c:v>
                </c:pt>
                <c:pt idx="65">
                  <c:v>742.20738879526311</c:v>
                </c:pt>
                <c:pt idx="66">
                  <c:v>748.15623013223569</c:v>
                </c:pt>
                <c:pt idx="67">
                  <c:v>754.07235440267402</c:v>
                </c:pt>
                <c:pt idx="68">
                  <c:v>759.95637202712851</c:v>
                </c:pt>
                <c:pt idx="69">
                  <c:v>609.14777245664175</c:v>
                </c:pt>
                <c:pt idx="70">
                  <c:v>771.63043380778481</c:v>
                </c:pt>
                <c:pt idx="71">
                  <c:v>777.42160607875826</c:v>
                </c:pt>
                <c:pt idx="72">
                  <c:v>783.18292948323892</c:v>
                </c:pt>
                <c:pt idx="73">
                  <c:v>788.91492637166004</c:v>
                </c:pt>
                <c:pt idx="74">
                  <c:v>685.49765086917876</c:v>
                </c:pt>
                <c:pt idx="75">
                  <c:v>692.23600979591652</c:v>
                </c:pt>
                <c:pt idx="76">
                  <c:v>698.94047247233595</c:v>
                </c:pt>
                <c:pt idx="77">
                  <c:v>705.61169853300021</c:v>
                </c:pt>
                <c:pt idx="78">
                  <c:v>712.25032552880702</c:v>
                </c:pt>
                <c:pt idx="79">
                  <c:v>718.85696996710294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D5-4628-A520-C9396EC073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'SPT-02'!$O$2:$O$90</c:f>
              <c:numCache>
                <c:formatCode>General</c:formatCode>
                <c:ptCount val="89"/>
                <c:pt idx="0">
                  <c:v>101.7677057958265</c:v>
                </c:pt>
                <c:pt idx="1">
                  <c:v>144.05928313859565</c:v>
                </c:pt>
                <c:pt idx="2">
                  <c:v>173.61232581162741</c:v>
                </c:pt>
                <c:pt idx="3">
                  <c:v>211.72260132653346</c:v>
                </c:pt>
                <c:pt idx="4">
                  <c:v>148.70151151440908</c:v>
                </c:pt>
                <c:pt idx="5">
                  <c:v>268.30907755516836</c:v>
                </c:pt>
                <c:pt idx="6">
                  <c:v>215.15523733805247</c:v>
                </c:pt>
                <c:pt idx="7">
                  <c:v>87.142771661714534</c:v>
                </c:pt>
                <c:pt idx="8">
                  <c:v>294.42687684703321</c:v>
                </c:pt>
                <c:pt idx="9">
                  <c:v>327.63382454757283</c:v>
                </c:pt>
                <c:pt idx="10">
                  <c:v>339.58253800740385</c:v>
                </c:pt>
                <c:pt idx="11">
                  <c:v>351.24570364338041</c:v>
                </c:pt>
                <c:pt idx="12">
                  <c:v>362.64549860849309</c:v>
                </c:pt>
                <c:pt idx="13">
                  <c:v>373.80130893140955</c:v>
                </c:pt>
                <c:pt idx="14">
                  <c:v>384.73020203106364</c:v>
                </c:pt>
                <c:pt idx="15">
                  <c:v>304.18097815886432</c:v>
                </c:pt>
                <c:pt idx="16">
                  <c:v>405.96608227098113</c:v>
                </c:pt>
                <c:pt idx="17">
                  <c:v>332.45498671593407</c:v>
                </c:pt>
                <c:pt idx="18">
                  <c:v>334.67202418220495</c:v>
                </c:pt>
                <c:pt idx="19">
                  <c:v>361.06526643419511</c:v>
                </c:pt>
                <c:pt idx="20">
                  <c:v>405.64864547154298</c:v>
                </c:pt>
                <c:pt idx="21">
                  <c:v>455.96892407569402</c:v>
                </c:pt>
                <c:pt idx="22">
                  <c:v>465.51438030446229</c:v>
                </c:pt>
                <c:pt idx="23">
                  <c:v>474.92560184767638</c:v>
                </c:pt>
                <c:pt idx="24">
                  <c:v>484.20886413735269</c:v>
                </c:pt>
                <c:pt idx="25">
                  <c:v>493.36995721581445</c:v>
                </c:pt>
                <c:pt idx="26">
                  <c:v>502.41423721132315</c:v>
                </c:pt>
                <c:pt idx="27">
                  <c:v>388.25146763163065</c:v>
                </c:pt>
                <c:pt idx="28">
                  <c:v>520.17187490107347</c:v>
                </c:pt>
                <c:pt idx="29">
                  <c:v>528.89414900603435</c:v>
                </c:pt>
                <c:pt idx="30">
                  <c:v>537.51750668210127</c:v>
                </c:pt>
                <c:pt idx="31">
                  <c:v>546.04570104310585</c:v>
                </c:pt>
                <c:pt idx="32">
                  <c:v>554.48224817651283</c:v>
                </c:pt>
                <c:pt idx="33">
                  <c:v>562.83044778448084</c:v>
                </c:pt>
                <c:pt idx="34">
                  <c:v>571.09340155810753</c:v>
                </c:pt>
                <c:pt idx="35">
                  <c:v>579.27402958269363</c:v>
                </c:pt>
                <c:pt idx="36">
                  <c:v>587.37508502689855</c:v>
                </c:pt>
                <c:pt idx="37">
                  <c:v>595.39916733082975</c:v>
                </c:pt>
                <c:pt idx="38">
                  <c:v>433.86241204105505</c:v>
                </c:pt>
                <c:pt idx="39">
                  <c:v>439.69060115046392</c:v>
                </c:pt>
                <c:pt idx="40">
                  <c:v>619.03350518452294</c:v>
                </c:pt>
                <c:pt idx="41">
                  <c:v>512.96553775336383</c:v>
                </c:pt>
                <c:pt idx="42">
                  <c:v>519.35440434625139</c:v>
                </c:pt>
                <c:pt idx="43">
                  <c:v>443.64558622819152</c:v>
                </c:pt>
                <c:pt idx="44">
                  <c:v>649.60355623286046</c:v>
                </c:pt>
                <c:pt idx="45">
                  <c:v>657.09042477643675</c:v>
                </c:pt>
                <c:pt idx="46">
                  <c:v>556.50384972483334</c:v>
                </c:pt>
                <c:pt idx="47">
                  <c:v>564.99300815780362</c:v>
                </c:pt>
                <c:pt idx="48">
                  <c:v>573.41642870200087</c:v>
                </c:pt>
                <c:pt idx="49">
                  <c:v>581.77606548890913</c:v>
                </c:pt>
                <c:pt idx="50">
                  <c:v>590.07377346142403</c:v>
                </c:pt>
                <c:pt idx="51">
                  <c:v>598.31131540643469</c:v>
                </c:pt>
                <c:pt idx="52">
                  <c:v>487.18158454942056</c:v>
                </c:pt>
                <c:pt idx="53">
                  <c:v>724.8690145228237</c:v>
                </c:pt>
                <c:pt idx="54">
                  <c:v>731.81094130567089</c:v>
                </c:pt>
                <c:pt idx="55">
                  <c:v>738.70736858497207</c:v>
                </c:pt>
                <c:pt idx="56">
                  <c:v>745.55930549719051</c:v>
                </c:pt>
                <c:pt idx="57">
                  <c:v>752.36772351686363</c:v>
                </c:pt>
                <c:pt idx="58">
                  <c:v>663.5411437580392</c:v>
                </c:pt>
                <c:pt idx="59">
                  <c:v>765.8577120884828</c:v>
                </c:pt>
                <c:pt idx="60">
                  <c:v>772.54105426808894</c:v>
                </c:pt>
                <c:pt idx="61">
                  <c:v>779.18442411939384</c:v>
                </c:pt>
                <c:pt idx="62">
                  <c:v>558.01186289918496</c:v>
                </c:pt>
                <c:pt idx="63">
                  <c:v>792.35445956483943</c:v>
                </c:pt>
                <c:pt idx="64">
                  <c:v>798.88266368275333</c:v>
                </c:pt>
                <c:pt idx="65">
                  <c:v>805.3739750757112</c:v>
                </c:pt>
                <c:pt idx="66">
                  <c:v>811.8291007817877</c:v>
                </c:pt>
                <c:pt idx="67">
                  <c:v>818.24872499013566</c:v>
                </c:pt>
                <c:pt idx="68">
                  <c:v>824.6335100719906</c:v>
                </c:pt>
                <c:pt idx="69">
                  <c:v>660.99013606997312</c:v>
                </c:pt>
                <c:pt idx="70">
                  <c:v>837.30110902546869</c:v>
                </c:pt>
                <c:pt idx="71">
                  <c:v>843.58514702163131</c:v>
                </c:pt>
                <c:pt idx="72">
                  <c:v>849.83679582223817</c:v>
                </c:pt>
                <c:pt idx="73">
                  <c:v>856.05662223307809</c:v>
                </c:pt>
                <c:pt idx="74">
                  <c:v>743.83787647506631</c:v>
                </c:pt>
                <c:pt idx="75">
                  <c:v>751.14971275727112</c:v>
                </c:pt>
                <c:pt idx="76">
                  <c:v>758.42476800189638</c:v>
                </c:pt>
                <c:pt idx="77">
                  <c:v>765.6637579826172</c:v>
                </c:pt>
                <c:pt idx="78">
                  <c:v>772.86737450998214</c:v>
                </c:pt>
                <c:pt idx="79">
                  <c:v>780.03628656004798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D5-4628-A520-C9396EC073F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'SPT-02'!$P$2:$P$90</c:f>
              <c:numCache>
                <c:formatCode>General</c:formatCode>
                <c:ptCount val="89"/>
                <c:pt idx="0">
                  <c:v>117.48183683782914</c:v>
                </c:pt>
                <c:pt idx="1">
                  <c:v>166.30373127029057</c:v>
                </c:pt>
                <c:pt idx="2">
                  <c:v>200.42011141489337</c:v>
                </c:pt>
                <c:pt idx="3">
                  <c:v>244.41506182548346</c:v>
                </c:pt>
                <c:pt idx="4">
                  <c:v>171.66277432178106</c:v>
                </c:pt>
                <c:pt idx="5">
                  <c:v>309.73915570706936</c:v>
                </c:pt>
                <c:pt idx="6">
                  <c:v>248.37773722113408</c:v>
                </c:pt>
                <c:pt idx="7">
                  <c:v>100.59864081536163</c:v>
                </c:pt>
                <c:pt idx="8">
                  <c:v>339.88985047782512</c:v>
                </c:pt>
                <c:pt idx="9">
                  <c:v>378.22434157330088</c:v>
                </c:pt>
                <c:pt idx="10">
                  <c:v>392.01807696442944</c:v>
                </c:pt>
                <c:pt idx="11">
                  <c:v>405.48217258831414</c:v>
                </c:pt>
                <c:pt idx="12">
                  <c:v>418.64223001127505</c:v>
                </c:pt>
                <c:pt idx="13">
                  <c:v>431.52062869287715</c:v>
                </c:pt>
                <c:pt idx="14">
                  <c:v>444.13707146233077</c:v>
                </c:pt>
                <c:pt idx="15">
                  <c:v>351.150099786336</c:v>
                </c:pt>
                <c:pt idx="16">
                  <c:v>468.65202144517673</c:v>
                </c:pt>
                <c:pt idx="17">
                  <c:v>383.78994790001212</c:v>
                </c:pt>
                <c:pt idx="18">
                  <c:v>386.34932203386899</c:v>
                </c:pt>
                <c:pt idx="19">
                  <c:v>416.81799139829877</c:v>
                </c:pt>
                <c:pt idx="20">
                  <c:v>468.28556866935475</c:v>
                </c:pt>
                <c:pt idx="21">
                  <c:v>526.37589029326443</c:v>
                </c:pt>
                <c:pt idx="22">
                  <c:v>537.39527726323956</c:v>
                </c:pt>
                <c:pt idx="23">
                  <c:v>548.25970213297933</c:v>
                </c:pt>
                <c:pt idx="24">
                  <c:v>558.97640933503214</c:v>
                </c:pt>
                <c:pt idx="25">
                  <c:v>569.55208296237402</c:v>
                </c:pt>
                <c:pt idx="26">
                  <c:v>579.99290619248336</c:v>
                </c:pt>
                <c:pt idx="27">
                  <c:v>448.20206189827945</c:v>
                </c:pt>
                <c:pt idx="28">
                  <c:v>600.49253205491561</c:v>
                </c:pt>
                <c:pt idx="29">
                  <c:v>610.56162789667189</c:v>
                </c:pt>
                <c:pt idx="30">
                  <c:v>620.51653344919043</c:v>
                </c:pt>
                <c:pt idx="31">
                  <c:v>630.36158135123242</c:v>
                </c:pt>
                <c:pt idx="32">
                  <c:v>640.10083061553325</c:v>
                </c:pt>
                <c:pt idx="33">
                  <c:v>649.73809045708447</c:v>
                </c:pt>
                <c:pt idx="34">
                  <c:v>659.27694150458001</c:v>
                </c:pt>
                <c:pt idx="35">
                  <c:v>668.72075473884479</c:v>
                </c:pt>
                <c:pt idx="36">
                  <c:v>678.07270845016967</c:v>
                </c:pt>
                <c:pt idx="37">
                  <c:v>687.33580346279609</c:v>
                </c:pt>
                <c:pt idx="38">
                  <c:v>500.85587272386505</c:v>
                </c:pt>
                <c:pt idx="39">
                  <c:v>507.58400279869727</c:v>
                </c:pt>
                <c:pt idx="40">
                  <c:v>714.61956113213307</c:v>
                </c:pt>
                <c:pt idx="41">
                  <c:v>592.17345167116264</c:v>
                </c:pt>
                <c:pt idx="42">
                  <c:v>599.54883442912842</c:v>
                </c:pt>
                <c:pt idx="43">
                  <c:v>512.14968410166227</c:v>
                </c:pt>
                <c:pt idx="44">
                  <c:v>749.90998770999317</c:v>
                </c:pt>
                <c:pt idx="45">
                  <c:v>758.55291683750431</c:v>
                </c:pt>
                <c:pt idx="46">
                  <c:v>642.43459122646198</c:v>
                </c:pt>
                <c:pt idx="47">
                  <c:v>652.23457559393501</c:v>
                </c:pt>
                <c:pt idx="48">
                  <c:v>661.95867136922163</c:v>
                </c:pt>
                <c:pt idx="49">
                  <c:v>671.60913442469666</c:v>
                </c:pt>
                <c:pt idx="50">
                  <c:v>681.18810612826167</c:v>
                </c:pt>
                <c:pt idx="51">
                  <c:v>690.69762146183996</c:v>
                </c:pt>
                <c:pt idx="52">
                  <c:v>562.40815275190459</c:v>
                </c:pt>
                <c:pt idx="53">
                  <c:v>836.79731823590669</c:v>
                </c:pt>
                <c:pt idx="54">
                  <c:v>844.81116018375224</c:v>
                </c:pt>
                <c:pt idx="55">
                  <c:v>852.77247696941629</c:v>
                </c:pt>
                <c:pt idx="56">
                  <c:v>860.68243355190361</c:v>
                </c:pt>
                <c:pt idx="57">
                  <c:v>868.54215141284976</c:v>
                </c:pt>
                <c:pt idx="58">
                  <c:v>765.99970272067765</c:v>
                </c:pt>
                <c:pt idx="59">
                  <c:v>884.11515292567503</c:v>
                </c:pt>
                <c:pt idx="60">
                  <c:v>891.83048176536727</c:v>
                </c:pt>
                <c:pt idx="61">
                  <c:v>899.49966607900615</c:v>
                </c:pt>
                <c:pt idx="62">
                  <c:v>644.17545937626494</c:v>
                </c:pt>
                <c:pt idx="63">
                  <c:v>914.70330993882192</c:v>
                </c:pt>
                <c:pt idx="64">
                  <c:v>922.23954557494324</c:v>
                </c:pt>
                <c:pt idx="65">
                  <c:v>929.73319181534305</c:v>
                </c:pt>
                <c:pt idx="66">
                  <c:v>937.18506487309321</c:v>
                </c:pt>
                <c:pt idx="67">
                  <c:v>944.59595458420074</c:v>
                </c:pt>
                <c:pt idx="68">
                  <c:v>951.96662559781259</c:v>
                </c:pt>
                <c:pt idx="69">
                  <c:v>763.05478943371884</c:v>
                </c:pt>
                <c:pt idx="70">
                  <c:v>966.59025086028373</c:v>
                </c:pt>
                <c:pt idx="71">
                  <c:v>973.8446182529126</c:v>
                </c:pt>
                <c:pt idx="72">
                  <c:v>981.06159517714241</c:v>
                </c:pt>
                <c:pt idx="73">
                  <c:v>988.24183596024443</c:v>
                </c:pt>
                <c:pt idx="74">
                  <c:v>858.69519563665744</c:v>
                </c:pt>
                <c:pt idx="75">
                  <c:v>867.13606546243784</c:v>
                </c:pt>
                <c:pt idx="76">
                  <c:v>875.53447482571858</c:v>
                </c:pt>
                <c:pt idx="77">
                  <c:v>883.89125002405081</c:v>
                </c:pt>
                <c:pt idx="78">
                  <c:v>892.20718969167058</c:v>
                </c:pt>
                <c:pt idx="79">
                  <c:v>900.48306610240832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D5-4628-A520-C9396EC0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'SPT-02'!$Q$2:$Q$90</c:f>
              <c:numCache>
                <c:formatCode>General</c:formatCode>
                <c:ptCount val="89"/>
                <c:pt idx="0">
                  <c:v>589.95376917154124</c:v>
                </c:pt>
                <c:pt idx="1">
                  <c:v>844.6380755729358</c:v>
                </c:pt>
                <c:pt idx="2">
                  <c:v>1096.6233376672753</c:v>
                </c:pt>
                <c:pt idx="3">
                  <c:v>1450.5891387928848</c:v>
                </c:pt>
                <c:pt idx="4">
                  <c:v>1261.5451129731359</c:v>
                </c:pt>
                <c:pt idx="5">
                  <c:v>2071.6482871837916</c:v>
                </c:pt>
                <c:pt idx="6">
                  <c:v>2335.4963089993207</c:v>
                </c:pt>
                <c:pt idx="7">
                  <c:v>1667.4558350015759</c:v>
                </c:pt>
                <c:pt idx="8">
                  <c:v>2713.8109430176291</c:v>
                </c:pt>
                <c:pt idx="9">
                  <c:v>3172.6531508957005</c:v>
                </c:pt>
                <c:pt idx="10">
                  <c:v>3535.8820013111954</c:v>
                </c:pt>
                <c:pt idx="11">
                  <c:v>3908.6871970032803</c:v>
                </c:pt>
                <c:pt idx="12">
                  <c:v>4290.9164196972333</c:v>
                </c:pt>
                <c:pt idx="13">
                  <c:v>4682.4238848930763</c:v>
                </c:pt>
                <c:pt idx="14">
                  <c:v>5083.0701182457642</c:v>
                </c:pt>
                <c:pt idx="15">
                  <c:v>4944.6436331549576</c:v>
                </c:pt>
                <c:pt idx="16">
                  <c:v>5827.1426739670451</c:v>
                </c:pt>
                <c:pt idx="17">
                  <c:v>5748.0445182674393</c:v>
                </c:pt>
                <c:pt idx="18">
                  <c:v>6058.2006497628226</c:v>
                </c:pt>
                <c:pt idx="19">
                  <c:v>6515.2076582885802</c:v>
                </c:pt>
                <c:pt idx="20">
                  <c:v>7108.0098663572062</c:v>
                </c:pt>
                <c:pt idx="21">
                  <c:v>7780.0761176745382</c:v>
                </c:pt>
                <c:pt idx="22">
                  <c:v>8249.471767275114</c:v>
                </c:pt>
                <c:pt idx="23">
                  <c:v>8726.986505272449</c:v>
                </c:pt>
                <c:pt idx="24">
                  <c:v>9212.5281247628245</c:v>
                </c:pt>
                <c:pt idx="25">
                  <c:v>9706.0077737556348</c:v>
                </c:pt>
                <c:pt idx="26">
                  <c:v>10207.339764783434</c:v>
                </c:pt>
                <c:pt idx="27">
                  <c:v>9963.2147676568948</c:v>
                </c:pt>
                <c:pt idx="28">
                  <c:v>11119.792118091929</c:v>
                </c:pt>
                <c:pt idx="29">
                  <c:v>11644.196073140713</c:v>
                </c:pt>
                <c:pt idx="30">
                  <c:v>12176.137904938769</c:v>
                </c:pt>
                <c:pt idx="31">
                  <c:v>12715.545327494039</c:v>
                </c:pt>
                <c:pt idx="32">
                  <c:v>13262.348325682962</c:v>
                </c:pt>
                <c:pt idx="33">
                  <c:v>13816.479040018123</c:v>
                </c:pt>
                <c:pt idx="34">
                  <c:v>14377.871659124008</c:v>
                </c:pt>
                <c:pt idx="35">
                  <c:v>14946.462319316943</c:v>
                </c:pt>
                <c:pt idx="36">
                  <c:v>15522.189010734501</c:v>
                </c:pt>
                <c:pt idx="37">
                  <c:v>16104.99148950551</c:v>
                </c:pt>
                <c:pt idx="38">
                  <c:v>15647.939874803673</c:v>
                </c:pt>
                <c:pt idx="39">
                  <c:v>16074.806944020991</c:v>
                </c:pt>
                <c:pt idx="40">
                  <c:v>17581.000987185522</c:v>
                </c:pt>
                <c:pt idx="41">
                  <c:v>17480.909867878654</c:v>
                </c:pt>
                <c:pt idx="42">
                  <c:v>17984.633417800942</c:v>
                </c:pt>
                <c:pt idx="43">
                  <c:v>17993.789334306864</c:v>
                </c:pt>
                <c:pt idx="44">
                  <c:v>19669.934750971155</c:v>
                </c:pt>
                <c:pt idx="45">
                  <c:v>20307.361732215708</c:v>
                </c:pt>
                <c:pt idx="46">
                  <c:v>20855.552143090848</c:v>
                </c:pt>
                <c:pt idx="47">
                  <c:v>21414.940852304608</c:v>
                </c:pt>
                <c:pt idx="48">
                  <c:v>21981.741792548579</c:v>
                </c:pt>
                <c:pt idx="49">
                  <c:v>22555.9070472614</c:v>
                </c:pt>
                <c:pt idx="50">
                  <c:v>23137.389844532412</c:v>
                </c:pt>
                <c:pt idx="51">
                  <c:v>23726.144512890442</c:v>
                </c:pt>
                <c:pt idx="52">
                  <c:v>22982.915073579257</c:v>
                </c:pt>
                <c:pt idx="53">
                  <c:v>24906.477702580487</c:v>
                </c:pt>
                <c:pt idx="54">
                  <c:v>25610.500419041477</c:v>
                </c:pt>
                <c:pt idx="55">
                  <c:v>26320.689411079831</c:v>
                </c:pt>
                <c:pt idx="56">
                  <c:v>27037.007845259232</c:v>
                </c:pt>
                <c:pt idx="57">
                  <c:v>27759.419628535004</c:v>
                </c:pt>
                <c:pt idx="58">
                  <c:v>27879.06661836787</c:v>
                </c:pt>
                <c:pt idx="59">
                  <c:v>29134.287453706915</c:v>
                </c:pt>
                <c:pt idx="60">
                  <c:v>29874.769763698379</c:v>
                </c:pt>
                <c:pt idx="61">
                  <c:v>30621.20797399916</c:v>
                </c:pt>
                <c:pt idx="62">
                  <c:v>29939.282598560119</c:v>
                </c:pt>
                <c:pt idx="63">
                  <c:v>31921.909810244233</c:v>
                </c:pt>
                <c:pt idx="64">
                  <c:v>32686.021679000631</c:v>
                </c:pt>
                <c:pt idx="65">
                  <c:v>33455.962048312154</c:v>
                </c:pt>
                <c:pt idx="66">
                  <c:v>34231.700494880839</c:v>
                </c:pt>
                <c:pt idx="67">
                  <c:v>35013.207131826668</c:v>
                </c:pt>
                <c:pt idx="68">
                  <c:v>35800.4525928148</c:v>
                </c:pt>
                <c:pt idx="69">
                  <c:v>35509.704481903827</c:v>
                </c:pt>
                <c:pt idx="70">
                  <c:v>37235.383931839235</c:v>
                </c:pt>
                <c:pt idx="71">
                  <c:v>38039.674647761152</c:v>
                </c:pt>
                <c:pt idx="72">
                  <c:v>38849.59163250406</c:v>
                </c:pt>
                <c:pt idx="73">
                  <c:v>39665.10790604353</c:v>
                </c:pt>
                <c:pt idx="74">
                  <c:v>40380.182227175683</c:v>
                </c:pt>
                <c:pt idx="75">
                  <c:v>41104.922394064888</c:v>
                </c:pt>
                <c:pt idx="76">
                  <c:v>41836.175774782714</c:v>
                </c:pt>
                <c:pt idx="77">
                  <c:v>42573.913014192076</c:v>
                </c:pt>
                <c:pt idx="78">
                  <c:v>43318.105261587814</c:v>
                </c:pt>
                <c:pt idx="79">
                  <c:v>44068.724156029901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9B-4AB9-8E21-099A917DD5F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'SPT-02'!$R$2:$R$90</c:f>
              <c:numCache>
                <c:formatCode>General</c:formatCode>
                <c:ptCount val="89"/>
                <c:pt idx="0">
                  <c:v>681.36200170169298</c:v>
                </c:pt>
                <c:pt idx="1">
                  <c:v>967.84553576903079</c:v>
                </c:pt>
                <c:pt idx="2">
                  <c:v>1248.914726943101</c:v>
                </c:pt>
                <c:pt idx="3">
                  <c:v>1646.1953283646874</c:v>
                </c:pt>
                <c:pt idx="4">
                  <c:v>1413.9861060158405</c:v>
                </c:pt>
                <c:pt idx="5">
                  <c:v>2339.7695982220357</c:v>
                </c:pt>
                <c:pt idx="6">
                  <c:v>2631.5171989848441</c:v>
                </c:pt>
                <c:pt idx="7">
                  <c:v>1844.4829402210694</c:v>
                </c:pt>
                <c:pt idx="8">
                  <c:v>3044.2435396440305</c:v>
                </c:pt>
                <c:pt idx="9">
                  <c:v>3555.1648005861962</c:v>
                </c:pt>
                <c:pt idx="10">
                  <c:v>3953.4817746857702</c:v>
                </c:pt>
                <c:pt idx="11">
                  <c:v>4362.0927797339027</c:v>
                </c:pt>
                <c:pt idx="12">
                  <c:v>4780.8400402387342</c:v>
                </c:pt>
                <c:pt idx="13">
                  <c:v>5209.571929612267</c:v>
                </c:pt>
                <c:pt idx="14">
                  <c:v>5648.1428863769024</c:v>
                </c:pt>
                <c:pt idx="15">
                  <c:v>5463.1644187386291</c:v>
                </c:pt>
                <c:pt idx="16">
                  <c:v>6462.982655848723</c:v>
                </c:pt>
                <c:pt idx="17">
                  <c:v>6345.1444755066314</c:v>
                </c:pt>
                <c:pt idx="18">
                  <c:v>6681.840764689794</c:v>
                </c:pt>
                <c:pt idx="19">
                  <c:v>7188.0599905960789</c:v>
                </c:pt>
                <c:pt idx="20">
                  <c:v>7849.4955991445859</c:v>
                </c:pt>
                <c:pt idx="21">
                  <c:v>8599.6721926463888</c:v>
                </c:pt>
                <c:pt idx="22">
                  <c:v>9112.3703830674931</c:v>
                </c:pt>
                <c:pt idx="23">
                  <c:v>9633.8326467813968</c:v>
                </c:pt>
                <c:pt idx="24">
                  <c:v>10163.96106484918</c:v>
                </c:pt>
                <c:pt idx="25">
                  <c:v>10702.661194276116</c:v>
                </c:pt>
                <c:pt idx="26">
                  <c:v>11249.841878813502</c:v>
                </c:pt>
                <c:pt idx="27">
                  <c:v>10934.95928678133</c:v>
                </c:pt>
                <c:pt idx="28">
                  <c:v>12246.200467815042</c:v>
                </c:pt>
                <c:pt idx="29">
                  <c:v>12818.306160280208</c:v>
                </c:pt>
                <c:pt idx="30">
                  <c:v>13398.557277965043</c:v>
                </c:pt>
                <c:pt idx="31">
                  <c:v>13986.876662744162</c:v>
                </c:pt>
                <c:pt idx="32">
                  <c:v>14583.189540127813</c:v>
                </c:pt>
                <c:pt idx="33">
                  <c:v>15187.423401212553</c:v>
                </c:pt>
                <c:pt idx="34">
                  <c:v>15799.507892230025</c:v>
                </c:pt>
                <c:pt idx="35">
                  <c:v>16419.374711139077</c:v>
                </c:pt>
                <c:pt idx="36">
                  <c:v>17046.957510744516</c:v>
                </c:pt>
                <c:pt idx="37">
                  <c:v>17682.19180786295</c:v>
                </c:pt>
                <c:pt idx="38">
                  <c:v>17115.090507518878</c:v>
                </c:pt>
                <c:pt idx="39">
                  <c:v>17580.085398177154</c:v>
                </c:pt>
                <c:pt idx="40">
                  <c:v>19292.163226182922</c:v>
                </c:pt>
                <c:pt idx="41">
                  <c:v>19135.989147174925</c:v>
                </c:pt>
                <c:pt idx="42">
                  <c:v>19684.667204742193</c:v>
                </c:pt>
                <c:pt idx="43">
                  <c:v>19661.413678174646</c:v>
                </c:pt>
                <c:pt idx="44">
                  <c:v>21569.679473192056</c:v>
                </c:pt>
                <c:pt idx="45">
                  <c:v>22264.00214548286</c:v>
                </c:pt>
                <c:pt idx="46">
                  <c:v>22861.781019035316</c:v>
                </c:pt>
                <c:pt idx="47">
                  <c:v>23471.991477794545</c:v>
                </c:pt>
                <c:pt idx="48">
                  <c:v>24090.215889501091</c:v>
                </c:pt>
                <c:pt idx="49">
                  <c:v>24716.403161728424</c:v>
                </c:pt>
                <c:pt idx="50">
                  <c:v>25350.503397218956</c:v>
                </c:pt>
                <c:pt idx="51">
                  <c:v>25992.467849291141</c:v>
                </c:pt>
                <c:pt idx="52">
                  <c:v>25086.990204968883</c:v>
                </c:pt>
                <c:pt idx="53">
                  <c:v>27278.514824616934</c:v>
                </c:pt>
                <c:pt idx="54">
                  <c:v>28044.912933605236</c:v>
                </c:pt>
                <c:pt idx="55">
                  <c:v>28817.986392716157</c:v>
                </c:pt>
                <c:pt idx="56">
                  <c:v>29597.695579801264</c:v>
                </c:pt>
                <c:pt idx="57">
                  <c:v>30384.001663254596</c:v>
                </c:pt>
                <c:pt idx="58">
                  <c:v>30472.990365520352</c:v>
                </c:pt>
                <c:pt idx="59">
                  <c:v>31880.660574174082</c:v>
                </c:pt>
                <c:pt idx="60">
                  <c:v>32686.531874873421</c:v>
                </c:pt>
                <c:pt idx="61">
                  <c:v>33498.852142218246</c:v>
                </c:pt>
                <c:pt idx="62">
                  <c:v>32659.566204513201</c:v>
                </c:pt>
                <c:pt idx="63">
                  <c:v>34914.922455144704</c:v>
                </c:pt>
                <c:pt idx="64">
                  <c:v>35746.380696648084</c:v>
                </c:pt>
                <c:pt idx="65">
                  <c:v>36584.150719760488</c:v>
                </c:pt>
                <c:pt idx="66">
                  <c:v>37428.199754786619</c:v>
                </c:pt>
                <c:pt idx="67">
                  <c:v>38278.495606287353</c:v>
                </c:pt>
                <c:pt idx="68">
                  <c:v>39135.006636207589</c:v>
                </c:pt>
                <c:pt idx="69">
                  <c:v>38744.790961618048</c:v>
                </c:pt>
                <c:pt idx="70">
                  <c:v>40696.556408066936</c:v>
                </c:pt>
                <c:pt idx="71">
                  <c:v>41571.528479861103</c:v>
                </c:pt>
                <c:pt idx="72">
                  <c:v>42452.594437579581</c:v>
                </c:pt>
                <c:pt idx="73">
                  <c:v>43339.725199867098</c:v>
                </c:pt>
                <c:pt idx="74">
                  <c:v>44118.11281505644</c:v>
                </c:pt>
                <c:pt idx="75">
                  <c:v>44907.231985657199</c:v>
                </c:pt>
                <c:pt idx="76">
                  <c:v>45703.40280576887</c:v>
                </c:pt>
                <c:pt idx="77">
                  <c:v>46506.59374424423</c:v>
                </c:pt>
                <c:pt idx="78">
                  <c:v>47316.773806244775</c:v>
                </c:pt>
                <c:pt idx="79">
                  <c:v>48133.912517855249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9B-4AB9-8E21-099A917DD5F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'SPT-02'!$S$2:$S$90</c:f>
              <c:numCache>
                <c:formatCode>General</c:formatCode>
                <c:ptCount val="89"/>
                <c:pt idx="0">
                  <c:v>890.2742313789845</c:v>
                </c:pt>
                <c:pt idx="1">
                  <c:v>1246.4769638875978</c:v>
                </c:pt>
                <c:pt idx="2">
                  <c:v>1590.1728957857483</c:v>
                </c:pt>
                <c:pt idx="3">
                  <c:v>2081.9986244046358</c:v>
                </c:pt>
                <c:pt idx="4">
                  <c:v>1745.7804202420757</c:v>
                </c:pt>
                <c:pt idx="5">
                  <c:v>2932.1521288171807</c:v>
                </c:pt>
                <c:pt idx="6">
                  <c:v>3282.6530172713224</c:v>
                </c:pt>
                <c:pt idx="7">
                  <c:v>2217.6822841860317</c:v>
                </c:pt>
                <c:pt idx="8">
                  <c:v>3764.6837647650946</c:v>
                </c:pt>
                <c:pt idx="9">
                  <c:v>4387.2913548645192</c:v>
                </c:pt>
                <c:pt idx="10">
                  <c:v>4857.6220132851749</c:v>
                </c:pt>
                <c:pt idx="11">
                  <c:v>5339.5912544131588</c:v>
                </c:pt>
                <c:pt idx="12">
                  <c:v>5833.0358336195513</c:v>
                </c:pt>
                <c:pt idx="13">
                  <c:v>6337.7972362352593</c:v>
                </c:pt>
                <c:pt idx="14">
                  <c:v>6853.7219806756866</c:v>
                </c:pt>
                <c:pt idx="15">
                  <c:v>6552.6594860658388</c:v>
                </c:pt>
                <c:pt idx="16">
                  <c:v>7813.1143806298314</c:v>
                </c:pt>
                <c:pt idx="17">
                  <c:v>7596.5134391191441</c:v>
                </c:pt>
                <c:pt idx="18">
                  <c:v>7985.5617811542888</c:v>
                </c:pt>
                <c:pt idx="19">
                  <c:v>8595.9183851820417</c:v>
                </c:pt>
                <c:pt idx="20">
                  <c:v>9405.2532379540135</c:v>
                </c:pt>
                <c:pt idx="21">
                  <c:v>10323.906020815424</c:v>
                </c:pt>
                <c:pt idx="22">
                  <c:v>10924.213044900851</c:v>
                </c:pt>
                <c:pt idx="23">
                  <c:v>11534.521629522134</c:v>
                </c:pt>
                <c:pt idx="24">
                  <c:v>12154.724110764406</c:v>
                </c:pt>
                <c:pt idx="25">
                  <c:v>12784.71642334161</c:v>
                </c:pt>
                <c:pt idx="26">
                  <c:v>13424.39792596884</c:v>
                </c:pt>
                <c:pt idx="27">
                  <c:v>12935.087908315383</c:v>
                </c:pt>
                <c:pt idx="28">
                  <c:v>14590.339515213815</c:v>
                </c:pt>
                <c:pt idx="29">
                  <c:v>15258.516534389328</c:v>
                </c:pt>
                <c:pt idx="30">
                  <c:v>15936.011215842163</c:v>
                </c:pt>
                <c:pt idx="31">
                  <c:v>16622.737708841414</c:v>
                </c:pt>
                <c:pt idx="32">
                  <c:v>17318.612711733131</c:v>
                </c:pt>
                <c:pt idx="33">
                  <c:v>18023.555353257223</c:v>
                </c:pt>
                <c:pt idx="34">
                  <c:v>18737.487080707622</c:v>
                </c:pt>
                <c:pt idx="35">
                  <c:v>19460.33155454828</c:v>
                </c:pt>
                <c:pt idx="36">
                  <c:v>20192.014549103173</c:v>
                </c:pt>
                <c:pt idx="37">
                  <c:v>20932.463858949435</c:v>
                </c:pt>
                <c:pt idx="38">
                  <c:v>20098.701448493131</c:v>
                </c:pt>
                <c:pt idx="39">
                  <c:v>20640.024503968911</c:v>
                </c:pt>
                <c:pt idx="40">
                  <c:v>22812.03649552937</c:v>
                </c:pt>
                <c:pt idx="41">
                  <c:v>22512.023791518721</c:v>
                </c:pt>
                <c:pt idx="42">
                  <c:v>23150.67083024254</c:v>
                </c:pt>
                <c:pt idx="43">
                  <c:v>23040.288363949887</c:v>
                </c:pt>
                <c:pt idx="44">
                  <c:v>25468.414670039278</c:v>
                </c:pt>
                <c:pt idx="45">
                  <c:v>26276.610583562604</c:v>
                </c:pt>
                <c:pt idx="46">
                  <c:v>26974.078539892565</c:v>
                </c:pt>
                <c:pt idx="47">
                  <c:v>27686.603049621735</c:v>
                </c:pt>
                <c:pt idx="48">
                  <c:v>28408.30569833035</c:v>
                </c:pt>
                <c:pt idx="49">
                  <c:v>29139.129775072943</c:v>
                </c:pt>
                <c:pt idx="50">
                  <c:v>29879.019830573354</c:v>
                </c:pt>
                <c:pt idx="51">
                  <c:v>30627.921634256199</c:v>
                </c:pt>
                <c:pt idx="52">
                  <c:v>29333.450815179196</c:v>
                </c:pt>
                <c:pt idx="53">
                  <c:v>32125.788940248738</c:v>
                </c:pt>
                <c:pt idx="54">
                  <c:v>33016.716324009336</c:v>
                </c:pt>
                <c:pt idx="55">
                  <c:v>33915.310255013348</c:v>
                </c:pt>
                <c:pt idx="56">
                  <c:v>34821.525864015806</c:v>
                </c:pt>
                <c:pt idx="57">
                  <c:v>35735.319162010615</c:v>
                </c:pt>
                <c:pt idx="58">
                  <c:v>35735.248942741579</c:v>
                </c:pt>
                <c:pt idx="59">
                  <c:v>37475.114091087584</c:v>
                </c:pt>
                <c:pt idx="60">
                  <c:v>38411.384901427955</c:v>
                </c:pt>
                <c:pt idx="61">
                  <c:v>39355.065691807526</c:v>
                </c:pt>
                <c:pt idx="62">
                  <c:v>38136.177417044826</c:v>
                </c:pt>
                <c:pt idx="63">
                  <c:v>41001.549781739202</c:v>
                </c:pt>
                <c:pt idx="64">
                  <c:v>41967.223431074977</c:v>
                </c:pt>
                <c:pt idx="65">
                  <c:v>42940.151353605906</c:v>
                </c:pt>
                <c:pt idx="66">
                  <c:v>43920.296330804791</c:v>
                </c:pt>
                <c:pt idx="67">
                  <c:v>44907.621787403114</c:v>
                </c:pt>
                <c:pt idx="68">
                  <c:v>45902.091772798594</c:v>
                </c:pt>
                <c:pt idx="69">
                  <c:v>45263.538814686297</c:v>
                </c:pt>
                <c:pt idx="70">
                  <c:v>47716.081515444472</c:v>
                </c:pt>
                <c:pt idx="71">
                  <c:v>48731.775366727437</c:v>
                </c:pt>
                <c:pt idx="72">
                  <c:v>49754.475844432905</c:v>
                </c:pt>
                <c:pt idx="73">
                  <c:v>50784.149867132393</c:v>
                </c:pt>
                <c:pt idx="74">
                  <c:v>51688.911381054757</c:v>
                </c:pt>
                <c:pt idx="75">
                  <c:v>52606.673390308504</c:v>
                </c:pt>
                <c:pt idx="76">
                  <c:v>53532.535934613923</c:v>
                </c:pt>
                <c:pt idx="77">
                  <c:v>54466.463425294955</c:v>
                </c:pt>
                <c:pt idx="78">
                  <c:v>55408.420864974054</c:v>
                </c:pt>
                <c:pt idx="79">
                  <c:v>56358.37383114369</c:v>
                </c:pt>
              </c:numCache>
            </c:numRef>
          </c:xVal>
          <c:yVal>
            <c:numRef>
              <c:f>'SPT-02'!$A$2:$A$90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  <c:pt idx="7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9B-4AB9-8E21-099A917DD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'SPT-03'!$N$2:$N$90</c:f>
              <c:numCache>
                <c:formatCode>General</c:formatCode>
                <c:ptCount val="89"/>
                <c:pt idx="0">
                  <c:v>73.112387232182854</c:v>
                </c:pt>
                <c:pt idx="1">
                  <c:v>53.667195939843708</c:v>
                </c:pt>
                <c:pt idx="2">
                  <c:v>41.893449013822355</c:v>
                </c:pt>
                <c:pt idx="3">
                  <c:v>78.66198624539895</c:v>
                </c:pt>
                <c:pt idx="4">
                  <c:v>153.7769918925741</c:v>
                </c:pt>
                <c:pt idx="5">
                  <c:v>214.98195422226362</c:v>
                </c:pt>
                <c:pt idx="6">
                  <c:v>211.6729560634958</c:v>
                </c:pt>
                <c:pt idx="7">
                  <c:v>237.08413765506577</c:v>
                </c:pt>
                <c:pt idx="8">
                  <c:v>211.39114892763854</c:v>
                </c:pt>
                <c:pt idx="9">
                  <c:v>193.54272046959511</c:v>
                </c:pt>
                <c:pt idx="10">
                  <c:v>242.16848824648599</c:v>
                </c:pt>
                <c:pt idx="11">
                  <c:v>172.76097340295505</c:v>
                </c:pt>
                <c:pt idx="12">
                  <c:v>165.4282678128281</c:v>
                </c:pt>
                <c:pt idx="13">
                  <c:v>265.81369505103072</c:v>
                </c:pt>
                <c:pt idx="14">
                  <c:v>251.16096125810159</c:v>
                </c:pt>
                <c:pt idx="15">
                  <c:v>224.73377256228264</c:v>
                </c:pt>
                <c:pt idx="16">
                  <c:v>297.97068952406528</c:v>
                </c:pt>
                <c:pt idx="17">
                  <c:v>216.38090196501074</c:v>
                </c:pt>
                <c:pt idx="18">
                  <c:v>318.43596456266096</c:v>
                </c:pt>
                <c:pt idx="19">
                  <c:v>328.41521553608243</c:v>
                </c:pt>
                <c:pt idx="20">
                  <c:v>338.23938107948811</c:v>
                </c:pt>
                <c:pt idx="21">
                  <c:v>332.08681723432653</c:v>
                </c:pt>
                <c:pt idx="22">
                  <c:v>357.45777923498633</c:v>
                </c:pt>
                <c:pt idx="23">
                  <c:v>293.50582194558956</c:v>
                </c:pt>
                <c:pt idx="24">
                  <c:v>376.15365715076905</c:v>
                </c:pt>
                <c:pt idx="25">
                  <c:v>338.4351746868461</c:v>
                </c:pt>
                <c:pt idx="26">
                  <c:v>321.96573005958743</c:v>
                </c:pt>
                <c:pt idx="27">
                  <c:v>258.13268672820459</c:v>
                </c:pt>
                <c:pt idx="28">
                  <c:v>343.07586484045038</c:v>
                </c:pt>
                <c:pt idx="29">
                  <c:v>401.9573631095455</c:v>
                </c:pt>
                <c:pt idx="30">
                  <c:v>522.27997364757221</c:v>
                </c:pt>
                <c:pt idx="31">
                  <c:v>433.00597901126878</c:v>
                </c:pt>
                <c:pt idx="32">
                  <c:v>537.36301812951524</c:v>
                </c:pt>
                <c:pt idx="33">
                  <c:v>544.79502483044348</c:v>
                </c:pt>
                <c:pt idx="34">
                  <c:v>552.15717696163551</c:v>
                </c:pt>
                <c:pt idx="35">
                  <c:v>559.45168130936588</c:v>
                </c:pt>
                <c:pt idx="36">
                  <c:v>463.63222537166121</c:v>
                </c:pt>
                <c:pt idx="37">
                  <c:v>469.59601545734307</c:v>
                </c:pt>
                <c:pt idx="38">
                  <c:v>580.94967764480691</c:v>
                </c:pt>
                <c:pt idx="39">
                  <c:v>587.99345096058528</c:v>
                </c:pt>
                <c:pt idx="40">
                  <c:v>487.19257816644932</c:v>
                </c:pt>
                <c:pt idx="41">
                  <c:v>601.90800960111403</c:v>
                </c:pt>
                <c:pt idx="42">
                  <c:v>608.78196089428059</c:v>
                </c:pt>
                <c:pt idx="43">
                  <c:v>515.84407182847724</c:v>
                </c:pt>
                <c:pt idx="44">
                  <c:v>523.64411661252325</c:v>
                </c:pt>
                <c:pt idx="45">
                  <c:v>531.38427668223869</c:v>
                </c:pt>
                <c:pt idx="46">
                  <c:v>539.06631727705485</c:v>
                </c:pt>
                <c:pt idx="47">
                  <c:v>546.69191476964386</c:v>
                </c:pt>
                <c:pt idx="48">
                  <c:v>554.26266291608067</c:v>
                </c:pt>
                <c:pt idx="49">
                  <c:v>561.7800785466934</c:v>
                </c:pt>
                <c:pt idx="50">
                  <c:v>569.24560675778071</c:v>
                </c:pt>
                <c:pt idx="51">
                  <c:v>576.66062565715106</c:v>
                </c:pt>
                <c:pt idx="52">
                  <c:v>497.91174890927869</c:v>
                </c:pt>
                <c:pt idx="53">
                  <c:v>694.46164389665353</c:v>
                </c:pt>
                <c:pt idx="54">
                  <c:v>700.68998693879041</c:v>
                </c:pt>
                <c:pt idx="55">
                  <c:v>706.88006142651943</c:v>
                </c:pt>
                <c:pt idx="56">
                  <c:v>713.03266380158993</c:v>
                </c:pt>
                <c:pt idx="57">
                  <c:v>719.14856258748114</c:v>
                </c:pt>
                <c:pt idx="58">
                  <c:v>725.22849975431996</c:v>
                </c:pt>
                <c:pt idx="59">
                  <c:v>731.27319199858653</c:v>
                </c:pt>
                <c:pt idx="60">
                  <c:v>737.28333194433196</c:v>
                </c:pt>
                <c:pt idx="61">
                  <c:v>743.259589271457</c:v>
                </c:pt>
                <c:pt idx="62">
                  <c:v>749.20261177656585</c:v>
                </c:pt>
                <c:pt idx="63">
                  <c:v>755.11302637127653</c:v>
                </c:pt>
                <c:pt idx="64">
                  <c:v>760.99144002228275</c:v>
                </c:pt>
                <c:pt idx="65">
                  <c:v>766.83844063757169</c:v>
                </c:pt>
                <c:pt idx="66">
                  <c:v>772.65459790225088</c:v>
                </c:pt>
                <c:pt idx="67">
                  <c:v>778.44046406760935</c:v>
                </c:pt>
                <c:pt idx="68">
                  <c:v>784.19657469658989</c:v>
                </c:pt>
                <c:pt idx="69">
                  <c:v>789.92344936841982</c:v>
                </c:pt>
                <c:pt idx="70">
                  <c:v>795.621592345404</c:v>
                </c:pt>
                <c:pt idx="71">
                  <c:v>801.29149320405406</c:v>
                </c:pt>
                <c:pt idx="72">
                  <c:v>806.93362743302509</c:v>
                </c:pt>
                <c:pt idx="73">
                  <c:v>812.54845699999112</c:v>
                </c:pt>
                <c:pt idx="74">
                  <c:v>818.13643088922106</c:v>
                </c:pt>
                <c:pt idx="75">
                  <c:v>823.69798561201969</c:v>
                </c:pt>
                <c:pt idx="76">
                  <c:v>829.23354569137109</c:v>
                </c:pt>
                <c:pt idx="77">
                  <c:v>834.74352412255178</c:v>
                </c:pt>
                <c:pt idx="78">
                  <c:v>279.46760998849385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8D-452C-878F-167D65D1FF8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'SPT-03'!$O$2:$O$90</c:f>
              <c:numCache>
                <c:formatCode>General</c:formatCode>
                <c:ptCount val="89"/>
                <c:pt idx="0">
                  <c:v>79.334718060453753</c:v>
                </c:pt>
                <c:pt idx="1">
                  <c:v>58.234616870894243</c:v>
                </c:pt>
                <c:pt idx="2">
                  <c:v>45.458848929892348</c:v>
                </c:pt>
                <c:pt idx="3">
                  <c:v>85.356623372666974</c:v>
                </c:pt>
                <c:pt idx="4">
                  <c:v>166.86439545789958</c:v>
                </c:pt>
                <c:pt idx="5">
                  <c:v>233.27829075181799</c:v>
                </c:pt>
                <c:pt idx="6">
                  <c:v>229.68767572847418</c:v>
                </c:pt>
                <c:pt idx="7">
                  <c:v>257.2615110725182</c:v>
                </c:pt>
                <c:pt idx="8">
                  <c:v>229.38188500658651</c:v>
                </c:pt>
                <c:pt idx="9">
                  <c:v>210.01444136062452</c:v>
                </c:pt>
                <c:pt idx="10">
                  <c:v>262.77857235256994</c:v>
                </c:pt>
                <c:pt idx="11">
                  <c:v>187.464034969164</c:v>
                </c:pt>
                <c:pt idx="12">
                  <c:v>179.50726932881346</c:v>
                </c:pt>
                <c:pt idx="13">
                  <c:v>288.43613718303334</c:v>
                </c:pt>
                <c:pt idx="14">
                  <c:v>272.53636221623793</c:v>
                </c:pt>
                <c:pt idx="15">
                  <c:v>243.86005107822157</c:v>
                </c:pt>
                <c:pt idx="16">
                  <c:v>323.3298971431347</c:v>
                </c:pt>
                <c:pt idx="17">
                  <c:v>234.79629787692653</c:v>
                </c:pt>
                <c:pt idx="18">
                  <c:v>345.53689771692996</c:v>
                </c:pt>
                <c:pt idx="19">
                  <c:v>356.36544664553628</c:v>
                </c:pt>
                <c:pt idx="20">
                  <c:v>367.02571138412549</c:v>
                </c:pt>
                <c:pt idx="21">
                  <c:v>360.34952508405644</c:v>
                </c:pt>
                <c:pt idx="22">
                  <c:v>387.87971789328316</c:v>
                </c:pt>
                <c:pt idx="23">
                  <c:v>318.4850408345759</c:v>
                </c:pt>
                <c:pt idx="24">
                  <c:v>408.16673435508983</c:v>
                </c:pt>
                <c:pt idx="25">
                  <c:v>367.23816827721595</c:v>
                </c:pt>
                <c:pt idx="26">
                  <c:v>349.36706878806297</c:v>
                </c:pt>
                <c:pt idx="27">
                  <c:v>280.10142602422201</c:v>
                </c:pt>
                <c:pt idx="28">
                  <c:v>372.27381078431853</c:v>
                </c:pt>
                <c:pt idx="29">
                  <c:v>436.16650039546425</c:v>
                </c:pt>
                <c:pt idx="30">
                  <c:v>566.72933310694009</c:v>
                </c:pt>
                <c:pt idx="31">
                  <c:v>469.8575516930789</c:v>
                </c:pt>
                <c:pt idx="32">
                  <c:v>583.09604094904853</c:v>
                </c:pt>
                <c:pt idx="33">
                  <c:v>591.16055885856633</c:v>
                </c:pt>
                <c:pt idx="34">
                  <c:v>599.14927712858321</c:v>
                </c:pt>
                <c:pt idx="35">
                  <c:v>607.06459035697151</c:v>
                </c:pt>
                <c:pt idx="36">
                  <c:v>503.09028710541963</c:v>
                </c:pt>
                <c:pt idx="37">
                  <c:v>509.56163379413829</c:v>
                </c:pt>
                <c:pt idx="38">
                  <c:v>630.3922034018118</c:v>
                </c:pt>
                <c:pt idx="39">
                  <c:v>638.03544678701815</c:v>
                </c:pt>
                <c:pt idx="40">
                  <c:v>528.65577630827488</c:v>
                </c:pt>
                <c:pt idx="41">
                  <c:v>653.13422318418759</c:v>
                </c:pt>
                <c:pt idx="42">
                  <c:v>660.59319160868756</c:v>
                </c:pt>
                <c:pt idx="43">
                  <c:v>559.74569496281583</c:v>
                </c:pt>
                <c:pt idx="44">
                  <c:v>568.20957334550383</c:v>
                </c:pt>
                <c:pt idx="45">
                  <c:v>576.60847044242928</c:v>
                </c:pt>
                <c:pt idx="46">
                  <c:v>584.94430172616592</c:v>
                </c:pt>
                <c:pt idx="47">
                  <c:v>593.21888623940083</c:v>
                </c:pt>
                <c:pt idx="48">
                  <c:v>601.43395337702373</c:v>
                </c:pt>
                <c:pt idx="49">
                  <c:v>609.5911490613056</c:v>
                </c:pt>
                <c:pt idx="50">
                  <c:v>617.69204137546433</c:v>
                </c:pt>
                <c:pt idx="51">
                  <c:v>625.73812571307883</c:v>
                </c:pt>
                <c:pt idx="52">
                  <c:v>540.28721690155771</c:v>
                </c:pt>
                <c:pt idx="53">
                  <c:v>753.56476252615619</c:v>
                </c:pt>
                <c:pt idx="54">
                  <c:v>760.32317731655985</c:v>
                </c:pt>
                <c:pt idx="55">
                  <c:v>767.04006665430848</c:v>
                </c:pt>
                <c:pt idx="56">
                  <c:v>773.71629476342741</c:v>
                </c:pt>
                <c:pt idx="57">
                  <c:v>780.35269557364984</c:v>
                </c:pt>
                <c:pt idx="58">
                  <c:v>786.95007420149625</c:v>
                </c:pt>
                <c:pt idx="59">
                  <c:v>793.50920833889188</c:v>
                </c:pt>
                <c:pt idx="60">
                  <c:v>800.03084955661552</c:v>
                </c:pt>
                <c:pt idx="61">
                  <c:v>806.51572452860239</c:v>
                </c:pt>
                <c:pt idx="62">
                  <c:v>812.96453618308203</c:v>
                </c:pt>
                <c:pt idx="63">
                  <c:v>819.37796478585335</c:v>
                </c:pt>
                <c:pt idx="64">
                  <c:v>825.75666896034943</c:v>
                </c:pt>
                <c:pt idx="65">
                  <c:v>832.10128664927993</c:v>
                </c:pt>
                <c:pt idx="66">
                  <c:v>838.41243602159136</c:v>
                </c:pt>
                <c:pt idx="67">
                  <c:v>844.69071632868258</c:v>
                </c:pt>
                <c:pt idx="68">
                  <c:v>850.93670871332097</c:v>
                </c:pt>
                <c:pt idx="69">
                  <c:v>857.15097697424278</c:v>
                </c:pt>
                <c:pt idx="70">
                  <c:v>863.33406828969385</c:v>
                </c:pt>
                <c:pt idx="71">
                  <c:v>869.48651390227144</c:v>
                </c:pt>
                <c:pt idx="72">
                  <c:v>875.60882976775065</c:v>
                </c:pt>
                <c:pt idx="73">
                  <c:v>881.70151717020326</c:v>
                </c:pt>
                <c:pt idx="74">
                  <c:v>887.76506330532493</c:v>
                </c:pt>
                <c:pt idx="75">
                  <c:v>893.79994183431938</c:v>
                </c:pt>
                <c:pt idx="76">
                  <c:v>899.80661340978588</c:v>
                </c:pt>
                <c:pt idx="77">
                  <c:v>905.78552617553487</c:v>
                </c:pt>
                <c:pt idx="78">
                  <c:v>303.25208743432313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8D-452C-878F-167D65D1FF8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'SPT-03'!$P$2:$P$90</c:f>
              <c:numCache>
                <c:formatCode>General</c:formatCode>
                <c:ptCount val="89"/>
                <c:pt idx="0">
                  <c:v>91.584931878612053</c:v>
                </c:pt>
                <c:pt idx="1">
                  <c:v>67.22672682889997</c:v>
                </c:pt>
                <c:pt idx="2">
                  <c:v>52.478230014655132</c:v>
                </c:pt>
                <c:pt idx="3">
                  <c:v>98.536690216975828</c:v>
                </c:pt>
                <c:pt idx="4">
                  <c:v>192.63022122713409</c:v>
                </c:pt>
                <c:pt idx="5">
                  <c:v>269.29920329437812</c:v>
                </c:pt>
                <c:pt idx="6">
                  <c:v>265.15415506890031</c:v>
                </c:pt>
                <c:pt idx="7">
                  <c:v>296.9857149881276</c:v>
                </c:pt>
                <c:pt idx="8">
                  <c:v>264.80114666201536</c:v>
                </c:pt>
                <c:pt idx="9">
                  <c:v>242.44314186483857</c:v>
                </c:pt>
                <c:pt idx="10">
                  <c:v>303.35467543642267</c:v>
                </c:pt>
                <c:pt idx="11">
                  <c:v>216.41068742763784</c:v>
                </c:pt>
                <c:pt idx="12">
                  <c:v>207.22530356340965</c:v>
                </c:pt>
                <c:pt idx="13">
                  <c:v>332.97407013041351</c:v>
                </c:pt>
                <c:pt idx="14">
                  <c:v>314.61918285256877</c:v>
                </c:pt>
                <c:pt idx="15">
                  <c:v>281.51491190647636</c:v>
                </c:pt>
                <c:pt idx="16">
                  <c:v>373.25583714317753</c:v>
                </c:pt>
                <c:pt idx="17">
                  <c:v>271.05160857851081</c:v>
                </c:pt>
                <c:pt idx="18">
                  <c:v>398.89185986439708</c:v>
                </c:pt>
                <c:pt idx="19">
                  <c:v>411.39246414227347</c:v>
                </c:pt>
                <c:pt idx="20">
                  <c:v>423.69879917138007</c:v>
                </c:pt>
                <c:pt idx="21">
                  <c:v>415.99173116321225</c:v>
                </c:pt>
                <c:pt idx="22">
                  <c:v>447.77290962680473</c:v>
                </c:pt>
                <c:pt idx="23">
                  <c:v>367.66287802226776</c:v>
                </c:pt>
                <c:pt idx="24">
                  <c:v>471.19248010109635</c:v>
                </c:pt>
                <c:pt idx="25">
                  <c:v>423.94406190825669</c:v>
                </c:pt>
                <c:pt idx="26">
                  <c:v>403.31345440974917</c:v>
                </c:pt>
                <c:pt idx="27">
                  <c:v>323.35238151325626</c:v>
                </c:pt>
                <c:pt idx="28">
                  <c:v>429.75726686130884</c:v>
                </c:pt>
                <c:pt idx="29">
                  <c:v>503.51573942711678</c:v>
                </c:pt>
                <c:pt idx="30">
                  <c:v>654.23900954257044</c:v>
                </c:pt>
                <c:pt idx="31">
                  <c:v>542.40908541039255</c:v>
                </c:pt>
                <c:pt idx="32">
                  <c:v>673.13292962500452</c:v>
                </c:pt>
                <c:pt idx="33">
                  <c:v>682.44270397643322</c:v>
                </c:pt>
                <c:pt idx="34">
                  <c:v>691.66497433226152</c:v>
                </c:pt>
                <c:pt idx="35">
                  <c:v>700.80250504444496</c:v>
                </c:pt>
                <c:pt idx="36">
                  <c:v>580.7733461437565</c:v>
                </c:pt>
                <c:pt idx="37">
                  <c:v>588.24394489470376</c:v>
                </c:pt>
                <c:pt idx="38">
                  <c:v>727.73217598591521</c:v>
                </c:pt>
                <c:pt idx="39">
                  <c:v>736.55562607030765</c:v>
                </c:pt>
                <c:pt idx="40">
                  <c:v>610.28644764999376</c:v>
                </c:pt>
                <c:pt idx="41">
                  <c:v>753.98583117586372</c:v>
                </c:pt>
                <c:pt idx="42">
                  <c:v>762.59655207767594</c:v>
                </c:pt>
                <c:pt idx="43">
                  <c:v>646.17701550854474</c:v>
                </c:pt>
                <c:pt idx="44">
                  <c:v>655.94781628855969</c:v>
                </c:pt>
                <c:pt idx="45">
                  <c:v>665.64360190780428</c:v>
                </c:pt>
                <c:pt idx="46">
                  <c:v>675.26658361035322</c:v>
                </c:pt>
                <c:pt idx="47">
                  <c:v>684.81886132048476</c:v>
                </c:pt>
                <c:pt idx="48">
                  <c:v>694.30243147200531</c:v>
                </c:pt>
                <c:pt idx="49">
                  <c:v>703.71919413694832</c:v>
                </c:pt>
                <c:pt idx="50">
                  <c:v>713.07095952902853</c:v>
                </c:pt>
                <c:pt idx="51">
                  <c:v>722.35945394818657</c:v>
                </c:pt>
                <c:pt idx="52">
                  <c:v>623.71391951135706</c:v>
                </c:pt>
                <c:pt idx="53">
                  <c:v>869.92402732798905</c:v>
                </c:pt>
                <c:pt idx="54">
                  <c:v>877.72602087279324</c:v>
                </c:pt>
                <c:pt idx="55">
                  <c:v>885.48007694651778</c:v>
                </c:pt>
                <c:pt idx="56">
                  <c:v>893.18719321954484</c:v>
                </c:pt>
                <c:pt idx="57">
                  <c:v>900.84833239016939</c:v>
                </c:pt>
                <c:pt idx="58">
                  <c:v>908.46442389437436</c:v>
                </c:pt>
                <c:pt idx="59">
                  <c:v>916.03636550886768</c:v>
                </c:pt>
                <c:pt idx="60">
                  <c:v>923.56502485579881</c:v>
                </c:pt>
                <c:pt idx="61">
                  <c:v>931.05124081610722</c:v>
                </c:pt>
                <c:pt idx="62">
                  <c:v>938.49582485841086</c:v>
                </c:pt>
                <c:pt idx="63">
                  <c:v>945.89956228955134</c:v>
                </c:pt>
                <c:pt idx="64">
                  <c:v>953.26321343216807</c:v>
                </c:pt>
                <c:pt idx="65">
                  <c:v>960.58751473483051</c:v>
                </c:pt>
                <c:pt idx="66">
                  <c:v>967.87317981904289</c:v>
                </c:pt>
                <c:pt idx="67">
                  <c:v>975.12090046767037</c:v>
                </c:pt>
                <c:pt idx="68">
                  <c:v>982.33134755876017</c:v>
                </c:pt>
                <c:pt idx="69">
                  <c:v>989.50517194820679</c:v>
                </c:pt>
                <c:pt idx="70">
                  <c:v>996.64300530501419</c:v>
                </c:pt>
                <c:pt idx="71">
                  <c:v>1003.7454609018868</c:v>
                </c:pt>
                <c:pt idx="72">
                  <c:v>1010.8131343642416</c:v>
                </c:pt>
                <c:pt idx="73">
                  <c:v>1017.8466043803081</c:v>
                </c:pt>
                <c:pt idx="74">
                  <c:v>1024.8464333745294</c:v>
                </c:pt>
                <c:pt idx="75">
                  <c:v>1031.8131681469715</c:v>
                </c:pt>
                <c:pt idx="76">
                  <c:v>1038.7473404804146</c:v>
                </c:pt>
                <c:pt idx="77">
                  <c:v>1045.6494677173455</c:v>
                </c:pt>
                <c:pt idx="78">
                  <c:v>350.07777740579945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8D-452C-878F-167D65D1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'SPT-03'!$Q$2:$Q$90</c:f>
              <c:numCache>
                <c:formatCode>General</c:formatCode>
                <c:ptCount val="89"/>
                <c:pt idx="0">
                  <c:v>454.61244857344934</c:v>
                </c:pt>
                <c:pt idx="1">
                  <c:v>337.17270816739307</c:v>
                </c:pt>
                <c:pt idx="2">
                  <c:v>409.59386976286351</c:v>
                </c:pt>
                <c:pt idx="3">
                  <c:v>710.94762489621075</c:v>
                </c:pt>
                <c:pt idx="4">
                  <c:v>1321.3990500272484</c:v>
                </c:pt>
                <c:pt idx="5">
                  <c:v>1550.6622937180564</c:v>
                </c:pt>
                <c:pt idx="6">
                  <c:v>1733.9568384955796</c:v>
                </c:pt>
                <c:pt idx="7">
                  <c:v>2096.19584746073</c:v>
                </c:pt>
                <c:pt idx="8">
                  <c:v>2159.9674284558564</c:v>
                </c:pt>
                <c:pt idx="9">
                  <c:v>2249.4390740882714</c:v>
                </c:pt>
                <c:pt idx="10">
                  <c:v>2739.4357970289602</c:v>
                </c:pt>
                <c:pt idx="11">
                  <c:v>2538.033540452891</c:v>
                </c:pt>
                <c:pt idx="12">
                  <c:v>2975.3695375977718</c:v>
                </c:pt>
                <c:pt idx="13">
                  <c:v>3845.9794225485934</c:v>
                </c:pt>
                <c:pt idx="14">
                  <c:v>4000.1060544775974</c:v>
                </c:pt>
                <c:pt idx="15">
                  <c:v>4055.3069631464596</c:v>
                </c:pt>
                <c:pt idx="16">
                  <c:v>4787.7169821736088</c:v>
                </c:pt>
                <c:pt idx="17">
                  <c:v>4501.0305486207326</c:v>
                </c:pt>
                <c:pt idx="18">
                  <c:v>5428.527699001932</c:v>
                </c:pt>
                <c:pt idx="19">
                  <c:v>5808.4070402896286</c:v>
                </c:pt>
                <c:pt idx="20">
                  <c:v>6197.17588846541</c:v>
                </c:pt>
                <c:pt idx="21">
                  <c:v>6484.4715384426554</c:v>
                </c:pt>
                <c:pt idx="22">
                  <c:v>6985.1971431577358</c:v>
                </c:pt>
                <c:pt idx="23">
                  <c:v>6887.3950735418493</c:v>
                </c:pt>
                <c:pt idx="24">
                  <c:v>7750.2074360982187</c:v>
                </c:pt>
                <c:pt idx="25">
                  <c:v>7855.8156037752278</c:v>
                </c:pt>
                <c:pt idx="26">
                  <c:v>8071.0185192498247</c:v>
                </c:pt>
                <c:pt idx="27">
                  <c:v>7935.7858153215529</c:v>
                </c:pt>
                <c:pt idx="28">
                  <c:v>8782.972136959339</c:v>
                </c:pt>
                <c:pt idx="29">
                  <c:v>9528.1074810377704</c:v>
                </c:pt>
                <c:pt idx="30">
                  <c:v>10202.190866625184</c:v>
                </c:pt>
                <c:pt idx="31">
                  <c:v>10115.290105307267</c:v>
                </c:pt>
                <c:pt idx="32">
                  <c:v>11242.082201228743</c:v>
                </c:pt>
                <c:pt idx="33">
                  <c:v>11821.146074684964</c:v>
                </c:pt>
                <c:pt idx="34">
                  <c:v>12407.25797286902</c:v>
                </c:pt>
                <c:pt idx="35">
                  <c:v>13000.360101011551</c:v>
                </c:pt>
                <c:pt idx="36">
                  <c:v>12903.264907955774</c:v>
                </c:pt>
                <c:pt idx="37">
                  <c:v>13398.287775754428</c:v>
                </c:pt>
                <c:pt idx="38">
                  <c:v>14613.754693610195</c:v>
                </c:pt>
                <c:pt idx="39">
                  <c:v>15234.270205691522</c:v>
                </c:pt>
                <c:pt idx="40">
                  <c:v>15129.447302266435</c:v>
                </c:pt>
                <c:pt idx="41">
                  <c:v>16387.635930658678</c:v>
                </c:pt>
                <c:pt idx="42">
                  <c:v>17028.175123141642</c:v>
                </c:pt>
                <c:pt idx="43">
                  <c:v>17579.227282154457</c:v>
                </c:pt>
                <c:pt idx="44">
                  <c:v>18141.445423204179</c:v>
                </c:pt>
                <c:pt idx="45">
                  <c:v>18711.057403478258</c:v>
                </c:pt>
                <c:pt idx="46">
                  <c:v>19288.015747829122</c:v>
                </c:pt>
                <c:pt idx="47">
                  <c:v>19872.274108653637</c:v>
                </c:pt>
                <c:pt idx="48">
                  <c:v>20463.787222524439</c:v>
                </c:pt>
                <c:pt idx="49">
                  <c:v>21062.510868954512</c:v>
                </c:pt>
                <c:pt idx="50">
                  <c:v>21668.401831183684</c:v>
                </c:pt>
                <c:pt idx="51">
                  <c:v>22281.417858879584</c:v>
                </c:pt>
                <c:pt idx="52">
                  <c:v>21705.516132073746</c:v>
                </c:pt>
                <c:pt idx="53">
                  <c:v>23535.462708929055</c:v>
                </c:pt>
                <c:pt idx="54">
                  <c:v>24264.997897632056</c:v>
                </c:pt>
                <c:pt idx="55">
                  <c:v>25000.550321266019</c:v>
                </c:pt>
                <c:pt idx="56">
                  <c:v>25742.086079097055</c:v>
                </c:pt>
                <c:pt idx="57">
                  <c:v>26489.571914245</c:v>
                </c:pt>
                <c:pt idx="58">
                  <c:v>27242.975193207138</c:v>
                </c:pt>
                <c:pt idx="59">
                  <c:v>28002.263886283676</c:v>
                </c:pt>
                <c:pt idx="60">
                  <c:v>28767.40654885495</c:v>
                </c:pt>
                <c:pt idx="61">
                  <c:v>29538.372303463322</c:v>
                </c:pt>
                <c:pt idx="62">
                  <c:v>30315.130822656127</c:v>
                </c:pt>
                <c:pt idx="63">
                  <c:v>31097.652312548635</c:v>
                </c:pt>
                <c:pt idx="64">
                  <c:v>31885.907497068813</c:v>
                </c:pt>
                <c:pt idx="65">
                  <c:v>32679.867602848019</c:v>
                </c:pt>
                <c:pt idx="66">
                  <c:v>33479.504344724075</c:v>
                </c:pt>
                <c:pt idx="67">
                  <c:v>34284.789911825217</c:v>
                </c:pt>
                <c:pt idx="68">
                  <c:v>35095.696954205378</c:v>
                </c:pt>
                <c:pt idx="69">
                  <c:v>35912.198570003085</c:v>
                </c:pt>
                <c:pt idx="70">
                  <c:v>36734.268293097935</c:v>
                </c:pt>
                <c:pt idx="71">
                  <c:v>37561.880081240117</c:v>
                </c:pt>
                <c:pt idx="72">
                  <c:v>38395.008304629984</c:v>
                </c:pt>
                <c:pt idx="73">
                  <c:v>39233.627734925969</c:v>
                </c:pt>
                <c:pt idx="74">
                  <c:v>40077.71353466039</c:v>
                </c:pt>
                <c:pt idx="75">
                  <c:v>40927.241247043909</c:v>
                </c:pt>
                <c:pt idx="76">
                  <c:v>41782.186786140519</c:v>
                </c:pt>
                <c:pt idx="77">
                  <c:v>42642.52642739586</c:v>
                </c:pt>
                <c:pt idx="78">
                  <c:v>42938.994634313465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0-43BB-AB5D-134B2E348D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'SPT-03'!$R$2:$R$90</c:f>
              <c:numCache>
                <c:formatCode>General</c:formatCode>
                <c:ptCount val="89"/>
                <c:pt idx="0">
                  <c:v>524.98080741485353</c:v>
                </c:pt>
                <c:pt idx="1">
                  <c:v>383.33829510292662</c:v>
                </c:pt>
                <c:pt idx="2">
                  <c:v>464.45783483616003</c:v>
                </c:pt>
                <c:pt idx="3">
                  <c:v>809.94997584784642</c:v>
                </c:pt>
                <c:pt idx="4">
                  <c:v>1510.2747711949248</c:v>
                </c:pt>
                <c:pt idx="5">
                  <c:v>1760.2356301754849</c:v>
                </c:pt>
                <c:pt idx="6">
                  <c:v>1956.7733033398138</c:v>
                </c:pt>
                <c:pt idx="7">
                  <c:v>2360.2334251462362</c:v>
                </c:pt>
                <c:pt idx="8">
                  <c:v>2417.1747529219238</c:v>
                </c:pt>
                <c:pt idx="9">
                  <c:v>2505.6194431453114</c:v>
                </c:pt>
                <c:pt idx="10">
                  <c:v>3057.8964843442063</c:v>
                </c:pt>
                <c:pt idx="11">
                  <c:v>2808.284887833448</c:v>
                </c:pt>
                <c:pt idx="12">
                  <c:v>3305.4188852315624</c:v>
                </c:pt>
                <c:pt idx="13">
                  <c:v>4300.342607076298</c:v>
                </c:pt>
                <c:pt idx="14">
                  <c:v>4459.5291332620864</c:v>
                </c:pt>
                <c:pt idx="15">
                  <c:v>4505.3507946594973</c:v>
                </c:pt>
                <c:pt idx="16">
                  <c:v>5336.1673421956157</c:v>
                </c:pt>
                <c:pt idx="17">
                  <c:v>4983.309761414479</c:v>
                </c:pt>
                <c:pt idx="18">
                  <c:v>6040.3163629194369</c:v>
                </c:pt>
                <c:pt idx="19">
                  <c:v>6456.7991953987166</c:v>
                </c:pt>
                <c:pt idx="20">
                  <c:v>6882.8504789661229</c:v>
                </c:pt>
                <c:pt idx="21">
                  <c:v>7190.8775785817306</c:v>
                </c:pt>
                <c:pt idx="22">
                  <c:v>7746.1144023455654</c:v>
                </c:pt>
                <c:pt idx="23">
                  <c:v>7607.4964194092126</c:v>
                </c:pt>
                <c:pt idx="24">
                  <c:v>8584.1494291053586</c:v>
                </c:pt>
                <c:pt idx="25">
                  <c:v>8679.4126865392245</c:v>
                </c:pt>
                <c:pt idx="26">
                  <c:v>8904.0656710333169</c:v>
                </c:pt>
                <c:pt idx="27">
                  <c:v>8724.6606230163452</c:v>
                </c:pt>
                <c:pt idx="28">
                  <c:v>9685.806825811711</c:v>
                </c:pt>
                <c:pt idx="29">
                  <c:v>10522.853799551362</c:v>
                </c:pt>
                <c:pt idx="30">
                  <c:v>11266.911012092452</c:v>
                </c:pt>
                <c:pt idx="31">
                  <c:v>11129.443875967369</c:v>
                </c:pt>
                <c:pt idx="32">
                  <c:v>12401.076538761892</c:v>
                </c:pt>
                <c:pt idx="33">
                  <c:v>13032.267965041721</c:v>
                </c:pt>
                <c:pt idx="34">
                  <c:v>13671.08116430623</c:v>
                </c:pt>
                <c:pt idx="35">
                  <c:v>14317.454241229378</c:v>
                </c:pt>
                <c:pt idx="36">
                  <c:v>14165.535508578851</c:v>
                </c:pt>
                <c:pt idx="37">
                  <c:v>14704.799306169922</c:v>
                </c:pt>
                <c:pt idx="38">
                  <c:v>16076.397489287194</c:v>
                </c:pt>
                <c:pt idx="39">
                  <c:v>16752.423308356851</c:v>
                </c:pt>
                <c:pt idx="40">
                  <c:v>16589.521176965278</c:v>
                </c:pt>
                <c:pt idx="41">
                  <c:v>18009.28408758689</c:v>
                </c:pt>
                <c:pt idx="42">
                  <c:v>18706.974222290319</c:v>
                </c:pt>
                <c:pt idx="43">
                  <c:v>19307.847948300328</c:v>
                </c:pt>
                <c:pt idx="44">
                  <c:v>19921.117443997249</c:v>
                </c:pt>
                <c:pt idx="45">
                  <c:v>20542.381285007141</c:v>
                </c:pt>
                <c:pt idx="46">
                  <c:v>21171.588839598287</c:v>
                </c:pt>
                <c:pt idx="47">
                  <c:v>21808.690653972579</c:v>
                </c:pt>
                <c:pt idx="48">
                  <c:v>22453.638408464856</c:v>
                </c:pt>
                <c:pt idx="49">
                  <c:v>23106.384875761614</c:v>
                </c:pt>
                <c:pt idx="50">
                  <c:v>23766.883881050562</c:v>
                </c:pt>
                <c:pt idx="51">
                  <c:v>24435.090264012448</c:v>
                </c:pt>
                <c:pt idx="52">
                  <c:v>23721.011296892808</c:v>
                </c:pt>
                <c:pt idx="53">
                  <c:v>25800.983237742344</c:v>
                </c:pt>
                <c:pt idx="54">
                  <c:v>26595.001694995863</c:v>
                </c:pt>
                <c:pt idx="55">
                  <c:v>27395.535140511962</c:v>
                </c:pt>
                <c:pt idx="56">
                  <c:v>28202.547084938105</c:v>
                </c:pt>
                <c:pt idx="57">
                  <c:v>29016.001727219555</c:v>
                </c:pt>
                <c:pt idx="58">
                  <c:v>29835.863932885048</c:v>
                </c:pt>
                <c:pt idx="59">
                  <c:v>30662.099213279602</c:v>
                </c:pt>
                <c:pt idx="60">
                  <c:v>31494.673705692469</c:v>
                </c:pt>
                <c:pt idx="61">
                  <c:v>32333.554154331454</c:v>
                </c:pt>
                <c:pt idx="62">
                  <c:v>33178.7078920981</c:v>
                </c:pt>
                <c:pt idx="63">
                  <c:v>34030.102823121146</c:v>
                </c:pt>
                <c:pt idx="64">
                  <c:v>34887.707406008238</c:v>
                </c:pt>
                <c:pt idx="65">
                  <c:v>35751.490637778712</c:v>
                </c:pt>
                <c:pt idx="66">
                  <c:v>36621.422038442273</c:v>
                </c:pt>
                <c:pt idx="67">
                  <c:v>37497.471636190654</c:v>
                </c:pt>
                <c:pt idx="68">
                  <c:v>38379.609953171508</c:v>
                </c:pt>
                <c:pt idx="69">
                  <c:v>39267.807991815367</c:v>
                </c:pt>
                <c:pt idx="70">
                  <c:v>40162.037221688486</c:v>
                </c:pt>
                <c:pt idx="71">
                  <c:v>41062.269566845913</c:v>
                </c:pt>
                <c:pt idx="72">
                  <c:v>41968.477393660585</c:v>
                </c:pt>
                <c:pt idx="73">
                  <c:v>42880.633499105759</c:v>
                </c:pt>
                <c:pt idx="74">
                  <c:v>43798.71109946919</c:v>
                </c:pt>
                <c:pt idx="75">
                  <c:v>44722.683819479062</c:v>
                </c:pt>
                <c:pt idx="76">
                  <c:v>45652.525681822401</c:v>
                </c:pt>
                <c:pt idx="77">
                  <c:v>46588.211097038002</c:v>
                </c:pt>
                <c:pt idx="78">
                  <c:v>46911.322288849697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0-43BB-AB5D-134B2E348D8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'SPT-03'!$S$2:$S$90</c:f>
              <c:numCache>
                <c:formatCode>General</c:formatCode>
                <c:ptCount val="89"/>
                <c:pt idx="0">
                  <c:v>685.77971768447856</c:v>
                </c:pt>
                <c:pt idx="1">
                  <c:v>486.50360560295019</c:v>
                </c:pt>
                <c:pt idx="2">
                  <c:v>586.52942335539342</c:v>
                </c:pt>
                <c:pt idx="3">
                  <c:v>1031.913470424395</c:v>
                </c:pt>
                <c:pt idx="4">
                  <c:v>1935.8242248371009</c:v>
                </c:pt>
                <c:pt idx="5">
                  <c:v>2227.3668524364684</c:v>
                </c:pt>
                <c:pt idx="6">
                  <c:v>2448.3210040865088</c:v>
                </c:pt>
                <c:pt idx="7">
                  <c:v>2940.2382000531752</c:v>
                </c:pt>
                <c:pt idx="8">
                  <c:v>2975.1186037406578</c:v>
                </c:pt>
                <c:pt idx="9">
                  <c:v>3055.4687440891803</c:v>
                </c:pt>
                <c:pt idx="10">
                  <c:v>3744.8213779873704</c:v>
                </c:pt>
                <c:pt idx="11">
                  <c:v>3378.4645567751113</c:v>
                </c:pt>
                <c:pt idx="12">
                  <c:v>4009.1921644309223</c:v>
                </c:pt>
                <c:pt idx="13">
                  <c:v>5284.1496807769399</c:v>
                </c:pt>
                <c:pt idx="14">
                  <c:v>5447.635748922241</c:v>
                </c:pt>
                <c:pt idx="15">
                  <c:v>5465.0994745876378</c:v>
                </c:pt>
                <c:pt idx="16">
                  <c:v>6515.0041789214592</c:v>
                </c:pt>
                <c:pt idx="17">
                  <c:v>6002.5172826225535</c:v>
                </c:pt>
                <c:pt idx="18">
                  <c:v>7350.0354142043197</c:v>
                </c:pt>
                <c:pt idx="19">
                  <c:v>7841.5843927915867</c:v>
                </c:pt>
                <c:pt idx="20">
                  <c:v>8343.9839548740074</c:v>
                </c:pt>
                <c:pt idx="21">
                  <c:v>8690.2124520792877</c:v>
                </c:pt>
                <c:pt idx="22">
                  <c:v>9361.1281695334965</c:v>
                </c:pt>
                <c:pt idx="23">
                  <c:v>9119.3203491945278</c:v>
                </c:pt>
                <c:pt idx="24">
                  <c:v>10348.494529750365</c:v>
                </c:pt>
                <c:pt idx="25">
                  <c:v>10409.805377200822</c:v>
                </c:pt>
                <c:pt idx="26">
                  <c:v>10646.833385885277</c:v>
                </c:pt>
                <c:pt idx="27">
                  <c:v>10357.510468676941</c:v>
                </c:pt>
                <c:pt idx="28">
                  <c:v>11572.430924886314</c:v>
                </c:pt>
                <c:pt idx="29">
                  <c:v>12610.453962105677</c:v>
                </c:pt>
                <c:pt idx="30">
                  <c:v>13501.130144227116</c:v>
                </c:pt>
                <c:pt idx="31">
                  <c:v>13233.772979213292</c:v>
                </c:pt>
                <c:pt idx="32">
                  <c:v>14824.954737965594</c:v>
                </c:pt>
                <c:pt idx="33">
                  <c:v>15560.771931837045</c:v>
                </c:pt>
                <c:pt idx="34">
                  <c:v>16305.322135683875</c:v>
                </c:pt>
                <c:pt idx="35">
                  <c:v>17058.535956149888</c:v>
                </c:pt>
                <c:pt idx="36">
                  <c:v>16765.963942619048</c:v>
                </c:pt>
                <c:pt idx="37">
                  <c:v>17393.810772576329</c:v>
                </c:pt>
                <c:pt idx="38">
                  <c:v>19109.817588182857</c:v>
                </c:pt>
                <c:pt idx="39">
                  <c:v>19897.027043963346</c:v>
                </c:pt>
                <c:pt idx="40">
                  <c:v>19585.236281346879</c:v>
                </c:pt>
                <c:pt idx="41">
                  <c:v>21361.39369577264</c:v>
                </c:pt>
                <c:pt idx="42">
                  <c:v>22173.452838643308</c:v>
                </c:pt>
                <c:pt idx="43">
                  <c:v>22874.467228881444</c:v>
                </c:pt>
                <c:pt idx="44">
                  <c:v>23590.494941638557</c:v>
                </c:pt>
                <c:pt idx="45">
                  <c:v>24315.67903763631</c:v>
                </c:pt>
                <c:pt idx="46">
                  <c:v>25049.9632917333</c:v>
                </c:pt>
                <c:pt idx="47">
                  <c:v>25793.292723900311</c:v>
                </c:pt>
                <c:pt idx="48">
                  <c:v>26545.613556859316</c:v>
                </c:pt>
                <c:pt idx="49">
                  <c:v>27306.873175310204</c:v>
                </c:pt>
                <c:pt idx="50">
                  <c:v>28077.020086723878</c:v>
                </c:pt>
                <c:pt idx="51">
                  <c:v>28856.00388367047</c:v>
                </c:pt>
                <c:pt idx="52">
                  <c:v>27807.229557820228</c:v>
                </c:pt>
                <c:pt idx="53">
                  <c:v>30445.696489579394</c:v>
                </c:pt>
                <c:pt idx="54">
                  <c:v>31368.349550368133</c:v>
                </c:pt>
                <c:pt idx="55">
                  <c:v>32298.487465797036</c:v>
                </c:pt>
                <c:pt idx="56">
                  <c:v>33236.068858566869</c:v>
                </c:pt>
                <c:pt idx="57">
                  <c:v>34181.053119900767</c:v>
                </c:pt>
                <c:pt idx="58">
                  <c:v>35133.40038574714</c:v>
                </c:pt>
                <c:pt idx="59">
                  <c:v>36093.071513996896</c:v>
                </c:pt>
                <c:pt idx="60">
                  <c:v>37060.028062661026</c:v>
                </c:pt>
                <c:pt idx="61">
                  <c:v>38034.232268957647</c:v>
                </c:pt>
                <c:pt idx="62">
                  <c:v>39015.647029260814</c:v>
                </c:pt>
                <c:pt idx="63">
                  <c:v>40004.235879866617</c:v>
                </c:pt>
                <c:pt idx="64">
                  <c:v>40999.962978534444</c:v>
                </c:pt>
                <c:pt idx="65">
                  <c:v>42002.793086764206</c:v>
                </c:pt>
                <c:pt idx="66">
                  <c:v>43012.691552772536</c:v>
                </c:pt>
                <c:pt idx="67">
                  <c:v>44029.624295133137</c:v>
                </c:pt>
                <c:pt idx="68">
                  <c:v>45053.557787048609</c:v>
                </c:pt>
                <c:pt idx="69">
                  <c:v>46084.459041222966</c:v>
                </c:pt>
                <c:pt idx="70">
                  <c:v>47122.295595305877</c:v>
                </c:pt>
                <c:pt idx="71">
                  <c:v>48167.035497881312</c:v>
                </c:pt>
                <c:pt idx="72">
                  <c:v>49218.647294974784</c:v>
                </c:pt>
                <c:pt idx="73">
                  <c:v>50277.100017055047</c:v>
                </c:pt>
                <c:pt idx="74">
                  <c:v>51342.363166507057</c:v>
                </c:pt>
                <c:pt idx="75">
                  <c:v>52414.406705554764</c:v>
                </c:pt>
                <c:pt idx="76">
                  <c:v>53493.201044613248</c:v>
                </c:pt>
                <c:pt idx="77">
                  <c:v>54578.717031050692</c:v>
                </c:pt>
                <c:pt idx="78">
                  <c:v>54955.273614292979</c:v>
                </c:pt>
              </c:numCache>
            </c:numRef>
          </c:xVal>
          <c:yVal>
            <c:numRef>
              <c:f>'SPT-03'!$A$2:$A$90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  <c:pt idx="76">
                  <c:v>45.6</c:v>
                </c:pt>
                <c:pt idx="77">
                  <c:v>46.2</c:v>
                </c:pt>
                <c:pt idx="78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0-43BB-AB5D-134B2E348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'SPT-04'!$N$2:$N$90</c:f>
              <c:numCache>
                <c:formatCode>General</c:formatCode>
                <c:ptCount val="89"/>
                <c:pt idx="0">
                  <c:v>56.797485655204916</c:v>
                </c:pt>
                <c:pt idx="1">
                  <c:v>60.471866933147723</c:v>
                </c:pt>
                <c:pt idx="2">
                  <c:v>47.679261359288517</c:v>
                </c:pt>
                <c:pt idx="3">
                  <c:v>77.826035469669051</c:v>
                </c:pt>
                <c:pt idx="4">
                  <c:v>92.293405485156015</c:v>
                </c:pt>
                <c:pt idx="5">
                  <c:v>189.2338712093304</c:v>
                </c:pt>
                <c:pt idx="6">
                  <c:v>195.56091477523614</c:v>
                </c:pt>
                <c:pt idx="7">
                  <c:v>224.52835322555489</c:v>
                </c:pt>
                <c:pt idx="8">
                  <c:v>230.66458796699408</c:v>
                </c:pt>
                <c:pt idx="9">
                  <c:v>256.67756721997262</c:v>
                </c:pt>
                <c:pt idx="10">
                  <c:v>234.86845287348896</c:v>
                </c:pt>
                <c:pt idx="11">
                  <c:v>204.15850963508859</c:v>
                </c:pt>
                <c:pt idx="12">
                  <c:v>245.9494993676559</c:v>
                </c:pt>
                <c:pt idx="13">
                  <c:v>170.45048742853967</c:v>
                </c:pt>
                <c:pt idx="14">
                  <c:v>196.04775060226817</c:v>
                </c:pt>
                <c:pt idx="15">
                  <c:v>123.20624503649505</c:v>
                </c:pt>
                <c:pt idx="16">
                  <c:v>300.93822253022807</c:v>
                </c:pt>
                <c:pt idx="17">
                  <c:v>390.81984494721877</c:v>
                </c:pt>
                <c:pt idx="18">
                  <c:v>400.06293867818107</c:v>
                </c:pt>
                <c:pt idx="19">
                  <c:v>382.69923607555626</c:v>
                </c:pt>
                <c:pt idx="20">
                  <c:v>224.83662527522986</c:v>
                </c:pt>
                <c:pt idx="21">
                  <c:v>208.50787483159453</c:v>
                </c:pt>
                <c:pt idx="22">
                  <c:v>327.78761629403652</c:v>
                </c:pt>
                <c:pt idx="23">
                  <c:v>256.41641362443164</c:v>
                </c:pt>
                <c:pt idx="24">
                  <c:v>339.48506505808177</c:v>
                </c:pt>
                <c:pt idx="25">
                  <c:v>275.88921956238443</c:v>
                </c:pt>
                <c:pt idx="26">
                  <c:v>344.16565187229742</c:v>
                </c:pt>
                <c:pt idx="27">
                  <c:v>327.2497352979932</c:v>
                </c:pt>
                <c:pt idx="28">
                  <c:v>262.28314311598268</c:v>
                </c:pt>
                <c:pt idx="29">
                  <c:v>348.33713456751826</c:v>
                </c:pt>
                <c:pt idx="30">
                  <c:v>407.88528209857856</c:v>
                </c:pt>
                <c:pt idx="31">
                  <c:v>528.97111875884116</c:v>
                </c:pt>
                <c:pt idx="32">
                  <c:v>438.51376057568308</c:v>
                </c:pt>
                <c:pt idx="33">
                  <c:v>543.92434069332023</c:v>
                </c:pt>
                <c:pt idx="34">
                  <c:v>551.29459412377344</c:v>
                </c:pt>
                <c:pt idx="35">
                  <c:v>462.95353246821537</c:v>
                </c:pt>
                <c:pt idx="36">
                  <c:v>471.19865533488428</c:v>
                </c:pt>
                <c:pt idx="37">
                  <c:v>377.23416959371139</c:v>
                </c:pt>
                <c:pt idx="38">
                  <c:v>383.69020833728689</c:v>
                </c:pt>
                <c:pt idx="39">
                  <c:v>593.75043030645963</c:v>
                </c:pt>
                <c:pt idx="40">
                  <c:v>600.68928927798038</c:v>
                </c:pt>
                <c:pt idx="41">
                  <c:v>497.68405019701333</c:v>
                </c:pt>
                <c:pt idx="42">
                  <c:v>614.40258068087587</c:v>
                </c:pt>
                <c:pt idx="43">
                  <c:v>621.17991920381871</c:v>
                </c:pt>
                <c:pt idx="44">
                  <c:v>627.90621616785643</c:v>
                </c:pt>
                <c:pt idx="45">
                  <c:v>634.58276932862259</c:v>
                </c:pt>
                <c:pt idx="46">
                  <c:v>641.21082104400261</c:v>
                </c:pt>
                <c:pt idx="47">
                  <c:v>545.96805498817162</c:v>
                </c:pt>
                <c:pt idx="48">
                  <c:v>553.54396036129333</c:v>
                </c:pt>
                <c:pt idx="49">
                  <c:v>561.06639192730586</c:v>
                </c:pt>
                <c:pt idx="50">
                  <c:v>568.5368014032091</c:v>
                </c:pt>
                <c:pt idx="51">
                  <c:v>575.9565730834762</c:v>
                </c:pt>
                <c:pt idx="52">
                  <c:v>583.32702822184103</c:v>
                </c:pt>
                <c:pt idx="53">
                  <c:v>695.19640301288121</c:v>
                </c:pt>
                <c:pt idx="54">
                  <c:v>701.42020159145295</c:v>
                </c:pt>
                <c:pt idx="55">
                  <c:v>707.60582681026244</c:v>
                </c:pt>
                <c:pt idx="56">
                  <c:v>713.75407175278349</c:v>
                </c:pt>
                <c:pt idx="57">
                  <c:v>719.86570174943461</c:v>
                </c:pt>
                <c:pt idx="58">
                  <c:v>725.94145573212973</c:v>
                </c:pt>
                <c:pt idx="59">
                  <c:v>731.98204750441118</c:v>
                </c:pt>
                <c:pt idx="60">
                  <c:v>737.98816693380661</c:v>
                </c:pt>
                <c:pt idx="61">
                  <c:v>743.96048107190438</c:v>
                </c:pt>
                <c:pt idx="62">
                  <c:v>749.89963520759727</c:v>
                </c:pt>
                <c:pt idx="63">
                  <c:v>755.80625385833093</c:v>
                </c:pt>
                <c:pt idx="64">
                  <c:v>761.68094170360655</c:v>
                </c:pt>
                <c:pt idx="65">
                  <c:v>610.53987779436636</c:v>
                </c:pt>
                <c:pt idx="66">
                  <c:v>773.33684973678476</c:v>
                </c:pt>
                <c:pt idx="67">
                  <c:v>779.11918776874779</c:v>
                </c:pt>
                <c:pt idx="68">
                  <c:v>784.87183220767861</c:v>
                </c:pt>
                <c:pt idx="69">
                  <c:v>790.59530079691331</c:v>
                </c:pt>
                <c:pt idx="70">
                  <c:v>687.1051325132903</c:v>
                </c:pt>
                <c:pt idx="71">
                  <c:v>693.83535985693288</c:v>
                </c:pt>
                <c:pt idx="72">
                  <c:v>700.53185006701335</c:v>
                </c:pt>
                <c:pt idx="73">
                  <c:v>707.19525742222982</c:v>
                </c:pt>
                <c:pt idx="74">
                  <c:v>713.82621437115313</c:v>
                </c:pt>
                <c:pt idx="75">
                  <c:v>720.42533255712169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F23-9C75-ADF15879BC6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'SPT-04'!$O$2:$O$90</c:f>
              <c:numCache>
                <c:formatCode>General</c:formatCode>
                <c:ptCount val="89"/>
                <c:pt idx="0">
                  <c:v>61.631314221605336</c:v>
                </c:pt>
                <c:pt idx="1">
                  <c:v>65.618408799798601</c:v>
                </c:pt>
                <c:pt idx="2">
                  <c:v>51.737070836674775</c:v>
                </c:pt>
                <c:pt idx="3">
                  <c:v>84.449527850066417</c:v>
                </c:pt>
                <c:pt idx="4">
                  <c:v>100.14816339878632</c:v>
                </c:pt>
                <c:pt idx="5">
                  <c:v>205.33888152501808</c:v>
                </c:pt>
                <c:pt idx="6">
                  <c:v>212.20439688376692</c:v>
                </c:pt>
                <c:pt idx="7">
                  <c:v>243.6371492447511</c:v>
                </c:pt>
                <c:pt idx="8">
                  <c:v>250.29561673014254</c:v>
                </c:pt>
                <c:pt idx="9">
                  <c:v>278.52246655784262</c:v>
                </c:pt>
                <c:pt idx="10">
                  <c:v>254.85725737336034</c:v>
                </c:pt>
                <c:pt idx="11">
                  <c:v>221.53370194445782</c:v>
                </c:pt>
                <c:pt idx="12">
                  <c:v>266.88137165426497</c:v>
                </c:pt>
                <c:pt idx="13">
                  <c:v>184.95691189054304</c:v>
                </c:pt>
                <c:pt idx="14">
                  <c:v>212.73266554714206</c:v>
                </c:pt>
                <c:pt idx="15">
                  <c:v>133.69188291194143</c:v>
                </c:pt>
                <c:pt idx="16">
                  <c:v>326.54998614982202</c:v>
                </c:pt>
                <c:pt idx="17">
                  <c:v>424.08110834698215</c:v>
                </c:pt>
                <c:pt idx="18">
                  <c:v>434.11084835291996</c:v>
                </c:pt>
                <c:pt idx="19">
                  <c:v>415.26938382666742</c:v>
                </c:pt>
                <c:pt idx="20">
                  <c:v>243.97165721354733</c:v>
                </c:pt>
                <c:pt idx="21">
                  <c:v>226.25322588109196</c:v>
                </c:pt>
                <c:pt idx="22">
                  <c:v>355.68443470203965</c:v>
                </c:pt>
                <c:pt idx="23">
                  <c:v>278.23908712438333</c:v>
                </c:pt>
                <c:pt idx="24">
                  <c:v>368.37741102047181</c:v>
                </c:pt>
                <c:pt idx="25">
                  <c:v>299.36915314216185</c:v>
                </c:pt>
                <c:pt idx="26">
                  <c:v>373.45634564866316</c:v>
                </c:pt>
                <c:pt idx="27">
                  <c:v>355.10077659995011</c:v>
                </c:pt>
                <c:pt idx="28">
                  <c:v>284.60511274287489</c:v>
                </c:pt>
                <c:pt idx="29">
                  <c:v>377.98284814773262</c:v>
                </c:pt>
                <c:pt idx="30">
                  <c:v>442.59892312824479</c:v>
                </c:pt>
                <c:pt idx="31">
                  <c:v>573.98993737661488</c:v>
                </c:pt>
                <c:pt idx="32">
                  <c:v>475.83408062467743</c:v>
                </c:pt>
                <c:pt idx="33">
                  <c:v>590.21577394381563</c:v>
                </c:pt>
                <c:pt idx="34">
                  <c:v>598.21328298537117</c:v>
                </c:pt>
                <c:pt idx="35">
                  <c:v>502.35383310380814</c:v>
                </c:pt>
                <c:pt idx="36">
                  <c:v>511.30066855487445</c:v>
                </c:pt>
                <c:pt idx="37">
                  <c:v>409.33920530381448</c:v>
                </c:pt>
                <c:pt idx="38">
                  <c:v>416.34469415322621</c:v>
                </c:pt>
                <c:pt idx="39">
                  <c:v>644.28238182190307</c:v>
                </c:pt>
                <c:pt idx="40">
                  <c:v>651.81178198248938</c:v>
                </c:pt>
                <c:pt idx="41">
                  <c:v>540.04013957548273</c:v>
                </c:pt>
                <c:pt idx="42">
                  <c:v>666.69216201541849</c:v>
                </c:pt>
                <c:pt idx="43">
                  <c:v>674.04629530627142</c:v>
                </c:pt>
                <c:pt idx="44">
                  <c:v>681.34504307575935</c:v>
                </c:pt>
                <c:pt idx="45">
                  <c:v>688.58981352680325</c:v>
                </c:pt>
                <c:pt idx="46">
                  <c:v>695.78195474987535</c:v>
                </c:pt>
                <c:pt idx="47">
                  <c:v>592.43342137014361</c:v>
                </c:pt>
                <c:pt idx="48">
                  <c:v>600.65408464736083</c:v>
                </c:pt>
                <c:pt idx="49">
                  <c:v>608.81672315516164</c:v>
                </c:pt>
                <c:pt idx="50">
                  <c:v>616.92291216092895</c:v>
                </c:pt>
                <c:pt idx="51">
                  <c:v>624.9741537714317</c:v>
                </c:pt>
                <c:pt idx="52">
                  <c:v>632.97188168752973</c:v>
                </c:pt>
                <c:pt idx="53">
                  <c:v>754.36205433312648</c:v>
                </c:pt>
                <c:pt idx="54">
                  <c:v>761.11553789710854</c:v>
                </c:pt>
                <c:pt idx="55">
                  <c:v>767.82759930475288</c:v>
                </c:pt>
                <c:pt idx="56">
                  <c:v>774.49909913599913</c:v>
                </c:pt>
                <c:pt idx="57">
                  <c:v>781.13086785576968</c:v>
                </c:pt>
                <c:pt idx="58">
                  <c:v>787.72370728380042</c:v>
                </c:pt>
                <c:pt idx="59">
                  <c:v>794.27839197287187</c:v>
                </c:pt>
                <c:pt idx="60">
                  <c:v>800.7956705026412</c:v>
                </c:pt>
                <c:pt idx="61">
                  <c:v>807.27626669504536</c:v>
                </c:pt>
                <c:pt idx="62">
                  <c:v>813.72088075718</c:v>
                </c:pt>
                <c:pt idx="63">
                  <c:v>820.13019035691229</c:v>
                </c:pt>
                <c:pt idx="64">
                  <c:v>826.50485163582846</c:v>
                </c:pt>
                <c:pt idx="65">
                  <c:v>662.50071845771674</c:v>
                </c:pt>
                <c:pt idx="66">
                  <c:v>839.15275184204313</c:v>
                </c:pt>
                <c:pt idx="67">
                  <c:v>845.42720374906673</c:v>
                </c:pt>
                <c:pt idx="68">
                  <c:v>851.66943494875761</c:v>
                </c:pt>
                <c:pt idx="69">
                  <c:v>857.88000724771439</c:v>
                </c:pt>
                <c:pt idx="70">
                  <c:v>745.58216506761278</c:v>
                </c:pt>
                <c:pt idx="71">
                  <c:v>752.88517771709758</c:v>
                </c:pt>
                <c:pt idx="72">
                  <c:v>760.15158198761014</c:v>
                </c:pt>
                <c:pt idx="73">
                  <c:v>767.38208784114295</c:v>
                </c:pt>
                <c:pt idx="74">
                  <c:v>774.57738155167692</c:v>
                </c:pt>
                <c:pt idx="75">
                  <c:v>781.73812681730226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05-4F23-9C75-ADF15879BC6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'SPT-04'!$P$2:$P$90</c:f>
              <c:numCache>
                <c:formatCode>General</c:formatCode>
                <c:ptCount val="89"/>
                <c:pt idx="0">
                  <c:v>71.147914211706166</c:v>
                </c:pt>
                <c:pt idx="1">
                  <c:v>75.750663099767493</c:v>
                </c:pt>
                <c:pt idx="2">
                  <c:v>59.725883245278972</c:v>
                </c:pt>
                <c:pt idx="3">
                  <c:v>97.489528473973721</c:v>
                </c:pt>
                <c:pt idx="4">
                  <c:v>115.61221804124598</c:v>
                </c:pt>
                <c:pt idx="5">
                  <c:v>237.04562058402823</c:v>
                </c:pt>
                <c:pt idx="6">
                  <c:v>244.97125228493681</c:v>
                </c:pt>
                <c:pt idx="7">
                  <c:v>281.25759140754349</c:v>
                </c:pt>
                <c:pt idx="8">
                  <c:v>288.94420460759102</c:v>
                </c:pt>
                <c:pt idx="9">
                  <c:v>321.52961212927426</c:v>
                </c:pt>
                <c:pt idx="10">
                  <c:v>294.2102162324822</c:v>
                </c:pt>
                <c:pt idx="11">
                  <c:v>255.74111180352853</c:v>
                </c:pt>
                <c:pt idx="12">
                  <c:v>308.09099521852647</c:v>
                </c:pt>
                <c:pt idx="13">
                  <c:v>213.51643505011216</c:v>
                </c:pt>
                <c:pt idx="14">
                  <c:v>245.58109184486253</c:v>
                </c:pt>
                <c:pt idx="15">
                  <c:v>154.33548247922653</c:v>
                </c:pt>
                <c:pt idx="16">
                  <c:v>376.97314577589748</c:v>
                </c:pt>
                <c:pt idx="17">
                  <c:v>489.56422066526613</c:v>
                </c:pt>
                <c:pt idx="18">
                  <c:v>501.14267052506199</c:v>
                </c:pt>
                <c:pt idx="19">
                  <c:v>479.39186221166756</c:v>
                </c:pt>
                <c:pt idx="20">
                  <c:v>281.64375134210979</c:v>
                </c:pt>
                <c:pt idx="21">
                  <c:v>261.18938575978996</c:v>
                </c:pt>
                <c:pt idx="22">
                  <c:v>410.60629594279573</c:v>
                </c:pt>
                <c:pt idx="23">
                  <c:v>321.20247557741305</c:v>
                </c:pt>
                <c:pt idx="24">
                  <c:v>425.259217133927</c:v>
                </c:pt>
                <c:pt idx="25">
                  <c:v>345.59527237734858</c:v>
                </c:pt>
                <c:pt idx="26">
                  <c:v>431.12239902088322</c:v>
                </c:pt>
                <c:pt idx="27">
                  <c:v>409.9325141631777</c:v>
                </c:pt>
                <c:pt idx="28">
                  <c:v>328.55149044581884</c:v>
                </c:pt>
                <c:pt idx="29">
                  <c:v>436.34784675877955</c:v>
                </c:pt>
                <c:pt idx="30">
                  <c:v>510.94140390540025</c:v>
                </c:pt>
                <c:pt idx="31">
                  <c:v>662.62073653035691</c:v>
                </c:pt>
                <c:pt idx="32">
                  <c:v>549.30846072113502</c:v>
                </c:pt>
                <c:pt idx="33">
                  <c:v>681.35203315572835</c:v>
                </c:pt>
                <c:pt idx="34">
                  <c:v>690.58445168164167</c:v>
                </c:pt>
                <c:pt idx="35">
                  <c:v>579.92317498013142</c:v>
                </c:pt>
                <c:pt idx="36">
                  <c:v>590.2515070817301</c:v>
                </c:pt>
                <c:pt idx="37">
                  <c:v>472.54599435807995</c:v>
                </c:pt>
                <c:pt idx="38">
                  <c:v>480.63321310335681</c:v>
                </c:pt>
                <c:pt idx="39">
                  <c:v>743.7671613679322</c:v>
                </c:pt>
                <c:pt idx="40">
                  <c:v>752.45918949449151</c:v>
                </c:pt>
                <c:pt idx="41">
                  <c:v>623.42869053934396</c:v>
                </c:pt>
                <c:pt idx="42">
                  <c:v>769.63727526779928</c:v>
                </c:pt>
                <c:pt idx="43">
                  <c:v>778.12697325797501</c:v>
                </c:pt>
                <c:pt idx="44">
                  <c:v>786.55273355069266</c:v>
                </c:pt>
                <c:pt idx="45">
                  <c:v>794.91618179197121</c:v>
                </c:pt>
                <c:pt idx="46">
                  <c:v>803.21887423331191</c:v>
                </c:pt>
                <c:pt idx="47">
                  <c:v>683.91211143465102</c:v>
                </c:pt>
                <c:pt idx="48">
                  <c:v>693.40214183555622</c:v>
                </c:pt>
                <c:pt idx="49">
                  <c:v>702.82518776000279</c:v>
                </c:pt>
                <c:pt idx="50">
                  <c:v>712.18306771519019</c:v>
                </c:pt>
                <c:pt idx="51">
                  <c:v>721.47751575084385</c:v>
                </c:pt>
                <c:pt idx="52">
                  <c:v>730.71018694810414</c:v>
                </c:pt>
                <c:pt idx="53">
                  <c:v>870.8444303698592</c:v>
                </c:pt>
                <c:pt idx="54">
                  <c:v>878.64073124886795</c:v>
                </c:pt>
                <c:pt idx="55">
                  <c:v>886.38921390328073</c:v>
                </c:pt>
                <c:pt idx="56">
                  <c:v>894.09087179670485</c:v>
                </c:pt>
                <c:pt idx="57">
                  <c:v>901.74666362761627</c:v>
                </c:pt>
                <c:pt idx="58">
                  <c:v>909.35751502615199</c:v>
                </c:pt>
                <c:pt idx="59">
                  <c:v>916.9243201451535</c:v>
                </c:pt>
                <c:pt idx="60">
                  <c:v>924.44794315378442</c:v>
                </c:pt>
                <c:pt idx="61">
                  <c:v>931.92921964060372</c:v>
                </c:pt>
                <c:pt idx="62">
                  <c:v>939.36895793292103</c:v>
                </c:pt>
                <c:pt idx="63">
                  <c:v>946.76794033849444</c:v>
                </c:pt>
                <c:pt idx="64">
                  <c:v>954.12692431489018</c:v>
                </c:pt>
                <c:pt idx="65">
                  <c:v>764.79862351368774</c:v>
                </c:pt>
                <c:pt idx="66">
                  <c:v>968.7278091117704</c:v>
                </c:pt>
                <c:pt idx="67">
                  <c:v>975.97111021031981</c:v>
                </c:pt>
                <c:pt idx="68">
                  <c:v>983.17721534525697</c:v>
                </c:pt>
                <c:pt idx="69">
                  <c:v>990.34677307272921</c:v>
                </c:pt>
                <c:pt idx="70">
                  <c:v>860.70882290893542</c:v>
                </c:pt>
                <c:pt idx="71">
                  <c:v>869.13950662929653</c:v>
                </c:pt>
                <c:pt idx="72">
                  <c:v>877.52792920628519</c:v>
                </c:pt>
                <c:pt idx="73">
                  <c:v>885.87491022837833</c:v>
                </c:pt>
                <c:pt idx="74">
                  <c:v>894.18124193833285</c:v>
                </c:pt>
                <c:pt idx="75">
                  <c:v>902.4476905170327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05-4F23-9C75-ADF15879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'SPT-04'!$Q$2:$Q$90</c:f>
              <c:numCache>
                <c:formatCode>General</c:formatCode>
                <c:ptCount val="89"/>
                <c:pt idx="0">
                  <c:v>486.00982523894493</c:v>
                </c:pt>
                <c:pt idx="1">
                  <c:v>514.84100982858058</c:v>
                </c:pt>
                <c:pt idx="2">
                  <c:v>445.67838914283658</c:v>
                </c:pt>
                <c:pt idx="3">
                  <c:v>702.02720531928264</c:v>
                </c:pt>
                <c:pt idx="4">
                  <c:v>869.06437430451831</c:v>
                </c:pt>
                <c:pt idx="5">
                  <c:v>1323.7990991646886</c:v>
                </c:pt>
                <c:pt idx="6">
                  <c:v>1542.0018092889509</c:v>
                </c:pt>
                <c:pt idx="7">
                  <c:v>1909.712457433146</c:v>
                </c:pt>
                <c:pt idx="8">
                  <c:v>2162.6798751748088</c:v>
                </c:pt>
                <c:pt idx="9">
                  <c:v>2548.9219434240185</c:v>
                </c:pt>
                <c:pt idx="10">
                  <c:v>3033.3734192328748</c:v>
                </c:pt>
                <c:pt idx="11">
                  <c:v>3041.6432843058915</c:v>
                </c:pt>
                <c:pt idx="12">
                  <c:v>3533.0628224293096</c:v>
                </c:pt>
                <c:pt idx="13">
                  <c:v>3231.815241256274</c:v>
                </c:pt>
                <c:pt idx="14">
                  <c:v>3577.0527772659666</c:v>
                </c:pt>
                <c:pt idx="15">
                  <c:v>3239.6024609880346</c:v>
                </c:pt>
                <c:pt idx="16">
                  <c:v>4620.6560848679455</c:v>
                </c:pt>
                <c:pt idx="17">
                  <c:v>5059.6721270133548</c:v>
                </c:pt>
                <c:pt idx="18">
                  <c:v>5502.1243573533484</c:v>
                </c:pt>
                <c:pt idx="19">
                  <c:v>5777.3699490827958</c:v>
                </c:pt>
                <c:pt idx="20">
                  <c:v>5529.1398887476225</c:v>
                </c:pt>
                <c:pt idx="21">
                  <c:v>5629.340406962554</c:v>
                </c:pt>
                <c:pt idx="22">
                  <c:v>6671.6584265181555</c:v>
                </c:pt>
                <c:pt idx="23">
                  <c:v>6489.3262838402088</c:v>
                </c:pt>
                <c:pt idx="24">
                  <c:v>7321.4266094126151</c:v>
                </c:pt>
                <c:pt idx="25">
                  <c:v>7206.4764237905219</c:v>
                </c:pt>
                <c:pt idx="26">
                  <c:v>7953.506165149206</c:v>
                </c:pt>
                <c:pt idx="27">
                  <c:v>8171.4268797413861</c:v>
                </c:pt>
                <c:pt idx="28">
                  <c:v>8033.8519571302713</c:v>
                </c:pt>
                <c:pt idx="29">
                  <c:v>8892.6434900664171</c:v>
                </c:pt>
                <c:pt idx="30">
                  <c:v>9647.4968754218953</c:v>
                </c:pt>
                <c:pt idx="31">
                  <c:v>10329.433472740038</c:v>
                </c:pt>
                <c:pt idx="32">
                  <c:v>10240.685678315653</c:v>
                </c:pt>
                <c:pt idx="33">
                  <c:v>11380.810334538932</c:v>
                </c:pt>
                <c:pt idx="34">
                  <c:v>11966.096084216431</c:v>
                </c:pt>
                <c:pt idx="35">
                  <c:v>12466.678758160815</c:v>
                </c:pt>
                <c:pt idx="36">
                  <c:v>12979.039380432429</c:v>
                </c:pt>
                <c:pt idx="37">
                  <c:v>12791.702335289059</c:v>
                </c:pt>
                <c:pt idx="38">
                  <c:v>13206.387035341184</c:v>
                </c:pt>
                <c:pt idx="39">
                  <c:v>14450.876721774024</c:v>
                </c:pt>
                <c:pt idx="40">
                  <c:v>15083.615622991663</c:v>
                </c:pt>
                <c:pt idx="41">
                  <c:v>14975.379856616753</c:v>
                </c:pt>
                <c:pt idx="42">
                  <c:v>16259.060774033753</c:v>
                </c:pt>
                <c:pt idx="43">
                  <c:v>16911.562599736135</c:v>
                </c:pt>
                <c:pt idx="44">
                  <c:v>17570.560673349326</c:v>
                </c:pt>
                <c:pt idx="45">
                  <c:v>18236.011058413838</c:v>
                </c:pt>
                <c:pt idx="46">
                  <c:v>18907.870813954363</c:v>
                </c:pt>
                <c:pt idx="47">
                  <c:v>19487.841319652565</c:v>
                </c:pt>
                <c:pt idx="48">
                  <c:v>20078.665425957432</c:v>
                </c:pt>
                <c:pt idx="49">
                  <c:v>20676.704232449934</c:v>
                </c:pt>
                <c:pt idx="50">
                  <c:v>21281.914428413183</c:v>
                </c:pt>
                <c:pt idx="51">
                  <c:v>21894.253673030758</c:v>
                </c:pt>
                <c:pt idx="52">
                  <c:v>22513.680559730543</c:v>
                </c:pt>
                <c:pt idx="53">
                  <c:v>23241.301350009417</c:v>
                </c:pt>
                <c:pt idx="54">
                  <c:v>23971.54622972387</c:v>
                </c:pt>
                <c:pt idx="55">
                  <c:v>24707.804321940657</c:v>
                </c:pt>
                <c:pt idx="56">
                  <c:v>25450.041802766787</c:v>
                </c:pt>
                <c:pt idx="57">
                  <c:v>26198.225489705488</c:v>
                </c:pt>
                <c:pt idx="58">
                  <c:v>26952.322821288748</c:v>
                </c:pt>
                <c:pt idx="59">
                  <c:v>27712.301837605533</c:v>
                </c:pt>
                <c:pt idx="60">
                  <c:v>28478.131161676025</c:v>
                </c:pt>
                <c:pt idx="61">
                  <c:v>29249.779981625266</c:v>
                </c:pt>
                <c:pt idx="62">
                  <c:v>30027.218033612902</c:v>
                </c:pt>
                <c:pt idx="63">
                  <c:v>30810.415585478295</c:v>
                </c:pt>
                <c:pt idx="64">
                  <c:v>31599.343421063048</c:v>
                </c:pt>
                <c:pt idx="65">
                  <c:v>31307.833467719738</c:v>
                </c:pt>
                <c:pt idx="66">
                  <c:v>33037.29116249302</c:v>
                </c:pt>
                <c:pt idx="67">
                  <c:v>33843.239490395106</c:v>
                </c:pt>
                <c:pt idx="68">
                  <c:v>34654.806105637464</c:v>
                </c:pt>
                <c:pt idx="69">
                  <c:v>35471.964158253577</c:v>
                </c:pt>
                <c:pt idx="70">
                  <c:v>36188.603601794552</c:v>
                </c:pt>
                <c:pt idx="71">
                  <c:v>36914.897223905995</c:v>
                </c:pt>
                <c:pt idx="72">
                  <c:v>37647.697023970482</c:v>
                </c:pt>
                <c:pt idx="73">
                  <c:v>38386.973768316522</c:v>
                </c:pt>
                <c:pt idx="74">
                  <c:v>39132.698724157519</c:v>
                </c:pt>
                <c:pt idx="75">
                  <c:v>39884.84364506766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55-4EB1-B488-84F4C05AB2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'SPT-04'!$R$2:$R$90</c:f>
              <c:numCache>
                <c:formatCode>General</c:formatCode>
                <c:ptCount val="89"/>
                <c:pt idx="0">
                  <c:v>563.01210028402738</c:v>
                </c:pt>
                <c:pt idx="1">
                  <c:v>591.66971200998887</c:v>
                </c:pt>
                <c:pt idx="2">
                  <c:v>506.91892063476723</c:v>
                </c:pt>
                <c:pt idx="3">
                  <c:v>799.90833391221918</c:v>
                </c:pt>
                <c:pt idx="4">
                  <c:v>987.36779626685075</c:v>
                </c:pt>
                <c:pt idx="5">
                  <c:v>1502.8492678972748</c:v>
                </c:pt>
                <c:pt idx="6">
                  <c:v>1741.5024876666298</c:v>
                </c:pt>
                <c:pt idx="7">
                  <c:v>2152.3968309756337</c:v>
                </c:pt>
                <c:pt idx="8">
                  <c:v>2428.7453108053887</c:v>
                </c:pt>
                <c:pt idx="9">
                  <c:v>2858.6174599814549</c:v>
                </c:pt>
                <c:pt idx="10">
                  <c:v>3405.0230273324128</c:v>
                </c:pt>
                <c:pt idx="11">
                  <c:v>3397.731055983123</c:v>
                </c:pt>
                <c:pt idx="12">
                  <c:v>3951.3561897237651</c:v>
                </c:pt>
                <c:pt idx="13">
                  <c:v>3585.3029683806089</c:v>
                </c:pt>
                <c:pt idx="14">
                  <c:v>3972.3104275010255</c:v>
                </c:pt>
                <c:pt idx="15">
                  <c:v>3567.8902210899196</c:v>
                </c:pt>
                <c:pt idx="16">
                  <c:v>5156.1679327101674</c:v>
                </c:pt>
                <c:pt idx="17">
                  <c:v>5636.5490236249479</c:v>
                </c:pt>
                <c:pt idx="18">
                  <c:v>6120.1765666624633</c:v>
                </c:pt>
                <c:pt idx="19">
                  <c:v>6409.9248792175695</c:v>
                </c:pt>
                <c:pt idx="20">
                  <c:v>6101.2876647446283</c:v>
                </c:pt>
                <c:pt idx="21">
                  <c:v>6201.0225625425373</c:v>
                </c:pt>
                <c:pt idx="22">
                  <c:v>7391.3796807005647</c:v>
                </c:pt>
                <c:pt idx="23">
                  <c:v>7157.0983303743815</c:v>
                </c:pt>
                <c:pt idx="24">
                  <c:v>8100.9201165089326</c:v>
                </c:pt>
                <c:pt idx="25">
                  <c:v>7943.7335043028543</c:v>
                </c:pt>
                <c:pt idx="26">
                  <c:v>8787.7921491745528</c:v>
                </c:pt>
                <c:pt idx="27">
                  <c:v>9015.1811493747919</c:v>
                </c:pt>
                <c:pt idx="28">
                  <c:v>8832.6954242771626</c:v>
                </c:pt>
                <c:pt idx="29">
                  <c:v>9806.9612864484243</c:v>
                </c:pt>
                <c:pt idx="30">
                  <c:v>10654.868082407738</c:v>
                </c:pt>
                <c:pt idx="31">
                  <c:v>11407.543357570441</c:v>
                </c:pt>
                <c:pt idx="32">
                  <c:v>11267.461285451674</c:v>
                </c:pt>
                <c:pt idx="33">
                  <c:v>12554.123445678275</c:v>
                </c:pt>
                <c:pt idx="34">
                  <c:v>13192.043211257376</c:v>
                </c:pt>
                <c:pt idx="35">
                  <c:v>13738.353209625382</c:v>
                </c:pt>
                <c:pt idx="36">
                  <c:v>14297.736883805466</c:v>
                </c:pt>
                <c:pt idx="37">
                  <c:v>14047.576971009328</c:v>
                </c:pt>
                <c:pt idx="38">
                  <c:v>14500.127620086081</c:v>
                </c:pt>
                <c:pt idx="39">
                  <c:v>15904.565593135259</c:v>
                </c:pt>
                <c:pt idx="40">
                  <c:v>16593.815859861425</c:v>
                </c:pt>
                <c:pt idx="41">
                  <c:v>16426.055859724573</c:v>
                </c:pt>
                <c:pt idx="42">
                  <c:v>17874.559884122009</c:v>
                </c:pt>
                <c:pt idx="43">
                  <c:v>18585.194601178817</c:v>
                </c:pt>
                <c:pt idx="44">
                  <c:v>19302.859336137622</c:v>
                </c:pt>
                <c:pt idx="45">
                  <c:v>20027.506895479804</c:v>
                </c:pt>
                <c:pt idx="46">
                  <c:v>20759.091145393759</c:v>
                </c:pt>
                <c:pt idx="47">
                  <c:v>21391.244243699512</c:v>
                </c:pt>
                <c:pt idx="48">
                  <c:v>22035.446817413704</c:v>
                </c:pt>
                <c:pt idx="49">
                  <c:v>22687.452555813165</c:v>
                </c:pt>
                <c:pt idx="50">
                  <c:v>23347.215185513254</c:v>
                </c:pt>
                <c:pt idx="51">
                  <c:v>24014.689451165224</c:v>
                </c:pt>
                <c:pt idx="52">
                  <c:v>24689.831079039377</c:v>
                </c:pt>
                <c:pt idx="53">
                  <c:v>25482.069408762873</c:v>
                </c:pt>
                <c:pt idx="54">
                  <c:v>26276.856252078</c:v>
                </c:pt>
                <c:pt idx="55">
                  <c:v>27078.153754335508</c:v>
                </c:pt>
                <c:pt idx="56">
                  <c:v>27885.925508318247</c:v>
                </c:pt>
                <c:pt idx="57">
                  <c:v>28700.1357925013</c:v>
                </c:pt>
                <c:pt idx="58">
                  <c:v>29520.74954945191</c:v>
                </c:pt>
                <c:pt idx="59">
                  <c:v>30347.73236517021</c:v>
                </c:pt>
                <c:pt idx="60">
                  <c:v>31181.050449319242</c:v>
                </c:pt>
                <c:pt idx="61">
                  <c:v>32020.670616295778</c:v>
                </c:pt>
                <c:pt idx="62">
                  <c:v>32866.560267096902</c:v>
                </c:pt>
                <c:pt idx="63">
                  <c:v>33718.68737193993</c:v>
                </c:pt>
                <c:pt idx="64">
                  <c:v>34577.020453596218</c:v>
                </c:pt>
                <c:pt idx="65">
                  <c:v>34185.799245415234</c:v>
                </c:pt>
                <c:pt idx="66">
                  <c:v>36141.836524202568</c:v>
                </c:pt>
                <c:pt idx="67">
                  <c:v>37018.603962443682</c:v>
                </c:pt>
                <c:pt idx="68">
                  <c:v>37901.456683769233</c:v>
                </c:pt>
                <c:pt idx="69">
                  <c:v>38790.365746239368</c:v>
                </c:pt>
                <c:pt idx="70">
                  <c:v>39570.448168436669</c:v>
                </c:pt>
                <c:pt idx="71">
                  <c:v>40361.249192327188</c:v>
                </c:pt>
                <c:pt idx="72">
                  <c:v>41159.094308825115</c:v>
                </c:pt>
                <c:pt idx="73">
                  <c:v>41963.9521159047</c:v>
                </c:pt>
                <c:pt idx="74">
                  <c:v>42775.791744129107</c:v>
                </c:pt>
                <c:pt idx="75">
                  <c:v>43594.582841411895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55-4EB1-B488-84F4C05AB2E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'SPT-04'!$S$2:$S$90</c:f>
              <c:numCache>
                <c:formatCode>General</c:formatCode>
                <c:ptCount val="89"/>
                <c:pt idx="0">
                  <c:v>739.65562896160225</c:v>
                </c:pt>
                <c:pt idx="1">
                  <c:v>766.12522929625356</c:v>
                </c:pt>
                <c:pt idx="2">
                  <c:v>643.86729625900398</c:v>
                </c:pt>
                <c:pt idx="3">
                  <c:v>1019.4100053028251</c:v>
                </c:pt>
                <c:pt idx="4">
                  <c:v>1251.4372886185315</c:v>
                </c:pt>
                <c:pt idx="5">
                  <c:v>1902.0063626764345</c:v>
                </c:pt>
                <c:pt idx="6">
                  <c:v>2182.2427121421551</c:v>
                </c:pt>
                <c:pt idx="7">
                  <c:v>2686.5098956353686</c:v>
                </c:pt>
                <c:pt idx="8">
                  <c:v>3010.1912510424436</c:v>
                </c:pt>
                <c:pt idx="9">
                  <c:v>3533.5204399960166</c:v>
                </c:pt>
                <c:pt idx="10">
                  <c:v>4216.4617361986275</c:v>
                </c:pt>
                <c:pt idx="11">
                  <c:v>4167.1019502771596</c:v>
                </c:pt>
                <c:pt idx="12">
                  <c:v>4857.5179616108553</c:v>
                </c:pt>
                <c:pt idx="13">
                  <c:v>4336.3542190160351</c:v>
                </c:pt>
                <c:pt idx="14">
                  <c:v>4814.3017022919312</c:v>
                </c:pt>
                <c:pt idx="15">
                  <c:v>4251.1543990070941</c:v>
                </c:pt>
                <c:pt idx="16">
                  <c:v>6310.4311787435599</c:v>
                </c:pt>
                <c:pt idx="17">
                  <c:v>6875.0620428325574</c:v>
                </c:pt>
                <c:pt idx="18">
                  <c:v>7442.2269729370801</c:v>
                </c:pt>
                <c:pt idx="19">
                  <c:v>7754.2574067866663</c:v>
                </c:pt>
                <c:pt idx="20">
                  <c:v>7299.0893292134569</c:v>
                </c:pt>
                <c:pt idx="21">
                  <c:v>7391.5876108623379</c:v>
                </c:pt>
                <c:pt idx="22">
                  <c:v>8915.0908180797833</c:v>
                </c:pt>
                <c:pt idx="23">
                  <c:v>8552.932710389774</c:v>
                </c:pt>
                <c:pt idx="24">
                  <c:v>9745.4510943424721</c:v>
                </c:pt>
                <c:pt idx="25">
                  <c:v>9482.3053462554999</c:v>
                </c:pt>
                <c:pt idx="26">
                  <c:v>10540.897477573764</c:v>
                </c:pt>
                <c:pt idx="27">
                  <c:v>10780.547623203995</c:v>
                </c:pt>
                <c:pt idx="28">
                  <c:v>10486.311329862476</c:v>
                </c:pt>
                <c:pt idx="29">
                  <c:v>11717.703195319293</c:v>
                </c:pt>
                <c:pt idx="30">
                  <c:v>12769.055096332786</c:v>
                </c:pt>
                <c:pt idx="31">
                  <c:v>13669.922949911261</c:v>
                </c:pt>
                <c:pt idx="32">
                  <c:v>13398.009873641135</c:v>
                </c:pt>
                <c:pt idx="33">
                  <c:v>15007.957088507244</c:v>
                </c:pt>
                <c:pt idx="34">
                  <c:v>15751.483516980526</c:v>
                </c:pt>
                <c:pt idx="35">
                  <c:v>16390.014912312919</c:v>
                </c:pt>
                <c:pt idx="36">
                  <c:v>17044.377093561594</c:v>
                </c:pt>
                <c:pt idx="37">
                  <c:v>16637.590930453069</c:v>
                </c:pt>
                <c:pt idx="38">
                  <c:v>17166.498750121129</c:v>
                </c:pt>
                <c:pt idx="39">
                  <c:v>18923.806699792094</c:v>
                </c:pt>
                <c:pt idx="40">
                  <c:v>19726.18386894482</c:v>
                </c:pt>
                <c:pt idx="41">
                  <c:v>19405.879039867716</c:v>
                </c:pt>
                <c:pt idx="42">
                  <c:v>21217.932131644873</c:v>
                </c:pt>
                <c:pt idx="43">
                  <c:v>22044.843667236892</c:v>
                </c:pt>
                <c:pt idx="44">
                  <c:v>22879.822656631648</c:v>
                </c:pt>
                <c:pt idx="45">
                  <c:v>23722.81583284412</c:v>
                </c:pt>
                <c:pt idx="46">
                  <c:v>24573.771100629536</c:v>
                </c:pt>
                <c:pt idx="47">
                  <c:v>25310.642781311672</c:v>
                </c:pt>
                <c:pt idx="48">
                  <c:v>26062.109575236333</c:v>
                </c:pt>
                <c:pt idx="49">
                  <c:v>26822.520116655396</c:v>
                </c:pt>
                <c:pt idx="50">
                  <c:v>27591.82280775614</c:v>
                </c:pt>
                <c:pt idx="51">
                  <c:v>28369.9671393477</c:v>
                </c:pt>
                <c:pt idx="52">
                  <c:v>29156.90365454464</c:v>
                </c:pt>
                <c:pt idx="53">
                  <c:v>30078.249785434986</c:v>
                </c:pt>
                <c:pt idx="54">
                  <c:v>31001.785590574545</c:v>
                </c:pt>
                <c:pt idx="55">
                  <c:v>31932.801341748163</c:v>
                </c:pt>
                <c:pt idx="56">
                  <c:v>32871.25575334052</c:v>
                </c:pt>
                <c:pt idx="57">
                  <c:v>33817.108305404516</c:v>
                </c:pt>
                <c:pt idx="58">
                  <c:v>34770.319219986413</c:v>
                </c:pt>
                <c:pt idx="59">
                  <c:v>35730.849438458805</c:v>
                </c:pt>
                <c:pt idx="60">
                  <c:v>36698.660599807779</c:v>
                </c:pt>
                <c:pt idx="61">
                  <c:v>37673.715019823707</c:v>
                </c:pt>
                <c:pt idx="62">
                  <c:v>38655.975671148546</c:v>
                </c:pt>
                <c:pt idx="63">
                  <c:v>39645.406164135202</c:v>
                </c:pt>
                <c:pt idx="64">
                  <c:v>40641.970728477369</c:v>
                </c:pt>
                <c:pt idx="65">
                  <c:v>40001.806783139451</c:v>
                </c:pt>
                <c:pt idx="66">
                  <c:v>42459.71396151161</c:v>
                </c:pt>
                <c:pt idx="67">
                  <c:v>43477.47205104465</c:v>
                </c:pt>
                <c:pt idx="68">
                  <c:v>44502.226981558961</c:v>
                </c:pt>
                <c:pt idx="69">
                  <c:v>45533.945828261589</c:v>
                </c:pt>
                <c:pt idx="70">
                  <c:v>46440.654994010103</c:v>
                </c:pt>
                <c:pt idx="71">
                  <c:v>47360.348962203956</c:v>
                </c:pt>
                <c:pt idx="72">
                  <c:v>48288.134937424002</c:v>
                </c:pt>
                <c:pt idx="73">
                  <c:v>49223.977473303625</c:v>
                </c:pt>
                <c:pt idx="74">
                  <c:v>50167.841710805609</c:v>
                </c:pt>
                <c:pt idx="75">
                  <c:v>51119.693361943282</c:v>
                </c:pt>
              </c:numCache>
            </c:numRef>
          </c:xVal>
          <c:yVal>
            <c:numRef>
              <c:f>'SPT-04'!$A$2:$A$90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55-4EB1-B488-84F4C05A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'SPT-05'!$N$2:$N$90</c:f>
              <c:numCache>
                <c:formatCode>General</c:formatCode>
                <c:ptCount val="89"/>
                <c:pt idx="0">
                  <c:v>93.785924949095019</c:v>
                </c:pt>
                <c:pt idx="1">
                  <c:v>132.76051583360774</c:v>
                </c:pt>
                <c:pt idx="2">
                  <c:v>159.99567280679383</c:v>
                </c:pt>
                <c:pt idx="3">
                  <c:v>195.11690710484453</c:v>
                </c:pt>
                <c:pt idx="4">
                  <c:v>226.29167294703112</c:v>
                </c:pt>
                <c:pt idx="5">
                  <c:v>247.26522833515514</c:v>
                </c:pt>
                <c:pt idx="6">
                  <c:v>189.00339093190146</c:v>
                </c:pt>
                <c:pt idx="7">
                  <c:v>100.04880370434991</c:v>
                </c:pt>
                <c:pt idx="8">
                  <c:v>189.22939740941871</c:v>
                </c:pt>
                <c:pt idx="9">
                  <c:v>165.40213667671421</c:v>
                </c:pt>
                <c:pt idx="10">
                  <c:v>169.93167140883418</c:v>
                </c:pt>
                <c:pt idx="11">
                  <c:v>265.21331658262039</c:v>
                </c:pt>
                <c:pt idx="12">
                  <c:v>288.08594507079835</c:v>
                </c:pt>
                <c:pt idx="13">
                  <c:v>276.72931339372781</c:v>
                </c:pt>
                <c:pt idx="14">
                  <c:v>252.59080007802095</c:v>
                </c:pt>
                <c:pt idx="15">
                  <c:v>218.47453471768344</c:v>
                </c:pt>
                <c:pt idx="16">
                  <c:v>198.37972857266786</c:v>
                </c:pt>
                <c:pt idx="17">
                  <c:v>301.9422201006862</c:v>
                </c:pt>
                <c:pt idx="18">
                  <c:v>390.83687226922859</c:v>
                </c:pt>
                <c:pt idx="19">
                  <c:v>410.22080259353311</c:v>
                </c:pt>
                <c:pt idx="20">
                  <c:v>419.16331958057316</c:v>
                </c:pt>
                <c:pt idx="21">
                  <c:v>272.82971778821155</c:v>
                </c:pt>
                <c:pt idx="22">
                  <c:v>408.56865474980657</c:v>
                </c:pt>
                <c:pt idx="23">
                  <c:v>324.68144463770938</c:v>
                </c:pt>
                <c:pt idx="24">
                  <c:v>337.62143639450875</c:v>
                </c:pt>
                <c:pt idx="25">
                  <c:v>273.31531818675415</c:v>
                </c:pt>
                <c:pt idx="26">
                  <c:v>286.01605614357527</c:v>
                </c:pt>
                <c:pt idx="27">
                  <c:v>478.42225109668345</c:v>
                </c:pt>
                <c:pt idx="28">
                  <c:v>334.00554174493374</c:v>
                </c:pt>
                <c:pt idx="29">
                  <c:v>404.38707724375354</c:v>
                </c:pt>
                <c:pt idx="30">
                  <c:v>186.09540320022643</c:v>
                </c:pt>
                <c:pt idx="31">
                  <c:v>345.4169059153889</c:v>
                </c:pt>
                <c:pt idx="32">
                  <c:v>431.83561213926072</c:v>
                </c:pt>
                <c:pt idx="33">
                  <c:v>440.7845262458768</c:v>
                </c:pt>
                <c:pt idx="34">
                  <c:v>449.43980015528388</c:v>
                </c:pt>
                <c:pt idx="35">
                  <c:v>345.63120336199461</c:v>
                </c:pt>
                <c:pt idx="36">
                  <c:v>373.94859672496762</c:v>
                </c:pt>
                <c:pt idx="37">
                  <c:v>474.31997794786349</c:v>
                </c:pt>
                <c:pt idx="38">
                  <c:v>482.46322737623956</c:v>
                </c:pt>
                <c:pt idx="39">
                  <c:v>490.53570598617705</c:v>
                </c:pt>
                <c:pt idx="40">
                  <c:v>263.3462774722426</c:v>
                </c:pt>
                <c:pt idx="41">
                  <c:v>603.93540582833145</c:v>
                </c:pt>
                <c:pt idx="42">
                  <c:v>610.79345342462148</c:v>
                </c:pt>
                <c:pt idx="43">
                  <c:v>617.59835931196108</c:v>
                </c:pt>
                <c:pt idx="44">
                  <c:v>624.35151296200854</c:v>
                </c:pt>
                <c:pt idx="45">
                  <c:v>491.25683836285771</c:v>
                </c:pt>
                <c:pt idx="46">
                  <c:v>637.70782033142223</c:v>
                </c:pt>
                <c:pt idx="47">
                  <c:v>644.31346275233807</c:v>
                </c:pt>
                <c:pt idx="48">
                  <c:v>650.87233693638007</c:v>
                </c:pt>
                <c:pt idx="49">
                  <c:v>657.38556195639774</c:v>
                </c:pt>
                <c:pt idx="50">
                  <c:v>498.77101943523246</c:v>
                </c:pt>
                <c:pt idx="51">
                  <c:v>414.0044094845727</c:v>
                </c:pt>
                <c:pt idx="52">
                  <c:v>573.13587887578126</c:v>
                </c:pt>
                <c:pt idx="53">
                  <c:v>580.52496931440862</c:v>
                </c:pt>
                <c:pt idx="54">
                  <c:v>360.33505024845522</c:v>
                </c:pt>
                <c:pt idx="55">
                  <c:v>595.15879242812673</c:v>
                </c:pt>
                <c:pt idx="56">
                  <c:v>602.4059270378732</c:v>
                </c:pt>
                <c:pt idx="57">
                  <c:v>404.00685834240579</c:v>
                </c:pt>
                <c:pt idx="58">
                  <c:v>616.76626737577669</c:v>
                </c:pt>
                <c:pt idx="59">
                  <c:v>623.88158371650968</c:v>
                </c:pt>
                <c:pt idx="60">
                  <c:v>630.95500007387943</c:v>
                </c:pt>
                <c:pt idx="61">
                  <c:v>637.98746862757343</c:v>
                </c:pt>
                <c:pt idx="62">
                  <c:v>644.97990442044807</c:v>
                </c:pt>
                <c:pt idx="63">
                  <c:v>422.13734442505904</c:v>
                </c:pt>
                <c:pt idx="64">
                  <c:v>658.84816426754355</c:v>
                </c:pt>
                <c:pt idx="65">
                  <c:v>774.01868322009864</c:v>
                </c:pt>
                <c:pt idx="66">
                  <c:v>779.79750050399241</c:v>
                </c:pt>
                <c:pt idx="67">
                  <c:v>785.54668591809946</c:v>
                </c:pt>
                <c:pt idx="68">
                  <c:v>791.26675537908727</c:v>
                </c:pt>
                <c:pt idx="69">
                  <c:v>796.95820963822814</c:v>
                </c:pt>
                <c:pt idx="70">
                  <c:v>802.62153490464789</c:v>
                </c:pt>
                <c:pt idx="71">
                  <c:v>808.25720343571129</c:v>
                </c:pt>
                <c:pt idx="72">
                  <c:v>813.86567409681709</c:v>
                </c:pt>
                <c:pt idx="73">
                  <c:v>819.44739289253255</c:v>
                </c:pt>
                <c:pt idx="74">
                  <c:v>825.00279347065441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7-433A-9DA7-D71313FB626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'SPT-05'!$O$2:$O$90</c:f>
              <c:numCache>
                <c:formatCode>General</c:formatCode>
                <c:ptCount val="89"/>
                <c:pt idx="0">
                  <c:v>101.7677057958265</c:v>
                </c:pt>
                <c:pt idx="1">
                  <c:v>144.05928313859565</c:v>
                </c:pt>
                <c:pt idx="2">
                  <c:v>173.61232581162741</c:v>
                </c:pt>
                <c:pt idx="3">
                  <c:v>211.72260132653346</c:v>
                </c:pt>
                <c:pt idx="4">
                  <c:v>245.55053872975719</c:v>
                </c:pt>
                <c:pt idx="5">
                  <c:v>268.30907755516836</c:v>
                </c:pt>
                <c:pt idx="6">
                  <c:v>205.08878590482928</c:v>
                </c:pt>
                <c:pt idx="7">
                  <c:v>108.56359550897545</c:v>
                </c:pt>
                <c:pt idx="8">
                  <c:v>205.33402697617777</c:v>
                </c:pt>
                <c:pt idx="9">
                  <c:v>179.47891426622181</c:v>
                </c:pt>
                <c:pt idx="10">
                  <c:v>184.39394131596904</c:v>
                </c:pt>
                <c:pt idx="11">
                  <c:v>287.78466267475829</c:v>
                </c:pt>
                <c:pt idx="12">
                  <c:v>312.60389784278118</c:v>
                </c:pt>
                <c:pt idx="13">
                  <c:v>300.28074432085361</c:v>
                </c:pt>
                <c:pt idx="14">
                  <c:v>274.08788944636319</c:v>
                </c:pt>
                <c:pt idx="15">
                  <c:v>237.06811214046505</c:v>
                </c:pt>
                <c:pt idx="16">
                  <c:v>215.26310972778856</c:v>
                </c:pt>
                <c:pt idx="17">
                  <c:v>327.63943032202121</c:v>
                </c:pt>
                <c:pt idx="18">
                  <c:v>424.09958480278004</c:v>
                </c:pt>
                <c:pt idx="19">
                  <c:v>445.13321132489767</c:v>
                </c:pt>
                <c:pt idx="20">
                  <c:v>454.83679358743041</c:v>
                </c:pt>
                <c:pt idx="21">
                  <c:v>296.04926823827219</c:v>
                </c:pt>
                <c:pt idx="22">
                  <c:v>443.34045515404546</c:v>
                </c:pt>
                <c:pt idx="23">
                  <c:v>352.3139080111315</c:v>
                </c:pt>
                <c:pt idx="24">
                  <c:v>366.35517566212656</c:v>
                </c:pt>
                <c:pt idx="25">
                  <c:v>296.57619633030771</c:v>
                </c:pt>
                <c:pt idx="26">
                  <c:v>310.35784815579444</c:v>
                </c:pt>
                <c:pt idx="27">
                  <c:v>519.1390384240608</c:v>
                </c:pt>
                <c:pt idx="28">
                  <c:v>362.43154529769407</c:v>
                </c:pt>
                <c:pt idx="29">
                  <c:v>438.80299871130705</c:v>
                </c:pt>
                <c:pt idx="30">
                  <c:v>201.93330985556483</c:v>
                </c:pt>
                <c:pt idx="31">
                  <c:v>374.81408939754971</c:v>
                </c:pt>
                <c:pt idx="32">
                  <c:v>468.58757912983617</c:v>
                </c:pt>
                <c:pt idx="33">
                  <c:v>478.2981029476536</c:v>
                </c:pt>
                <c:pt idx="34">
                  <c:v>487.68999591318044</c:v>
                </c:pt>
                <c:pt idx="35">
                  <c:v>375.04662492471761</c:v>
                </c:pt>
                <c:pt idx="36">
                  <c:v>405.77400921219891</c:v>
                </c:pt>
                <c:pt idx="37">
                  <c:v>514.68763564555411</c:v>
                </c:pt>
                <c:pt idx="38">
                  <c:v>523.52392757847269</c:v>
                </c:pt>
                <c:pt idx="39">
                  <c:v>532.28342564457512</c:v>
                </c:pt>
                <c:pt idx="40">
                  <c:v>285.75872661881652</c:v>
                </c:pt>
                <c:pt idx="41">
                  <c:v>655.33416377116828</c:v>
                </c:pt>
                <c:pt idx="42">
                  <c:v>662.7758749926744</c:v>
                </c:pt>
                <c:pt idx="43">
                  <c:v>670.15992180659612</c:v>
                </c:pt>
                <c:pt idx="44">
                  <c:v>677.48781193749869</c:v>
                </c:pt>
                <c:pt idx="45">
                  <c:v>533.06593098948383</c:v>
                </c:pt>
                <c:pt idx="46">
                  <c:v>691.9808263170753</c:v>
                </c:pt>
                <c:pt idx="47">
                  <c:v>699.14865107168612</c:v>
                </c:pt>
                <c:pt idx="48">
                  <c:v>706.26572731394435</c:v>
                </c:pt>
                <c:pt idx="49">
                  <c:v>713.33326935694231</c:v>
                </c:pt>
                <c:pt idx="50">
                  <c:v>541.21961683397569</c:v>
                </c:pt>
                <c:pt idx="51">
                  <c:v>449.23882731304695</c:v>
                </c:pt>
                <c:pt idx="52">
                  <c:v>621.91340048223071</c:v>
                </c:pt>
                <c:pt idx="53">
                  <c:v>629.93134968159234</c:v>
                </c:pt>
                <c:pt idx="54">
                  <c:v>391.0018630355579</c:v>
                </c:pt>
                <c:pt idx="55">
                  <c:v>645.81060454966962</c:v>
                </c:pt>
                <c:pt idx="56">
                  <c:v>653.67451657301137</c:v>
                </c:pt>
                <c:pt idx="57">
                  <c:v>438.39042075452556</c:v>
                </c:pt>
                <c:pt idx="58">
                  <c:v>669.2570135354174</c:v>
                </c:pt>
                <c:pt idx="59">
                  <c:v>676.97788871365958</c:v>
                </c:pt>
                <c:pt idx="60">
                  <c:v>684.6532979525075</c:v>
                </c:pt>
                <c:pt idx="61">
                  <c:v>692.28427446821797</c:v>
                </c:pt>
                <c:pt idx="62">
                  <c:v>699.87181117963519</c:v>
                </c:pt>
                <c:pt idx="63">
                  <c:v>458.06392692931945</c:v>
                </c:pt>
                <c:pt idx="64">
                  <c:v>714.92034846052604</c:v>
                </c:pt>
                <c:pt idx="65">
                  <c:v>839.89261370691565</c:v>
                </c:pt>
                <c:pt idx="66">
                  <c:v>846.16324522773652</c:v>
                </c:pt>
                <c:pt idx="67">
                  <c:v>852.40172301751238</c:v>
                </c:pt>
                <c:pt idx="68">
                  <c:v>858.60860690071172</c:v>
                </c:pt>
                <c:pt idx="69">
                  <c:v>864.78444024573696</c:v>
                </c:pt>
                <c:pt idx="70">
                  <c:v>870.92975064121367</c:v>
                </c:pt>
                <c:pt idx="71">
                  <c:v>877.04505053662297</c:v>
                </c:pt>
                <c:pt idx="72">
                  <c:v>883.13083784973787</c:v>
                </c:pt>
                <c:pt idx="73">
                  <c:v>889.18759654296082</c:v>
                </c:pt>
                <c:pt idx="74">
                  <c:v>895.21579717028465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7-433A-9DA7-D71313FB626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'SPT-05'!$P$2:$P$90</c:f>
              <c:numCache>
                <c:formatCode>General</c:formatCode>
                <c:ptCount val="89"/>
                <c:pt idx="0">
                  <c:v>117.48183683782914</c:v>
                </c:pt>
                <c:pt idx="1">
                  <c:v>166.30373127029057</c:v>
                </c:pt>
                <c:pt idx="2">
                  <c:v>200.42011141489337</c:v>
                </c:pt>
                <c:pt idx="3">
                  <c:v>244.41506182548346</c:v>
                </c:pt>
                <c:pt idx="4">
                  <c:v>283.46643073949906</c:v>
                </c:pt>
                <c:pt idx="5">
                  <c:v>309.73915570706936</c:v>
                </c:pt>
                <c:pt idx="6">
                  <c:v>236.75690725778085</c:v>
                </c:pt>
                <c:pt idx="7">
                  <c:v>125.32709187433196</c:v>
                </c:pt>
                <c:pt idx="8">
                  <c:v>237.04001643573466</c:v>
                </c:pt>
                <c:pt idx="9">
                  <c:v>207.1925701455649</c:v>
                </c:pt>
                <c:pt idx="10">
                  <c:v>212.86653519564072</c:v>
                </c:pt>
                <c:pt idx="11">
                  <c:v>332.22200029365484</c:v>
                </c:pt>
                <c:pt idx="12">
                  <c:v>360.87361736262238</c:v>
                </c:pt>
                <c:pt idx="13">
                  <c:v>346.64762395863244</c:v>
                </c:pt>
                <c:pt idx="14">
                  <c:v>316.41028414028693</c:v>
                </c:pt>
                <c:pt idx="15">
                  <c:v>273.67421769156624</c:v>
                </c:pt>
                <c:pt idx="16">
                  <c:v>248.50226637693237</c:v>
                </c:pt>
                <c:pt idx="17">
                  <c:v>378.23081294527447</c:v>
                </c:pt>
                <c:pt idx="18">
                  <c:v>489.5855501032093</c:v>
                </c:pt>
                <c:pt idx="19">
                  <c:v>513.86701601477159</c:v>
                </c:pt>
                <c:pt idx="20">
                  <c:v>525.06894553843074</c:v>
                </c:pt>
                <c:pt idx="21">
                  <c:v>341.76275818682888</c:v>
                </c:pt>
                <c:pt idx="22">
                  <c:v>511.79743719989068</c:v>
                </c:pt>
                <c:pt idx="23">
                  <c:v>406.71532027755626</c:v>
                </c:pt>
                <c:pt idx="24">
                  <c:v>422.92472484524899</c:v>
                </c:pt>
                <c:pt idx="25">
                  <c:v>342.37105017542876</c:v>
                </c:pt>
                <c:pt idx="26">
                  <c:v>358.28075117985094</c:v>
                </c:pt>
                <c:pt idx="27">
                  <c:v>599.30021347483489</c:v>
                </c:pt>
                <c:pt idx="28">
                  <c:v>418.39523979219098</c:v>
                </c:pt>
                <c:pt idx="29">
                  <c:v>506.55934410055301</c:v>
                </c:pt>
                <c:pt idx="30">
                  <c:v>233.11418858326235</c:v>
                </c:pt>
                <c:pt idx="31">
                  <c:v>432.6897943780537</c:v>
                </c:pt>
                <c:pt idx="32">
                  <c:v>540.94301414253141</c:v>
                </c:pt>
                <c:pt idx="33">
                  <c:v>552.15295707927669</c:v>
                </c:pt>
                <c:pt idx="34">
                  <c:v>562.99506881153911</c:v>
                </c:pt>
                <c:pt idx="35">
                  <c:v>432.95823612632836</c:v>
                </c:pt>
                <c:pt idx="36">
                  <c:v>468.43029004643552</c:v>
                </c:pt>
                <c:pt idx="37">
                  <c:v>594.16146173788229</c:v>
                </c:pt>
                <c:pt idx="38">
                  <c:v>604.36218110161929</c:v>
                </c:pt>
                <c:pt idx="39">
                  <c:v>614.47424872204635</c:v>
                </c:pt>
                <c:pt idx="40">
                  <c:v>329.88323587613371</c:v>
                </c:pt>
                <c:pt idx="41">
                  <c:v>756.52546847112808</c:v>
                </c:pt>
                <c:pt idx="42">
                  <c:v>765.11626745477861</c:v>
                </c:pt>
                <c:pt idx="43">
                  <c:v>773.64049796790869</c:v>
                </c:pt>
                <c:pt idx="44">
                  <c:v>782.09990054549485</c:v>
                </c:pt>
                <c:pt idx="45">
                  <c:v>615.37758209815422</c:v>
                </c:pt>
                <c:pt idx="46">
                  <c:v>798.83080685132938</c:v>
                </c:pt>
                <c:pt idx="47">
                  <c:v>807.1054280754023</c:v>
                </c:pt>
                <c:pt idx="48">
                  <c:v>815.32146461977413</c:v>
                </c:pt>
                <c:pt idx="49">
                  <c:v>823.48031830176433</c:v>
                </c:pt>
                <c:pt idx="50">
                  <c:v>624.79029296275121</c:v>
                </c:pt>
                <c:pt idx="51">
                  <c:v>518.60658741285567</c:v>
                </c:pt>
                <c:pt idx="52">
                  <c:v>717.94414614492825</c:v>
                </c:pt>
                <c:pt idx="53">
                  <c:v>727.20016102948534</c:v>
                </c:pt>
                <c:pt idx="54">
                  <c:v>451.37715071016606</c:v>
                </c:pt>
                <c:pt idx="55">
                  <c:v>745.53135966395666</c:v>
                </c:pt>
                <c:pt idx="56">
                  <c:v>754.60955222031464</c:v>
                </c:pt>
                <c:pt idx="57">
                  <c:v>506.08305925338607</c:v>
                </c:pt>
                <c:pt idx="58">
                  <c:v>772.5981700372098</c:v>
                </c:pt>
                <c:pt idx="59">
                  <c:v>781.51123917679809</c:v>
                </c:pt>
                <c:pt idx="60">
                  <c:v>790.37182190105659</c:v>
                </c:pt>
                <c:pt idx="61">
                  <c:v>799.18111096698692</c:v>
                </c:pt>
                <c:pt idx="62">
                  <c:v>807.94025261178479</c:v>
                </c:pt>
                <c:pt idx="63">
                  <c:v>528.79438623458191</c:v>
                </c:pt>
                <c:pt idx="64">
                  <c:v>825.31246109046037</c:v>
                </c:pt>
                <c:pt idx="65">
                  <c:v>969.58191435283629</c:v>
                </c:pt>
                <c:pt idx="66">
                  <c:v>976.82080515260759</c:v>
                </c:pt>
                <c:pt idx="67">
                  <c:v>984.02257730698113</c:v>
                </c:pt>
                <c:pt idx="68">
                  <c:v>991.18787708390994</c:v>
                </c:pt>
                <c:pt idx="69">
                  <c:v>998.31733175426973</c:v>
                </c:pt>
                <c:pt idx="70">
                  <c:v>1005.4115503725774</c:v>
                </c:pt>
                <c:pt idx="71">
                  <c:v>1012.4711245165427</c:v>
                </c:pt>
                <c:pt idx="72">
                  <c:v>1019.4966289883001</c:v>
                </c:pt>
                <c:pt idx="73">
                  <c:v>1026.4886224797415</c:v>
                </c:pt>
                <c:pt idx="74">
                  <c:v>1033.4476482039315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7-433A-9DA7-D71313FB6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'SPT-05'!$Q$2:$Q$90</c:f>
              <c:numCache>
                <c:formatCode>General</c:formatCode>
                <c:ptCount val="89"/>
                <c:pt idx="0">
                  <c:v>589.95376917154124</c:v>
                </c:pt>
                <c:pt idx="1">
                  <c:v>844.6380755729358</c:v>
                </c:pt>
                <c:pt idx="2">
                  <c:v>1096.6233376672753</c:v>
                </c:pt>
                <c:pt idx="3">
                  <c:v>1450.5891387928848</c:v>
                </c:pt>
                <c:pt idx="4">
                  <c:v>1818.2999642532811</c:v>
                </c:pt>
                <c:pt idx="5">
                  <c:v>2160.901312264602</c:v>
                </c:pt>
                <c:pt idx="6">
                  <c:v>2358.9065652122554</c:v>
                </c:pt>
                <c:pt idx="7">
                  <c:v>1892.9311592288514</c:v>
                </c:pt>
                <c:pt idx="8">
                  <c:v>2630.1142085754859</c:v>
                </c:pt>
                <c:pt idx="9">
                  <c:v>2638.4041475095369</c:v>
                </c:pt>
                <c:pt idx="10">
                  <c:v>2826.6512913144734</c:v>
                </c:pt>
                <c:pt idx="11">
                  <c:v>3259.163076956745</c:v>
                </c:pt>
                <c:pt idx="12">
                  <c:v>3661.6066059171344</c:v>
                </c:pt>
                <c:pt idx="13">
                  <c:v>3866.7443134317991</c:v>
                </c:pt>
                <c:pt idx="14">
                  <c:v>3979.8190474669054</c:v>
                </c:pt>
                <c:pt idx="15">
                  <c:v>4009.1089243797537</c:v>
                </c:pt>
                <c:pt idx="16">
                  <c:v>4095.4158324003611</c:v>
                </c:pt>
                <c:pt idx="17">
                  <c:v>4937.1816904259031</c:v>
                </c:pt>
                <c:pt idx="18">
                  <c:v>5811.7984517784071</c:v>
                </c:pt>
                <c:pt idx="19">
                  <c:v>6321.7979070304591</c:v>
                </c:pt>
                <c:pt idx="20">
                  <c:v>6782.005779204972</c:v>
                </c:pt>
                <c:pt idx="21">
                  <c:v>6237.2857880425927</c:v>
                </c:pt>
                <c:pt idx="22">
                  <c:v>7384.3690926926974</c:v>
                </c:pt>
                <c:pt idx="23">
                  <c:v>7233.1166887729441</c:v>
                </c:pt>
                <c:pt idx="24">
                  <c:v>7632.7755275694044</c:v>
                </c:pt>
                <c:pt idx="25">
                  <c:v>7550.8499012311113</c:v>
                </c:pt>
                <c:pt idx="26">
                  <c:v>7896.0864317470905</c:v>
                </c:pt>
                <c:pt idx="27">
                  <c:v>9435.8171520754149</c:v>
                </c:pt>
                <c:pt idx="28">
                  <c:v>8950.3091543846604</c:v>
                </c:pt>
                <c:pt idx="29">
                  <c:v>10253.233572660258</c:v>
                </c:pt>
                <c:pt idx="30">
                  <c:v>9116.6308588739485</c:v>
                </c:pt>
                <c:pt idx="31">
                  <c:v>10417.180439750973</c:v>
                </c:pt>
                <c:pt idx="32">
                  <c:v>11354.962280306325</c:v>
                </c:pt>
                <c:pt idx="33">
                  <c:v>11840.692168405292</c:v>
                </c:pt>
                <c:pt idx="34">
                  <c:v>12333.525866122247</c:v>
                </c:pt>
                <c:pt idx="35">
                  <c:v>12054.308490578404</c:v>
                </c:pt>
                <c:pt idx="36">
                  <c:v>12589.9351293407</c:v>
                </c:pt>
                <c:pt idx="37">
                  <c:v>13651.758633770016</c:v>
                </c:pt>
                <c:pt idx="38">
                  <c:v>14174.789329045849</c:v>
                </c:pt>
                <c:pt idx="39">
                  <c:v>14705.480251815545</c:v>
                </c:pt>
                <c:pt idx="40">
                  <c:v>13159.593796012487</c:v>
                </c:pt>
                <c:pt idx="41">
                  <c:v>15640.681098233341</c:v>
                </c:pt>
                <c:pt idx="42">
                  <c:v>16283.1601336888</c:v>
                </c:pt>
                <c:pt idx="43">
                  <c:v>16932.204630240281</c:v>
                </c:pt>
                <c:pt idx="44">
                  <c:v>17587.76905161882</c:v>
                </c:pt>
                <c:pt idx="45">
                  <c:v>17298.932915792291</c:v>
                </c:pt>
                <c:pt idx="46">
                  <c:v>18778.483363045689</c:v>
                </c:pt>
                <c:pt idx="47">
                  <c:v>19453.344708806966</c:v>
                </c:pt>
                <c:pt idx="48">
                  <c:v>20134.554006629838</c:v>
                </c:pt>
                <c:pt idx="49">
                  <c:v>20822.070618244274</c:v>
                </c:pt>
                <c:pt idx="50">
                  <c:v>20391.133655597499</c:v>
                </c:pt>
                <c:pt idx="51">
                  <c:v>20326.278639297088</c:v>
                </c:pt>
                <c:pt idx="52">
                  <c:v>22400.649809700029</c:v>
                </c:pt>
                <c:pt idx="53">
                  <c:v>23017.381466662329</c:v>
                </c:pt>
                <c:pt idx="54">
                  <c:v>22070.918469194265</c:v>
                </c:pt>
                <c:pt idx="55">
                  <c:v>24044.461722432119</c:v>
                </c:pt>
                <c:pt idx="56">
                  <c:v>24682.261720642648</c:v>
                </c:pt>
                <c:pt idx="57">
                  <c:v>23911.207063014073</c:v>
                </c:pt>
                <c:pt idx="58">
                  <c:v>25773.058259363916</c:v>
                </c:pt>
                <c:pt idx="59">
                  <c:v>26431.581750260058</c:v>
                </c:pt>
                <c:pt idx="60">
                  <c:v>27096.940067548716</c:v>
                </c:pt>
                <c:pt idx="61">
                  <c:v>27769.097917650368</c:v>
                </c:pt>
                <c:pt idx="62">
                  <c:v>28448.020696135169</c:v>
                </c:pt>
                <c:pt idx="63">
                  <c:v>27554.802323242307</c:v>
                </c:pt>
                <c:pt idx="64">
                  <c:v>29596.230089150486</c:v>
                </c:pt>
                <c:pt idx="65">
                  <c:v>30400.378087000881</c:v>
                </c:pt>
                <c:pt idx="66">
                  <c:v>31206.98879791121</c:v>
                </c:pt>
                <c:pt idx="67">
                  <c:v>32019.214614403892</c:v>
                </c:pt>
                <c:pt idx="68">
                  <c:v>32837.028738237357</c:v>
                </c:pt>
                <c:pt idx="69">
                  <c:v>33660.404804076345</c:v>
                </c:pt>
                <c:pt idx="70">
                  <c:v>34489.316867729372</c:v>
                </c:pt>
                <c:pt idx="71">
                  <c:v>35323.739394830991</c:v>
                </c:pt>
                <c:pt idx="72">
                  <c:v>36163.647249947455</c:v>
                </c:pt>
                <c:pt idx="73">
                  <c:v>37009.015686085702</c:v>
                </c:pt>
                <c:pt idx="74">
                  <c:v>37859.82033458654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A-4A8F-9291-AF09C0AB4A3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'SPT-05'!$R$2:$R$90</c:f>
              <c:numCache>
                <c:formatCode>General</c:formatCode>
                <c:ptCount val="89"/>
                <c:pt idx="0">
                  <c:v>681.36200170169298</c:v>
                </c:pt>
                <c:pt idx="1">
                  <c:v>967.84553576903079</c:v>
                </c:pt>
                <c:pt idx="2">
                  <c:v>1248.914726943101</c:v>
                </c:pt>
                <c:pt idx="3">
                  <c:v>1646.1953283646874</c:v>
                </c:pt>
                <c:pt idx="4">
                  <c:v>2056.9434611808538</c:v>
                </c:pt>
                <c:pt idx="5">
                  <c:v>2436.6186254373843</c:v>
                </c:pt>
                <c:pt idx="6">
                  <c:v>2652.2228607765428</c:v>
                </c:pt>
                <c:pt idx="7">
                  <c:v>2099.5900343493804</c:v>
                </c:pt>
                <c:pt idx="8">
                  <c:v>2945.0115131460234</c:v>
                </c:pt>
                <c:pt idx="9">
                  <c:v>2940.9611344739128</c:v>
                </c:pt>
                <c:pt idx="10">
                  <c:v>3146.7501408897533</c:v>
                </c:pt>
                <c:pt idx="11">
                  <c:v>3629.9631037049894</c:v>
                </c:pt>
                <c:pt idx="12">
                  <c:v>4076.1528517550805</c:v>
                </c:pt>
                <c:pt idx="13">
                  <c:v>4292.8044635446395</c:v>
                </c:pt>
                <c:pt idx="14">
                  <c:v>4403.91783336565</c:v>
                </c:pt>
                <c:pt idx="15">
                  <c:v>4419.9914779818828</c:v>
                </c:pt>
                <c:pt idx="16">
                  <c:v>4504.3376645869103</c:v>
                </c:pt>
                <c:pt idx="17">
                  <c:v>5462.5675392105331</c:v>
                </c:pt>
                <c:pt idx="18">
                  <c:v>6451.7905342698823</c:v>
                </c:pt>
                <c:pt idx="19">
                  <c:v>7013.4793398507481</c:v>
                </c:pt>
                <c:pt idx="20">
                  <c:v>7516.2619824859667</c:v>
                </c:pt>
                <c:pt idx="21">
                  <c:v>6857.2974314191242</c:v>
                </c:pt>
                <c:pt idx="22">
                  <c:v>8163.327566102721</c:v>
                </c:pt>
                <c:pt idx="23">
                  <c:v>7959.683350135223</c:v>
                </c:pt>
                <c:pt idx="24">
                  <c:v>8398.5069958598069</c:v>
                </c:pt>
                <c:pt idx="25">
                  <c:v>8280.1114693820946</c:v>
                </c:pt>
                <c:pt idx="26">
                  <c:v>8659.6472168047676</c:v>
                </c:pt>
                <c:pt idx="27">
                  <c:v>10418.544821056941</c:v>
                </c:pt>
                <c:pt idx="28">
                  <c:v>9823.6685149784298</c:v>
                </c:pt>
                <c:pt idx="29">
                  <c:v>11312.090354541095</c:v>
                </c:pt>
                <c:pt idx="30">
                  <c:v>9968.9249790672548</c:v>
                </c:pt>
                <c:pt idx="31">
                  <c:v>11459.46927284477</c:v>
                </c:pt>
                <c:pt idx="32">
                  <c:v>12519.073685168625</c:v>
                </c:pt>
                <c:pt idx="33">
                  <c:v>13049.874334705732</c:v>
                </c:pt>
                <c:pt idx="34">
                  <c:v>13588.254547239625</c:v>
                </c:pt>
                <c:pt idx="35">
                  <c:v>13233.38955786726</c:v>
                </c:pt>
                <c:pt idx="36">
                  <c:v>13828.026412645188</c:v>
                </c:pt>
                <c:pt idx="37">
                  <c:v>15029.001353561111</c:v>
                </c:pt>
                <c:pt idx="38">
                  <c:v>15599.91382771256</c:v>
                </c:pt>
                <c:pt idx="39">
                  <c:v>16179.104232254698</c:v>
                </c:pt>
                <c:pt idx="40">
                  <c:v>14351.422951861658</c:v>
                </c:pt>
                <c:pt idx="41">
                  <c:v>17199.53632203825</c:v>
                </c:pt>
                <c:pt idx="42">
                  <c:v>17899.325443297039</c:v>
                </c:pt>
                <c:pt idx="43">
                  <c:v>18606.218905949798</c:v>
                </c:pt>
                <c:pt idx="44">
                  <c:v>19320.16781444466</c:v>
                </c:pt>
                <c:pt idx="45">
                  <c:v>18941.974695938581</c:v>
                </c:pt>
                <c:pt idx="46">
                  <c:v>20617.346909456548</c:v>
                </c:pt>
                <c:pt idx="47">
                  <c:v>21352.179813246636</c:v>
                </c:pt>
                <c:pt idx="48">
                  <c:v>22093.883406374891</c:v>
                </c:pt>
                <c:pt idx="49">
                  <c:v>22842.414008075735</c:v>
                </c:pt>
                <c:pt idx="50">
                  <c:v>22297.603061769667</c:v>
                </c:pt>
                <c:pt idx="51">
                  <c:v>22187.466276661315</c:v>
                </c:pt>
                <c:pt idx="52">
                  <c:v>24563.035061936331</c:v>
                </c:pt>
                <c:pt idx="53">
                  <c:v>25235.260949401301</c:v>
                </c:pt>
                <c:pt idx="54">
                  <c:v>24099.737659352078</c:v>
                </c:pt>
                <c:pt idx="55">
                  <c:v>26355.696483608685</c:v>
                </c:pt>
                <c:pt idx="56">
                  <c:v>27050.716286861258</c:v>
                </c:pt>
                <c:pt idx="57">
                  <c:v>26116.468476570029</c:v>
                </c:pt>
                <c:pt idx="58">
                  <c:v>28240.160982358342</c:v>
                </c:pt>
                <c:pt idx="59">
                  <c:v>28957.605523706618</c:v>
                </c:pt>
                <c:pt idx="60">
                  <c:v>29682.446767432142</c:v>
                </c:pt>
                <c:pt idx="61">
                  <c:v>30414.646885746184</c:v>
                </c:pt>
                <c:pt idx="62">
                  <c:v>31154.168779903648</c:v>
                </c:pt>
                <c:pt idx="63">
                  <c:v>30075.710983948316</c:v>
                </c:pt>
                <c:pt idx="64">
                  <c:v>32405.680070608523</c:v>
                </c:pt>
                <c:pt idx="65">
                  <c:v>33280.767989901266</c:v>
                </c:pt>
                <c:pt idx="66">
                  <c:v>34158.252861444373</c:v>
                </c:pt>
                <c:pt idx="67">
                  <c:v>35041.819586549005</c:v>
                </c:pt>
                <c:pt idx="68">
                  <c:v>35931.439278723861</c:v>
                </c:pt>
                <c:pt idx="69">
                  <c:v>36827.083515593491</c:v>
                </c:pt>
                <c:pt idx="70">
                  <c:v>37728.724326365547</c:v>
                </c:pt>
                <c:pt idx="71">
                  <c:v>38636.334179768543</c:v>
                </c:pt>
                <c:pt idx="72">
                  <c:v>39549.885972437696</c:v>
                </c:pt>
                <c:pt idx="73">
                  <c:v>40469.353017727866</c:v>
                </c:pt>
                <c:pt idx="74">
                  <c:v>41394.709034933418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9A-4A8F-9291-AF09C0AB4A3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'SPT-05'!$S$2:$S$90</c:f>
              <c:numCache>
                <c:formatCode>General</c:formatCode>
                <c:ptCount val="89"/>
                <c:pt idx="0">
                  <c:v>890.2742313789845</c:v>
                </c:pt>
                <c:pt idx="1">
                  <c:v>1246.4769638875978</c:v>
                </c:pt>
                <c:pt idx="2">
                  <c:v>1590.1728957857483</c:v>
                </c:pt>
                <c:pt idx="3">
                  <c:v>2081.9986244046358</c:v>
                </c:pt>
                <c:pt idx="4">
                  <c:v>2585.728513926013</c:v>
                </c:pt>
                <c:pt idx="5">
                  <c:v>3043.9557852348989</c:v>
                </c:pt>
                <c:pt idx="6">
                  <c:v>3294.733291738452</c:v>
                </c:pt>
                <c:pt idx="7">
                  <c:v>2538.4651543646005</c:v>
                </c:pt>
                <c:pt idx="8">
                  <c:v>3628.9551065609553</c:v>
                </c:pt>
                <c:pt idx="9">
                  <c:v>3591.4419527887439</c:v>
                </c:pt>
                <c:pt idx="10">
                  <c:v>3832.8352414508799</c:v>
                </c:pt>
                <c:pt idx="11">
                  <c:v>4425.6283085985051</c:v>
                </c:pt>
                <c:pt idx="12">
                  <c:v>4964.6163929042068</c:v>
                </c:pt>
                <c:pt idx="13">
                  <c:v>5199.7585068211129</c:v>
                </c:pt>
                <c:pt idx="14">
                  <c:v>5298.8694314609311</c:v>
                </c:pt>
                <c:pt idx="15">
                  <c:v>5277.8843591201867</c:v>
                </c:pt>
                <c:pt idx="16">
                  <c:v>5351.8307280001045</c:v>
                </c:pt>
                <c:pt idx="17">
                  <c:v>6570.8488000141806</c:v>
                </c:pt>
                <c:pt idx="18">
                  <c:v>7813.9322304594825</c:v>
                </c:pt>
                <c:pt idx="19">
                  <c:v>8483.206705482211</c:v>
                </c:pt>
                <c:pt idx="20">
                  <c:v>9072.2034497510267</c:v>
                </c:pt>
                <c:pt idx="21">
                  <c:v>8140.6144488643695</c:v>
                </c:pt>
                <c:pt idx="22">
                  <c:v>9802.6647921036638</c:v>
                </c:pt>
                <c:pt idx="23">
                  <c:v>9468.1026137430472</c:v>
                </c:pt>
                <c:pt idx="24">
                  <c:v>9987.6519653382384</c:v>
                </c:pt>
                <c:pt idx="25">
                  <c:v>9776.7273851029749</c:v>
                </c:pt>
                <c:pt idx="26">
                  <c:v>10227.245335305332</c:v>
                </c:pt>
                <c:pt idx="27">
                  <c:v>12479.556969884316</c:v>
                </c:pt>
                <c:pt idx="28">
                  <c:v>11621.5417411749</c:v>
                </c:pt>
                <c:pt idx="29">
                  <c:v>13527.592873077265</c:v>
                </c:pt>
                <c:pt idx="30">
                  <c:v>11700.57548122132</c:v>
                </c:pt>
                <c:pt idx="31">
                  <c:v>13620.905548105993</c:v>
                </c:pt>
                <c:pt idx="32">
                  <c:v>14949.871006507215</c:v>
                </c:pt>
                <c:pt idx="33">
                  <c:v>15572.027359039093</c:v>
                </c:pt>
                <c:pt idx="34">
                  <c:v>16202.609383344916</c:v>
                </c:pt>
                <c:pt idx="35">
                  <c:v>15662.352133741801</c:v>
                </c:pt>
                <c:pt idx="36">
                  <c:v>16382.599551209209</c:v>
                </c:pt>
                <c:pt idx="37">
                  <c:v>17891.810753307582</c:v>
                </c:pt>
                <c:pt idx="38">
                  <c:v>18559.35766317317</c:v>
                </c:pt>
                <c:pt idx="39">
                  <c:v>19236.374550425302</c:v>
                </c:pt>
                <c:pt idx="40">
                  <c:v>16748.337776952292</c:v>
                </c:pt>
                <c:pt idx="41">
                  <c:v>20428.568853963985</c:v>
                </c:pt>
                <c:pt idx="42">
                  <c:v>21243.036116440246</c:v>
                </c:pt>
                <c:pt idx="43">
                  <c:v>22065.654668869705</c:v>
                </c:pt>
                <c:pt idx="44">
                  <c:v>22896.369364825019</c:v>
                </c:pt>
                <c:pt idx="45">
                  <c:v>22296.734880929085</c:v>
                </c:pt>
                <c:pt idx="46">
                  <c:v>24406.754204048269</c:v>
                </c:pt>
                <c:pt idx="47">
                  <c:v>25261.438635748214</c:v>
                </c:pt>
                <c:pt idx="48">
                  <c:v>26124.0105881204</c:v>
                </c:pt>
                <c:pt idx="49">
                  <c:v>26994.420682880696</c:v>
                </c:pt>
                <c:pt idx="50">
                  <c:v>26171.170224990059</c:v>
                </c:pt>
                <c:pt idx="51">
                  <c:v>25943.942662507718</c:v>
                </c:pt>
                <c:pt idx="52">
                  <c:v>29000.09398837636</c:v>
                </c:pt>
                <c:pt idx="53">
                  <c:v>29783.686866450353</c:v>
                </c:pt>
                <c:pt idx="54">
                  <c:v>28199.697146380811</c:v>
                </c:pt>
                <c:pt idx="55">
                  <c:v>31092.092798987353</c:v>
                </c:pt>
                <c:pt idx="56">
                  <c:v>31901.829400113747</c:v>
                </c:pt>
                <c:pt idx="57">
                  <c:v>30577.728151306132</c:v>
                </c:pt>
                <c:pt idx="58">
                  <c:v>33289.573644347198</c:v>
                </c:pt>
                <c:pt idx="59">
                  <c:v>34125.040420370155</c:v>
                </c:pt>
                <c:pt idx="60">
                  <c:v>34968.996169968566</c:v>
                </c:pt>
                <c:pt idx="61">
                  <c:v>35821.398406063323</c:v>
                </c:pt>
                <c:pt idx="62">
                  <c:v>36682.205435978874</c:v>
                </c:pt>
                <c:pt idx="63">
                  <c:v>35162.30419170059</c:v>
                </c:pt>
                <c:pt idx="64">
                  <c:v>38141.014970390621</c:v>
                </c:pt>
                <c:pt idx="65">
                  <c:v>39157.523958857899</c:v>
                </c:pt>
                <c:pt idx="66">
                  <c:v>40176.106932431001</c:v>
                </c:pt>
                <c:pt idx="67">
                  <c:v>41201.682845854149</c:v>
                </c:pt>
                <c:pt idx="68">
                  <c:v>42234.218836636916</c:v>
                </c:pt>
                <c:pt idx="69">
                  <c:v>43273.682563889706</c:v>
                </c:pt>
                <c:pt idx="70">
                  <c:v>44320.042194436748</c:v>
                </c:pt>
                <c:pt idx="71">
                  <c:v>45373.266389441786</c:v>
                </c:pt>
                <c:pt idx="72">
                  <c:v>46433.324291522629</c:v>
                </c:pt>
                <c:pt idx="73">
                  <c:v>47500.185512331984</c:v>
                </c:pt>
                <c:pt idx="74">
                  <c:v>48573.820120582939</c:v>
                </c:pt>
              </c:numCache>
            </c:numRef>
          </c:xVal>
          <c:yVal>
            <c:numRef>
              <c:f>'SPT-05'!$A$2:$A$90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9A-4A8F-9291-AF09C0AB4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'SPT-06'!$N$2:$N$90</c:f>
              <c:numCache>
                <c:formatCode>General</c:formatCode>
                <c:ptCount val="89"/>
                <c:pt idx="0">
                  <c:v>53.275681089314098</c:v>
                </c:pt>
                <c:pt idx="1">
                  <c:v>53.901567656507709</c:v>
                </c:pt>
                <c:pt idx="2">
                  <c:v>75.553222787639115</c:v>
                </c:pt>
                <c:pt idx="3">
                  <c:v>133.67231066319701</c:v>
                </c:pt>
                <c:pt idx="4">
                  <c:v>58.810031045581766</c:v>
                </c:pt>
                <c:pt idx="5">
                  <c:v>38.362489042448168</c:v>
                </c:pt>
                <c:pt idx="6">
                  <c:v>41.499129006182635</c:v>
                </c:pt>
                <c:pt idx="7">
                  <c:v>211.53180655190295</c:v>
                </c:pt>
                <c:pt idx="8">
                  <c:v>89.748273627619469</c:v>
                </c:pt>
                <c:pt idx="9">
                  <c:v>285.00901434073597</c:v>
                </c:pt>
                <c:pt idx="10">
                  <c:v>251.55447847579174</c:v>
                </c:pt>
                <c:pt idx="11">
                  <c:v>287.62879768159593</c:v>
                </c:pt>
                <c:pt idx="12">
                  <c:v>228.80782258408135</c:v>
                </c:pt>
                <c:pt idx="13">
                  <c:v>273.12798418466099</c:v>
                </c:pt>
                <c:pt idx="14">
                  <c:v>217.37428554291975</c:v>
                </c:pt>
                <c:pt idx="15">
                  <c:v>239.66658558661874</c:v>
                </c:pt>
                <c:pt idx="16">
                  <c:v>286.22539158116842</c:v>
                </c:pt>
                <c:pt idx="17">
                  <c:v>266.51771949469224</c:v>
                </c:pt>
                <c:pt idx="18">
                  <c:v>325.10650531770938</c:v>
                </c:pt>
                <c:pt idx="19">
                  <c:v>334.98131275119073</c:v>
                </c:pt>
                <c:pt idx="20">
                  <c:v>344.70717398899177</c:v>
                </c:pt>
                <c:pt idx="21">
                  <c:v>354.29253735950329</c:v>
                </c:pt>
                <c:pt idx="22">
                  <c:v>352.75216025121705</c:v>
                </c:pt>
                <c:pt idx="23">
                  <c:v>350.48307082201757</c:v>
                </c:pt>
                <c:pt idx="24">
                  <c:v>382.27869530996895</c:v>
                </c:pt>
                <c:pt idx="25">
                  <c:v>391.37196866537153</c:v>
                </c:pt>
                <c:pt idx="26">
                  <c:v>269.36159307107641</c:v>
                </c:pt>
                <c:pt idx="27">
                  <c:v>378.3600147097186</c:v>
                </c:pt>
                <c:pt idx="28">
                  <c:v>418.02039814670997</c:v>
                </c:pt>
                <c:pt idx="29">
                  <c:v>445.24852909507717</c:v>
                </c:pt>
                <c:pt idx="30">
                  <c:v>526.74730808696825</c:v>
                </c:pt>
                <c:pt idx="31">
                  <c:v>534.28193580849802</c:v>
                </c:pt>
                <c:pt idx="32">
                  <c:v>541.74337666115798</c:v>
                </c:pt>
                <c:pt idx="33">
                  <c:v>410.61632183235395</c:v>
                </c:pt>
                <c:pt idx="34">
                  <c:v>294.88852680911253</c:v>
                </c:pt>
                <c:pt idx="35">
                  <c:v>520.94244969157569</c:v>
                </c:pt>
                <c:pt idx="36">
                  <c:v>534.95699888637205</c:v>
                </c:pt>
                <c:pt idx="37">
                  <c:v>363.83747613686012</c:v>
                </c:pt>
                <c:pt idx="38">
                  <c:v>446.50963549111577</c:v>
                </c:pt>
                <c:pt idx="39">
                  <c:v>592.10955311968598</c:v>
                </c:pt>
                <c:pt idx="40">
                  <c:v>599.06164857380816</c:v>
                </c:pt>
                <c:pt idx="41">
                  <c:v>605.95807965915878</c:v>
                </c:pt>
                <c:pt idx="42">
                  <c:v>612.80034934905007</c:v>
                </c:pt>
                <c:pt idx="43">
                  <c:v>619.58989255840231</c:v>
                </c:pt>
                <c:pt idx="44">
                  <c:v>626.32808042410079</c:v>
                </c:pt>
                <c:pt idx="45">
                  <c:v>633.01622424339837</c:v>
                </c:pt>
                <c:pt idx="46">
                  <c:v>639.65557910346467</c:v>
                </c:pt>
                <c:pt idx="47">
                  <c:v>646.24734723116137</c:v>
                </c:pt>
                <c:pt idx="48">
                  <c:v>526.5202544181974</c:v>
                </c:pt>
                <c:pt idx="49">
                  <c:v>549.68055273181437</c:v>
                </c:pt>
                <c:pt idx="50">
                  <c:v>665.74842400726664</c:v>
                </c:pt>
                <c:pt idx="51">
                  <c:v>672.1609139299386</c:v>
                </c:pt>
                <c:pt idx="52">
                  <c:v>678.53113606148588</c:v>
                </c:pt>
                <c:pt idx="53">
                  <c:v>684.86003309523824</c:v>
                </c:pt>
                <c:pt idx="54">
                  <c:v>691.14851234901107</c:v>
                </c:pt>
                <c:pt idx="55">
                  <c:v>453.10762448223767</c:v>
                </c:pt>
                <c:pt idx="56">
                  <c:v>481.67587711489176</c:v>
                </c:pt>
                <c:pt idx="57">
                  <c:v>605.84105926838322</c:v>
                </c:pt>
                <c:pt idx="58">
                  <c:v>613.02214366696273</c:v>
                </c:pt>
                <c:pt idx="59">
                  <c:v>401.07639651196524</c:v>
                </c:pt>
                <c:pt idx="60">
                  <c:v>627.25504351448524</c:v>
                </c:pt>
                <c:pt idx="61">
                  <c:v>634.30884449348446</c:v>
                </c:pt>
                <c:pt idx="62">
                  <c:v>542.85408545140615</c:v>
                </c:pt>
                <c:pt idx="63">
                  <c:v>754.41935598625764</c:v>
                </c:pt>
                <c:pt idx="64">
                  <c:v>760.30150357917853</c:v>
                </c:pt>
                <c:pt idx="65">
                  <c:v>766.15216993228614</c:v>
                </c:pt>
                <c:pt idx="66">
                  <c:v>771.97192683272442</c:v>
                </c:pt>
                <c:pt idx="67">
                  <c:v>777.76132854331206</c:v>
                </c:pt>
                <c:pt idx="68">
                  <c:v>783.52091255299297</c:v>
                </c:pt>
                <c:pt idx="69">
                  <c:v>789.251200286109</c:v>
                </c:pt>
                <c:pt idx="70">
                  <c:v>794.95269777353531</c:v>
                </c:pt>
                <c:pt idx="71">
                  <c:v>800.62589628786475</c:v>
                </c:pt>
                <c:pt idx="72">
                  <c:v>806.27127294514321</c:v>
                </c:pt>
                <c:pt idx="73">
                  <c:v>811.88929127529946</c:v>
                </c:pt>
                <c:pt idx="74">
                  <c:v>817.48040176305369</c:v>
                </c:pt>
                <c:pt idx="75">
                  <c:v>548.07961481859184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CB-4095-B481-FF6B3EE2EC2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'SPT-06'!$O$2:$O$90</c:f>
              <c:numCache>
                <c:formatCode>General</c:formatCode>
                <c:ptCount val="89"/>
                <c:pt idx="0">
                  <c:v>57.809781607553603</c:v>
                </c:pt>
                <c:pt idx="1">
                  <c:v>58.488935116636036</c:v>
                </c:pt>
                <c:pt idx="2">
                  <c:v>81.983284301480751</c:v>
                </c:pt>
                <c:pt idx="3">
                  <c:v>145.04867752814997</c:v>
                </c:pt>
                <c:pt idx="4">
                  <c:v>63.815140070737662</c:v>
                </c:pt>
                <c:pt idx="5">
                  <c:v>41.627381726911842</c:v>
                </c:pt>
                <c:pt idx="6">
                  <c:v>45.030969772666261</c:v>
                </c:pt>
                <c:pt idx="7">
                  <c:v>229.53451349249042</c:v>
                </c:pt>
                <c:pt idx="8">
                  <c:v>97.386424574650917</c:v>
                </c:pt>
                <c:pt idx="9">
                  <c:v>309.26510066760716</c:v>
                </c:pt>
                <c:pt idx="10">
                  <c:v>272.96337026096558</c:v>
                </c:pt>
                <c:pt idx="11">
                  <c:v>312.10784429279556</c:v>
                </c:pt>
                <c:pt idx="12">
                  <c:v>248.28082876144998</c:v>
                </c:pt>
                <c:pt idx="13">
                  <c:v>296.37291900888749</c:v>
                </c:pt>
                <c:pt idx="14">
                  <c:v>235.87422473806188</c:v>
                </c:pt>
                <c:pt idx="15">
                  <c:v>260.06374180675647</c:v>
                </c:pt>
                <c:pt idx="16">
                  <c:v>310.58499937531042</c:v>
                </c:pt>
                <c:pt idx="17">
                  <c:v>289.20007860062344</c:v>
                </c:pt>
                <c:pt idx="18">
                  <c:v>352.77514406815277</c:v>
                </c:pt>
                <c:pt idx="19">
                  <c:v>363.49036064490912</c:v>
                </c:pt>
                <c:pt idx="20">
                  <c:v>374.04395475401236</c:v>
                </c:pt>
                <c:pt idx="21">
                  <c:v>384.44509373052489</c:v>
                </c:pt>
                <c:pt idx="22">
                  <c:v>382.77362069812921</c:v>
                </c:pt>
                <c:pt idx="23">
                  <c:v>380.31141727495526</c:v>
                </c:pt>
                <c:pt idx="24">
                  <c:v>414.81305235762591</c:v>
                </c:pt>
                <c:pt idx="25">
                  <c:v>424.68022131774353</c:v>
                </c:pt>
                <c:pt idx="26">
                  <c:v>292.28598397074251</c:v>
                </c:pt>
                <c:pt idx="27">
                  <c:v>410.56086702543939</c:v>
                </c:pt>
                <c:pt idx="28">
                  <c:v>453.59660224430235</c:v>
                </c:pt>
                <c:pt idx="29">
                  <c:v>483.1420209329562</c:v>
                </c:pt>
                <c:pt idx="30">
                  <c:v>571.57686622202948</c:v>
                </c:pt>
                <c:pt idx="31">
                  <c:v>579.75273885602985</c:v>
                </c:pt>
                <c:pt idx="32">
                  <c:v>587.84919595146937</c:v>
                </c:pt>
                <c:pt idx="33">
                  <c:v>445.56239177553306</c:v>
                </c:pt>
                <c:pt idx="34">
                  <c:v>319.98542270776039</c:v>
                </c:pt>
                <c:pt idx="35">
                  <c:v>565.27797732490137</c:v>
                </c:pt>
                <c:pt idx="36">
                  <c:v>580.48525411074434</c:v>
                </c:pt>
                <c:pt idx="37">
                  <c:v>394.80236772297599</c:v>
                </c:pt>
                <c:pt idx="38">
                  <c:v>484.51045553291289</c:v>
                </c:pt>
                <c:pt idx="39">
                  <c:v>642.50185551285074</c:v>
                </c:pt>
                <c:pt idx="40">
                  <c:v>650.04561866519623</c:v>
                </c:pt>
                <c:pt idx="41">
                  <c:v>657.52898005568295</c:v>
                </c:pt>
                <c:pt idx="42">
                  <c:v>664.95357057024592</c:v>
                </c:pt>
                <c:pt idx="43">
                  <c:v>672.32094724422393</c:v>
                </c:pt>
                <c:pt idx="44">
                  <c:v>679.63259790700317</c:v>
                </c:pt>
                <c:pt idx="45">
                  <c:v>686.8899454556024</c:v>
                </c:pt>
                <c:pt idx="46">
                  <c:v>694.09435179312129</c:v>
                </c:pt>
                <c:pt idx="47">
                  <c:v>701.24712146360071</c:v>
                </c:pt>
                <c:pt idx="48">
                  <c:v>571.33048883676747</c:v>
                </c:pt>
                <c:pt idx="49">
                  <c:v>596.46187636856462</c:v>
                </c:pt>
                <c:pt idx="50">
                  <c:v>722.4078643483108</c:v>
                </c:pt>
                <c:pt idx="51">
                  <c:v>729.36609809418871</c:v>
                </c:pt>
                <c:pt idx="52">
                  <c:v>736.27846679012316</c:v>
                </c:pt>
                <c:pt idx="53">
                  <c:v>743.14599335866274</c:v>
                </c:pt>
                <c:pt idx="54">
                  <c:v>749.96966233616104</c:v>
                </c:pt>
                <c:pt idx="55">
                  <c:v>491.66997550200267</c:v>
                </c:pt>
                <c:pt idx="56">
                  <c:v>522.66956878424423</c:v>
                </c:pt>
                <c:pt idx="57">
                  <c:v>657.40200048271379</c:v>
                </c:pt>
                <c:pt idx="58">
                  <c:v>665.19424100032131</c:v>
                </c:pt>
                <c:pt idx="59">
                  <c:v>435.21055791723893</c:v>
                </c:pt>
                <c:pt idx="60">
                  <c:v>680.63845147316488</c:v>
                </c:pt>
                <c:pt idx="61">
                  <c:v>688.29257593973853</c:v>
                </c:pt>
                <c:pt idx="62">
                  <c:v>589.05443314939828</c:v>
                </c:pt>
                <c:pt idx="63">
                  <c:v>818.625258623386</c:v>
                </c:pt>
                <c:pt idx="64">
                  <c:v>825.00801452208736</c:v>
                </c:pt>
                <c:pt idx="65">
                  <c:v>831.35660992652322</c:v>
                </c:pt>
                <c:pt idx="66">
                  <c:v>837.67166528657333</c:v>
                </c:pt>
                <c:pt idx="67">
                  <c:v>843.95378203635994</c:v>
                </c:pt>
                <c:pt idx="68">
                  <c:v>850.20354340856682</c:v>
                </c:pt>
                <c:pt idx="69">
                  <c:v>856.42151520407572</c:v>
                </c:pt>
                <c:pt idx="70">
                  <c:v>862.60824652021927</c:v>
                </c:pt>
                <c:pt idx="71">
                  <c:v>868.76427044002344</c:v>
                </c:pt>
                <c:pt idx="72">
                  <c:v>874.89010468515551</c:v>
                </c:pt>
                <c:pt idx="73">
                  <c:v>880.98625223489944</c:v>
                </c:pt>
                <c:pt idx="74">
                  <c:v>887.05320191310079</c:v>
                </c:pt>
                <c:pt idx="75">
                  <c:v>594.72468842017418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CB-4095-B481-FF6B3EE2EC2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'SPT-06'!$P$2:$P$90</c:f>
              <c:numCache>
                <c:formatCode>General</c:formatCode>
                <c:ptCount val="89"/>
                <c:pt idx="0">
                  <c:v>66.736292002837615</c:v>
                </c:pt>
                <c:pt idx="1">
                  <c:v>67.520314803763654</c:v>
                </c:pt>
                <c:pt idx="2">
                  <c:v>94.642467906856453</c:v>
                </c:pt>
                <c:pt idx="3">
                  <c:v>167.44589979352605</c:v>
                </c:pt>
                <c:pt idx="4">
                  <c:v>73.668948464013326</c:v>
                </c:pt>
                <c:pt idx="5">
                  <c:v>48.055139199449705</c:v>
                </c:pt>
                <c:pt idx="6">
                  <c:v>51.9842812816809</c:v>
                </c:pt>
                <c:pt idx="7">
                  <c:v>264.97734278177205</c:v>
                </c:pt>
                <c:pt idx="8">
                  <c:v>112.42403425161908</c:v>
                </c:pt>
                <c:pt idx="9">
                  <c:v>357.01927062363467</c:v>
                </c:pt>
                <c:pt idx="10">
                  <c:v>315.11212596302641</c:v>
                </c:pt>
                <c:pt idx="11">
                  <c:v>360.30096730859486</c:v>
                </c:pt>
                <c:pt idx="12">
                  <c:v>286.61830967314449</c:v>
                </c:pt>
                <c:pt idx="13">
                  <c:v>342.13638444408338</c:v>
                </c:pt>
                <c:pt idx="14">
                  <c:v>272.29598002849792</c:v>
                </c:pt>
                <c:pt idx="15">
                  <c:v>300.22064311515271</c:v>
                </c:pt>
                <c:pt idx="16">
                  <c:v>358.54297722002747</c:v>
                </c:pt>
                <c:pt idx="17">
                  <c:v>333.85597309042566</c:v>
                </c:pt>
                <c:pt idx="18">
                  <c:v>407.24777660808809</c:v>
                </c:pt>
                <c:pt idx="19">
                  <c:v>419.61754868566709</c:v>
                </c:pt>
                <c:pt idx="20">
                  <c:v>431.80074188514664</c:v>
                </c:pt>
                <c:pt idx="21">
                  <c:v>443.8079390859736</c:v>
                </c:pt>
                <c:pt idx="22">
                  <c:v>441.87837095298738</c:v>
                </c:pt>
                <c:pt idx="23">
                  <c:v>439.03597435417629</c:v>
                </c:pt>
                <c:pt idx="24">
                  <c:v>478.8650677952005</c:v>
                </c:pt>
                <c:pt idx="25">
                  <c:v>490.25584372710102</c:v>
                </c:pt>
                <c:pt idx="26">
                  <c:v>337.41837855446011</c:v>
                </c:pt>
                <c:pt idx="27">
                  <c:v>473.9562950220145</c:v>
                </c:pt>
                <c:pt idx="28">
                  <c:v>523.63725406143726</c:v>
                </c:pt>
                <c:pt idx="29">
                  <c:v>557.74483298878022</c:v>
                </c:pt>
                <c:pt idx="30">
                  <c:v>659.83505880043106</c:v>
                </c:pt>
                <c:pt idx="31">
                  <c:v>669.27338235585808</c:v>
                </c:pt>
                <c:pt idx="32">
                  <c:v>678.6200276792697</c:v>
                </c:pt>
                <c:pt idx="33">
                  <c:v>514.36246697616673</c:v>
                </c:pt>
                <c:pt idx="34">
                  <c:v>369.3949365082234</c:v>
                </c:pt>
                <c:pt idx="35">
                  <c:v>652.56354735301113</c:v>
                </c:pt>
                <c:pt idx="36">
                  <c:v>670.11900658372679</c:v>
                </c:pt>
                <c:pt idx="37">
                  <c:v>455.76449803314136</c:v>
                </c:pt>
                <c:pt idx="38">
                  <c:v>559.32456999020098</c:v>
                </c:pt>
                <c:pt idx="39">
                  <c:v>741.71170084939388</c:v>
                </c:pt>
                <c:pt idx="40">
                  <c:v>750.42030978261619</c:v>
                </c:pt>
                <c:pt idx="41">
                  <c:v>759.05919021133991</c:v>
                </c:pt>
                <c:pt idx="42">
                  <c:v>767.63022484947498</c:v>
                </c:pt>
                <c:pt idx="43">
                  <c:v>776.13521115693504</c:v>
                </c:pt>
                <c:pt idx="44">
                  <c:v>784.57586670146679</c:v>
                </c:pt>
                <c:pt idx="45">
                  <c:v>792.95383409212923</c:v>
                </c:pt>
                <c:pt idx="46">
                  <c:v>801.27068552588275</c:v>
                </c:pt>
                <c:pt idx="47">
                  <c:v>809.52792698371547</c:v>
                </c:pt>
                <c:pt idx="48">
                  <c:v>659.55063784832714</c:v>
                </c:pt>
                <c:pt idx="49">
                  <c:v>688.56260727841652</c:v>
                </c:pt>
                <c:pt idx="50">
                  <c:v>833.95613751974111</c:v>
                </c:pt>
                <c:pt idx="51">
                  <c:v>841.98880441755614</c:v>
                </c:pt>
                <c:pt idx="52">
                  <c:v>849.96852416212744</c:v>
                </c:pt>
                <c:pt idx="53">
                  <c:v>857.89647762727975</c:v>
                </c:pt>
                <c:pt idx="54">
                  <c:v>865.77380137336229</c:v>
                </c:pt>
                <c:pt idx="55">
                  <c:v>567.58960407216478</c:v>
                </c:pt>
                <c:pt idx="56">
                  <c:v>603.37589925828195</c:v>
                </c:pt>
                <c:pt idx="57">
                  <c:v>758.91260349842696</c:v>
                </c:pt>
                <c:pt idx="58">
                  <c:v>767.90805762537093</c:v>
                </c:pt>
                <c:pt idx="59">
                  <c:v>502.41218818387136</c:v>
                </c:pt>
                <c:pt idx="60">
                  <c:v>785.73703589181525</c:v>
                </c:pt>
                <c:pt idx="61">
                  <c:v>794.57304722455103</c:v>
                </c:pt>
                <c:pt idx="62">
                  <c:v>680.01136767982007</c:v>
                </c:pt>
                <c:pt idx="63">
                  <c:v>945.03062944023236</c:v>
                </c:pt>
                <c:pt idx="64">
                  <c:v>952.39895794093911</c:v>
                </c:pt>
                <c:pt idx="65">
                  <c:v>959.72785116517764</c:v>
                </c:pt>
                <c:pt idx="66">
                  <c:v>967.01802536758839</c:v>
                </c:pt>
                <c:pt idx="67">
                  <c:v>974.27017485079784</c:v>
                </c:pt>
                <c:pt idx="68">
                  <c:v>981.48497290547789</c:v>
                </c:pt>
                <c:pt idx="69">
                  <c:v>988.6630726988227</c:v>
                </c:pt>
                <c:pt idx="70">
                  <c:v>995.80510811525312</c:v>
                </c:pt>
                <c:pt idx="71">
                  <c:v>1002.9116945520859</c:v>
                </c:pt>
                <c:pt idx="72">
                  <c:v>1009.9834296733044</c:v>
                </c:pt>
                <c:pt idx="73">
                  <c:v>1017.0208941241119</c:v>
                </c:pt>
                <c:pt idx="74">
                  <c:v>1024.024652208506</c:v>
                </c:pt>
                <c:pt idx="75">
                  <c:v>686.55717707328927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CB-4095-B481-FF6B3EE2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'SPT-06'!$Q$2:$Q$90</c:f>
              <c:numCache>
                <c:formatCode>General</c:formatCode>
                <c:ptCount val="89"/>
                <c:pt idx="0">
                  <c:v>457.7812010621426</c:v>
                </c:pt>
                <c:pt idx="1">
                  <c:v>460.2376616069148</c:v>
                </c:pt>
                <c:pt idx="2">
                  <c:v>646.91375424510875</c:v>
                </c:pt>
                <c:pt idx="3">
                  <c:v>1129.8841300171803</c:v>
                </c:pt>
                <c:pt idx="4">
                  <c:v>692.53540419733531</c:v>
                </c:pt>
                <c:pt idx="5">
                  <c:v>587.45265119180749</c:v>
                </c:pt>
                <c:pt idx="6">
                  <c:v>640.70553703637984</c:v>
                </c:pt>
                <c:pt idx="7">
                  <c:v>1909.0127151651159</c:v>
                </c:pt>
                <c:pt idx="8">
                  <c:v>1229.8428514640364</c:v>
                </c:pt>
                <c:pt idx="9">
                  <c:v>2300.3877276717112</c:v>
                </c:pt>
                <c:pt idx="10">
                  <c:v>2360.1683027567879</c:v>
                </c:pt>
                <c:pt idx="11">
                  <c:v>2833.431295527866</c:v>
                </c:pt>
                <c:pt idx="12">
                  <c:v>2735.4693294894341</c:v>
                </c:pt>
                <c:pt idx="13">
                  <c:v>3650.8396314811216</c:v>
                </c:pt>
                <c:pt idx="14">
                  <c:v>3521.2510219770247</c:v>
                </c:pt>
                <c:pt idx="15">
                  <c:v>3888.2021135140139</c:v>
                </c:pt>
                <c:pt idx="16">
                  <c:v>4447.5798630525242</c:v>
                </c:pt>
                <c:pt idx="17">
                  <c:v>4586.707930631519</c:v>
                </c:pt>
                <c:pt idx="18">
                  <c:v>5255.678409168444</c:v>
                </c:pt>
                <c:pt idx="19">
                  <c:v>5641.4941199887571</c:v>
                </c:pt>
                <c:pt idx="20">
                  <c:v>6036.1396040592172</c:v>
                </c:pt>
                <c:pt idx="21">
                  <c:v>6439.5273281083155</c:v>
                </c:pt>
                <c:pt idx="22">
                  <c:v>6775.1472937132803</c:v>
                </c:pt>
                <c:pt idx="23">
                  <c:v>7104.1302596756177</c:v>
                </c:pt>
                <c:pt idx="24">
                  <c:v>7667.7244439813512</c:v>
                </c:pt>
                <c:pt idx="25">
                  <c:v>8105.255321198274</c:v>
                </c:pt>
                <c:pt idx="26">
                  <c:v>7635.0430811505303</c:v>
                </c:pt>
                <c:pt idx="27">
                  <c:v>8660.1092470848962</c:v>
                </c:pt>
                <c:pt idx="28">
                  <c:v>9305.7321937139659</c:v>
                </c:pt>
                <c:pt idx="29">
                  <c:v>9366.7357108747256</c:v>
                </c:pt>
                <c:pt idx="30">
                  <c:v>10352.412346799356</c:v>
                </c:pt>
                <c:pt idx="31">
                  <c:v>10921.424472412045</c:v>
                </c:pt>
                <c:pt idx="32">
                  <c:v>11497.569037435867</c:v>
                </c:pt>
                <c:pt idx="33">
                  <c:v>11151.064242960014</c:v>
                </c:pt>
                <c:pt idx="34">
                  <c:v>10812.075609560687</c:v>
                </c:pt>
                <c:pt idx="35">
                  <c:v>12576.790244630451</c:v>
                </c:pt>
                <c:pt idx="36">
                  <c:v>13184.126139302007</c:v>
                </c:pt>
                <c:pt idx="37">
                  <c:v>12576.543375146281</c:v>
                </c:pt>
                <c:pt idx="38">
                  <c:v>13472.031064726623</c:v>
                </c:pt>
                <c:pt idx="39">
                  <c:v>14893.853709849764</c:v>
                </c:pt>
                <c:pt idx="40">
                  <c:v>15525.024586488888</c:v>
                </c:pt>
                <c:pt idx="41">
                  <c:v>16162.841166983784</c:v>
                </c:pt>
                <c:pt idx="42">
                  <c:v>16807.256011436712</c:v>
                </c:pt>
                <c:pt idx="43">
                  <c:v>17458.222811757285</c:v>
                </c:pt>
                <c:pt idx="44">
                  <c:v>18115.696346892197</c:v>
                </c:pt>
                <c:pt idx="45">
                  <c:v>18779.632440478636</c:v>
                </c:pt>
                <c:pt idx="46">
                  <c:v>19449.987920758071</c:v>
                </c:pt>
                <c:pt idx="47">
                  <c:v>20126.720582599904</c:v>
                </c:pt>
                <c:pt idx="48">
                  <c:v>19946.61843960212</c:v>
                </c:pt>
                <c:pt idx="49">
                  <c:v>20621.378018626245</c:v>
                </c:pt>
                <c:pt idx="50">
                  <c:v>21958.888802105641</c:v>
                </c:pt>
                <c:pt idx="51">
                  <c:v>22660.726249152547</c:v>
                </c:pt>
                <c:pt idx="52">
                  <c:v>23368.743153433454</c:v>
                </c:pt>
                <c:pt idx="53">
                  <c:v>24082.902414031527</c:v>
                </c:pt>
                <c:pt idx="54">
                  <c:v>24803.16767948907</c:v>
                </c:pt>
                <c:pt idx="55">
                  <c:v>23875.21002075135</c:v>
                </c:pt>
                <c:pt idx="56">
                  <c:v>25112.496524920934</c:v>
                </c:pt>
                <c:pt idx="57">
                  <c:v>26440.13730717717</c:v>
                </c:pt>
                <c:pt idx="58">
                  <c:v>27088.176341322778</c:v>
                </c:pt>
                <c:pt idx="59">
                  <c:v>26235.016295641719</c:v>
                </c:pt>
                <c:pt idx="60">
                  <c:v>28185.804573503257</c:v>
                </c:pt>
                <c:pt idx="61">
                  <c:v>28854.405122422697</c:v>
                </c:pt>
                <c:pt idx="62">
                  <c:v>28222.907460563278</c:v>
                </c:pt>
                <c:pt idx="63">
                  <c:v>30209.931446512499</c:v>
                </c:pt>
                <c:pt idx="64">
                  <c:v>30997.513581737265</c:v>
                </c:pt>
                <c:pt idx="65">
                  <c:v>31790.803997708896</c:v>
                </c:pt>
                <c:pt idx="66">
                  <c:v>32589.774352562414</c:v>
                </c:pt>
                <c:pt idx="67">
                  <c:v>33394.396780331233</c:v>
                </c:pt>
                <c:pt idx="68">
                  <c:v>34204.643877519142</c:v>
                </c:pt>
                <c:pt idx="69">
                  <c:v>35020.488690198865</c:v>
                </c:pt>
                <c:pt idx="70">
                  <c:v>35841.904701611398</c:v>
                </c:pt>
                <c:pt idx="71">
                  <c:v>36668.865820241059</c:v>
                </c:pt>
                <c:pt idx="72">
                  <c:v>37501.346368343264</c:v>
                </c:pt>
                <c:pt idx="73">
                  <c:v>38339.321070903155</c:v>
                </c:pt>
                <c:pt idx="74">
                  <c:v>39182.765045004402</c:v>
                </c:pt>
                <c:pt idx="75">
                  <c:v>39752.389320737537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5C-49F6-82E1-9CAE5DFB63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'SPT-06'!$R$2:$R$90</c:f>
              <c:numCache>
                <c:formatCode>General</c:formatCode>
                <c:ptCount val="89"/>
                <c:pt idx="0">
                  <c:v>530.32950405368967</c:v>
                </c:pt>
                <c:pt idx="1">
                  <c:v>528.72326980086461</c:v>
                </c:pt>
                <c:pt idx="2">
                  <c:v>740.51380029945392</c:v>
                </c:pt>
                <c:pt idx="3">
                  <c:v>1293.592076007882</c:v>
                </c:pt>
                <c:pt idx="4">
                  <c:v>777.82353549245749</c:v>
                </c:pt>
                <c:pt idx="5">
                  <c:v>651.88656367660087</c:v>
                </c:pt>
                <c:pt idx="6">
                  <c:v>710.64758568526224</c:v>
                </c:pt>
                <c:pt idx="7">
                  <c:v>2174.6453650905132</c:v>
                </c:pt>
                <c:pt idx="8">
                  <c:v>1373.8265319006664</c:v>
                </c:pt>
                <c:pt idx="9">
                  <c:v>2600.708745545583</c:v>
                </c:pt>
                <c:pt idx="10">
                  <c:v>2649.6530428191645</c:v>
                </c:pt>
                <c:pt idx="11">
                  <c:v>3178.6079114642757</c:v>
                </c:pt>
                <c:pt idx="12">
                  <c:v>3045.1753588259758</c:v>
                </c:pt>
                <c:pt idx="13">
                  <c:v>4091.7782419988234</c:v>
                </c:pt>
                <c:pt idx="14">
                  <c:v>3922.3506778324058</c:v>
                </c:pt>
                <c:pt idx="15">
                  <c:v>4331.1007451741089</c:v>
                </c:pt>
                <c:pt idx="16">
                  <c:v>4960.76637508366</c:v>
                </c:pt>
                <c:pt idx="17">
                  <c:v>5101.1573027739105</c:v>
                </c:pt>
                <c:pt idx="18">
                  <c:v>5855.614256266279</c:v>
                </c:pt>
                <c:pt idx="19">
                  <c:v>6278.4863916468012</c:v>
                </c:pt>
                <c:pt idx="20">
                  <c:v>6710.8653634871307</c:v>
                </c:pt>
                <c:pt idx="21">
                  <c:v>7152.6605868019615</c:v>
                </c:pt>
                <c:pt idx="22">
                  <c:v>7515.4213783557952</c:v>
                </c:pt>
                <c:pt idx="23">
                  <c:v>7870.6176288920087</c:v>
                </c:pt>
                <c:pt idx="24">
                  <c:v>8497.2328453862792</c:v>
                </c:pt>
                <c:pt idx="25">
                  <c:v>8975.8332076668976</c:v>
                </c:pt>
                <c:pt idx="26">
                  <c:v>8404.1922361360084</c:v>
                </c:pt>
                <c:pt idx="27">
                  <c:v>9570.1974568043988</c:v>
                </c:pt>
                <c:pt idx="28">
                  <c:v>10289.666062585617</c:v>
                </c:pt>
                <c:pt idx="29">
                  <c:v>10323.955503205918</c:v>
                </c:pt>
                <c:pt idx="30">
                  <c:v>11431.626805486103</c:v>
                </c:pt>
                <c:pt idx="31">
                  <c:v>12051.949323582427</c:v>
                </c:pt>
                <c:pt idx="32">
                  <c:v>12679.983978506214</c:v>
                </c:pt>
                <c:pt idx="33">
                  <c:v>12241.121703443838</c:v>
                </c:pt>
                <c:pt idx="34">
                  <c:v>11820.648850509882</c:v>
                </c:pt>
                <c:pt idx="35">
                  <c:v>13838.828849692491</c:v>
                </c:pt>
                <c:pt idx="36">
                  <c:v>14503.862902419556</c:v>
                </c:pt>
                <c:pt idx="37">
                  <c:v>13763.908883252077</c:v>
                </c:pt>
                <c:pt idx="38">
                  <c:v>14772.889278075061</c:v>
                </c:pt>
                <c:pt idx="39">
                  <c:v>16384.613506547699</c:v>
                </c:pt>
                <c:pt idx="40">
                  <c:v>17072.167250032555</c:v>
                </c:pt>
                <c:pt idx="41">
                  <c:v>17766.911470002553</c:v>
                </c:pt>
                <c:pt idx="42">
                  <c:v>18468.795247242811</c:v>
                </c:pt>
                <c:pt idx="43">
                  <c:v>19177.768865501253</c:v>
                </c:pt>
                <c:pt idx="44">
                  <c:v>19893.783764486376</c:v>
                </c:pt>
                <c:pt idx="45">
                  <c:v>20616.792495369242</c:v>
                </c:pt>
                <c:pt idx="46">
                  <c:v>21346.748678624561</c:v>
                </c:pt>
                <c:pt idx="47">
                  <c:v>22083.606964058152</c:v>
                </c:pt>
                <c:pt idx="48">
                  <c:v>21829.502439984215</c:v>
                </c:pt>
                <c:pt idx="49">
                  <c:v>22572.074329366806</c:v>
                </c:pt>
                <c:pt idx="50">
                  <c:v>24079.195746372829</c:v>
                </c:pt>
                <c:pt idx="51">
                  <c:v>24843.228237134623</c:v>
                </c:pt>
                <c:pt idx="52">
                  <c:v>25613.950256181059</c:v>
                </c:pt>
                <c:pt idx="53">
                  <c:v>26391.321895826215</c:v>
                </c:pt>
                <c:pt idx="54">
                  <c:v>27175.304048519251</c:v>
                </c:pt>
                <c:pt idx="55">
                  <c:v>26053.694224153693</c:v>
                </c:pt>
                <c:pt idx="56">
                  <c:v>27459.023994453146</c:v>
                </c:pt>
                <c:pt idx="57">
                  <c:v>28959.590273116366</c:v>
                </c:pt>
                <c:pt idx="58">
                  <c:v>29665.68920033953</c:v>
                </c:pt>
                <c:pt idx="59">
                  <c:v>28635.774002774644</c:v>
                </c:pt>
                <c:pt idx="60">
                  <c:v>30862.486674901007</c:v>
                </c:pt>
                <c:pt idx="61">
                  <c:v>31590.836817072839</c:v>
                </c:pt>
                <c:pt idx="62">
                  <c:v>30808.082129469767</c:v>
                </c:pt>
                <c:pt idx="63">
                  <c:v>33066.5641239791</c:v>
                </c:pt>
                <c:pt idx="64">
                  <c:v>33923.439779007531</c:v>
                </c:pt>
                <c:pt idx="65">
                  <c:v>34786.497702891516</c:v>
                </c:pt>
                <c:pt idx="66">
                  <c:v>35655.707354892642</c:v>
                </c:pt>
                <c:pt idx="67">
                  <c:v>36531.038704165883</c:v>
                </c:pt>
                <c:pt idx="68">
                  <c:v>37412.462215466563</c:v>
                </c:pt>
                <c:pt idx="69">
                  <c:v>38299.948835413627</c:v>
                </c:pt>
                <c:pt idx="70">
                  <c:v>39193.469979282054</c:v>
                </c:pt>
                <c:pt idx="71">
                  <c:v>40092.997518298333</c:v>
                </c:pt>
                <c:pt idx="72">
                  <c:v>40998.503767414739</c:v>
                </c:pt>
                <c:pt idx="73">
                  <c:v>41909.96147353961</c:v>
                </c:pt>
                <c:pt idx="74">
                  <c:v>42827.343804201744</c:v>
                </c:pt>
                <c:pt idx="75">
                  <c:v>43447.235707141568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5C-49F6-82E1-9CAE5DFB63C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'SPT-06'!$S$2:$S$90</c:f>
              <c:numCache>
                <c:formatCode>General</c:formatCode>
                <c:ptCount val="89"/>
                <c:pt idx="0">
                  <c:v>696.76258859768564</c:v>
                </c:pt>
                <c:pt idx="1">
                  <c:v>684.15601090883456</c:v>
                </c:pt>
                <c:pt idx="2">
                  <c:v>951.87480707850227</c:v>
                </c:pt>
                <c:pt idx="3">
                  <c:v>1663.3601711123995</c:v>
                </c:pt>
                <c:pt idx="4">
                  <c:v>964.25087879486307</c:v>
                </c:pt>
                <c:pt idx="5">
                  <c:v>788.88687993728831</c:v>
                </c:pt>
                <c:pt idx="6">
                  <c:v>859.17789753362922</c:v>
                </c:pt>
                <c:pt idx="7">
                  <c:v>2770.1062615324158</c:v>
                </c:pt>
                <c:pt idx="8">
                  <c:v>1684.9232854313709</c:v>
                </c:pt>
                <c:pt idx="9">
                  <c:v>3265.4320400247516</c:v>
                </c:pt>
                <c:pt idx="10">
                  <c:v>3281.8520686712659</c:v>
                </c:pt>
                <c:pt idx="11">
                  <c:v>3931.282401782948</c:v>
                </c:pt>
                <c:pt idx="12">
                  <c:v>3708.9495362564257</c:v>
                </c:pt>
                <c:pt idx="13">
                  <c:v>5051.3925395857896</c:v>
                </c:pt>
                <c:pt idx="14">
                  <c:v>4783.2861344083149</c:v>
                </c:pt>
                <c:pt idx="15">
                  <c:v>5281.7552115700637</c:v>
                </c:pt>
                <c:pt idx="16">
                  <c:v>6065.7390295024106</c:v>
                </c:pt>
                <c:pt idx="17">
                  <c:v>6201.1828013790064</c:v>
                </c:pt>
                <c:pt idx="18">
                  <c:v>7144.0063238860494</c:v>
                </c:pt>
                <c:pt idx="19">
                  <c:v>7642.7995722191999</c:v>
                </c:pt>
                <c:pt idx="20">
                  <c:v>8152.3803368861027</c:v>
                </c:pt>
                <c:pt idx="21">
                  <c:v>8672.6551154178178</c:v>
                </c:pt>
                <c:pt idx="22">
                  <c:v>9087.8497141784119</c:v>
                </c:pt>
                <c:pt idx="23">
                  <c:v>9493.3987995475982</c:v>
                </c:pt>
                <c:pt idx="24">
                  <c:v>10254.666752858326</c:v>
                </c:pt>
                <c:pt idx="25">
                  <c:v>10816.816117869259</c:v>
                </c:pt>
                <c:pt idx="26">
                  <c:v>10002.331889088211</c:v>
                </c:pt>
                <c:pt idx="27">
                  <c:v>11483.547322300827</c:v>
                </c:pt>
                <c:pt idx="28">
                  <c:v>12361.680581078152</c:v>
                </c:pt>
                <c:pt idx="29">
                  <c:v>12320.955306983391</c:v>
                </c:pt>
                <c:pt idx="30">
                  <c:v>13695.582947194693</c:v>
                </c:pt>
                <c:pt idx="31">
                  <c:v>14418.949368537611</c:v>
                </c:pt>
                <c:pt idx="32">
                  <c:v>15151.15000817997</c:v>
                </c:pt>
                <c:pt idx="33">
                  <c:v>14486.279586038925</c:v>
                </c:pt>
                <c:pt idx="34">
                  <c:v>13868.396821691525</c:v>
                </c:pt>
                <c:pt idx="35">
                  <c:v>16458.163064854813</c:v>
                </c:pt>
                <c:pt idx="36">
                  <c:v>17241.013802926966</c:v>
                </c:pt>
                <c:pt idx="37">
                  <c:v>16183.769785106168</c:v>
                </c:pt>
                <c:pt idx="38">
                  <c:v>17442.387607483131</c:v>
                </c:pt>
                <c:pt idx="39">
                  <c:v>19476.395805612239</c:v>
                </c:pt>
                <c:pt idx="40">
                  <c:v>20276.826948487738</c:v>
                </c:pt>
                <c:pt idx="41">
                  <c:v>21085.50645858483</c:v>
                </c:pt>
                <c:pt idx="42">
                  <c:v>21902.376958994326</c:v>
                </c:pt>
                <c:pt idx="43">
                  <c:v>22727.382398170219</c:v>
                </c:pt>
                <c:pt idx="44">
                  <c:v>23560.467999642511</c:v>
                </c:pt>
                <c:pt idx="45">
                  <c:v>24401.580214304326</c:v>
                </c:pt>
                <c:pt idx="46">
                  <c:v>25250.666675113142</c:v>
                </c:pt>
                <c:pt idx="47">
                  <c:v>26107.676154056844</c:v>
                </c:pt>
                <c:pt idx="48">
                  <c:v>25666.646774690897</c:v>
                </c:pt>
                <c:pt idx="49">
                  <c:v>26550.022732654681</c:v>
                </c:pt>
                <c:pt idx="50">
                  <c:v>28430.263607051373</c:v>
                </c:pt>
                <c:pt idx="51">
                  <c:v>29318.47426835907</c:v>
                </c:pt>
                <c:pt idx="52">
                  <c:v>30214.367528862946</c:v>
                </c:pt>
                <c:pt idx="53">
                  <c:v>31117.898201538886</c:v>
                </c:pt>
                <c:pt idx="54">
                  <c:v>32029.021990054749</c:v>
                </c:pt>
                <c:pt idx="55">
                  <c:v>30445.571860970165</c:v>
                </c:pt>
                <c:pt idx="56">
                  <c:v>32225.828028915395</c:v>
                </c:pt>
                <c:pt idx="57">
                  <c:v>34108.959669987824</c:v>
                </c:pt>
                <c:pt idx="58">
                  <c:v>34931.407309243652</c:v>
                </c:pt>
                <c:pt idx="59">
                  <c:v>33480.318490118028</c:v>
                </c:pt>
                <c:pt idx="60">
                  <c:v>36327.487820214104</c:v>
                </c:pt>
                <c:pt idx="61">
                  <c:v>37175.470955748111</c:v>
                </c:pt>
                <c:pt idx="62">
                  <c:v>36026.403495757979</c:v>
                </c:pt>
                <c:pt idx="63">
                  <c:v>38891.243106379465</c:v>
                </c:pt>
                <c:pt idx="64">
                  <c:v>39886.132251662195</c:v>
                </c:pt>
                <c:pt idx="65">
                  <c:v>40888.128521437327</c:v>
                </c:pt>
                <c:pt idx="66">
                  <c:v>41897.197195757646</c:v>
                </c:pt>
                <c:pt idx="67">
                  <c:v>42913.304126924282</c:v>
                </c:pt>
                <c:pt idx="68">
                  <c:v>43936.415723685903</c:v>
                </c:pt>
                <c:pt idx="69">
                  <c:v>44966.498936042044</c:v>
                </c:pt>
                <c:pt idx="70">
                  <c:v>46003.521240621572</c:v>
                </c:pt>
                <c:pt idx="71">
                  <c:v>47047.450626608676</c:v>
                </c:pt>
                <c:pt idx="72">
                  <c:v>48098.255582190315</c:v>
                </c:pt>
                <c:pt idx="73">
                  <c:v>49155.905081501056</c:v>
                </c:pt>
                <c:pt idx="74">
                  <c:v>50220.368572041611</c:v>
                </c:pt>
                <c:pt idx="75">
                  <c:v>50940.482035141096</c:v>
                </c:pt>
              </c:numCache>
            </c:numRef>
          </c:xVal>
          <c:yVal>
            <c:numRef>
              <c:f>'SPT-06'!$A$2:$A$90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  <c:pt idx="74">
                  <c:v>44.4</c:v>
                </c:pt>
                <c:pt idx="75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5C-49F6-82E1-9CAE5DFB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 médio'!$N$2:$N$90</c:f>
              <c:numCache>
                <c:formatCode>General</c:formatCode>
                <c:ptCount val="89"/>
                <c:pt idx="0">
                  <c:v>71.586024389469884</c:v>
                </c:pt>
                <c:pt idx="1">
                  <c:v>75.482862343727035</c:v>
                </c:pt>
                <c:pt idx="2">
                  <c:v>73.015225678215614</c:v>
                </c:pt>
                <c:pt idx="3">
                  <c:v>110.91864803803038</c:v>
                </c:pt>
                <c:pt idx="4">
                  <c:v>125.69125709088921</c:v>
                </c:pt>
                <c:pt idx="5">
                  <c:v>137.93645327203208</c:v>
                </c:pt>
                <c:pt idx="6">
                  <c:v>121.36135321235977</c:v>
                </c:pt>
                <c:pt idx="7">
                  <c:v>92.298210108619841</c:v>
                </c:pt>
                <c:pt idx="8">
                  <c:v>143.15382307488002</c:v>
                </c:pt>
                <c:pt idx="9">
                  <c:v>213.34882527322162</c:v>
                </c:pt>
                <c:pt idx="10">
                  <c:v>239.92443043957019</c:v>
                </c:pt>
                <c:pt idx="11">
                  <c:v>238.85154074133393</c:v>
                </c:pt>
                <c:pt idx="12">
                  <c:v>165.66527846095545</c:v>
                </c:pt>
                <c:pt idx="13">
                  <c:v>195.3535770607057</c:v>
                </c:pt>
                <c:pt idx="14">
                  <c:v>179.83203119025399</c:v>
                </c:pt>
                <c:pt idx="15">
                  <c:v>146.19517476475284</c:v>
                </c:pt>
                <c:pt idx="16">
                  <c:v>223.4761975018761</c:v>
                </c:pt>
                <c:pt idx="17">
                  <c:v>226.00449098499877</c:v>
                </c:pt>
                <c:pt idx="18">
                  <c:v>228.07103032614731</c:v>
                </c:pt>
                <c:pt idx="19">
                  <c:v>298.70974283218283</c:v>
                </c:pt>
                <c:pt idx="20">
                  <c:v>286.03572878957885</c:v>
                </c:pt>
                <c:pt idx="21">
                  <c:v>207.90487345280465</c:v>
                </c:pt>
                <c:pt idx="22">
                  <c:v>330.15531133866034</c:v>
                </c:pt>
                <c:pt idx="23">
                  <c:v>256.4133870035638</c:v>
                </c:pt>
                <c:pt idx="24">
                  <c:v>323.53736751719356</c:v>
                </c:pt>
                <c:pt idx="25">
                  <c:v>256.47434576648658</c:v>
                </c:pt>
                <c:pt idx="26">
                  <c:v>249.25949253983629</c:v>
                </c:pt>
                <c:pt idx="27">
                  <c:v>365.40768946515169</c:v>
                </c:pt>
                <c:pt idx="28">
                  <c:v>348.81357141675494</c:v>
                </c:pt>
                <c:pt idx="29">
                  <c:v>441.72091961793416</c:v>
                </c:pt>
                <c:pt idx="30">
                  <c:v>448.36844597983753</c:v>
                </c:pt>
                <c:pt idx="31">
                  <c:v>440.62306247935737</c:v>
                </c:pt>
                <c:pt idx="32">
                  <c:v>510.66369694888539</c:v>
                </c:pt>
                <c:pt idx="33">
                  <c:v>510.77169574073594</c:v>
                </c:pt>
                <c:pt idx="34">
                  <c:v>488.98505630233637</c:v>
                </c:pt>
                <c:pt idx="35">
                  <c:v>495.50365224817784</c:v>
                </c:pt>
                <c:pt idx="36">
                  <c:v>463.98444976152439</c:v>
                </c:pt>
                <c:pt idx="37">
                  <c:v>438.04939119851196</c:v>
                </c:pt>
                <c:pt idx="38">
                  <c:v>435.3411796933911</c:v>
                </c:pt>
                <c:pt idx="39">
                  <c:v>543.91798610407386</c:v>
                </c:pt>
                <c:pt idx="40">
                  <c:v>375.21926912220238</c:v>
                </c:pt>
                <c:pt idx="41">
                  <c:v>493.30252309167315</c:v>
                </c:pt>
                <c:pt idx="42">
                  <c:v>578.75620750475036</c:v>
                </c:pt>
                <c:pt idx="43">
                  <c:v>569.6009427211867</c:v>
                </c:pt>
                <c:pt idx="44">
                  <c:v>607.33576618657969</c:v>
                </c:pt>
                <c:pt idx="45">
                  <c:v>590.16259121758242</c:v>
                </c:pt>
                <c:pt idx="46">
                  <c:v>636.14662943967755</c:v>
                </c:pt>
                <c:pt idx="47">
                  <c:v>541.25074772263054</c:v>
                </c:pt>
                <c:pt idx="48">
                  <c:v>516.27223155769479</c:v>
                </c:pt>
                <c:pt idx="49">
                  <c:v>523.40212541667688</c:v>
                </c:pt>
                <c:pt idx="50">
                  <c:v>522.0528983317314</c:v>
                </c:pt>
                <c:pt idx="51">
                  <c:v>511.8157972493583</c:v>
                </c:pt>
                <c:pt idx="52">
                  <c:v>354.6084602326535</c:v>
                </c:pt>
                <c:pt idx="53">
                  <c:v>690.41076031670104</c:v>
                </c:pt>
                <c:pt idx="54">
                  <c:v>635.85754790059934</c:v>
                </c:pt>
                <c:pt idx="55">
                  <c:v>641.57456061912956</c:v>
                </c:pt>
                <c:pt idx="56">
                  <c:v>568.10713472309612</c:v>
                </c:pt>
                <c:pt idx="57">
                  <c:v>556.67184171862743</c:v>
                </c:pt>
                <c:pt idx="58">
                  <c:v>590.81273624599976</c:v>
                </c:pt>
                <c:pt idx="59">
                  <c:v>569.72710747389465</c:v>
                </c:pt>
                <c:pt idx="60">
                  <c:v>632.29764637087624</c:v>
                </c:pt>
                <c:pt idx="61">
                  <c:v>639.32242019048545</c:v>
                </c:pt>
                <c:pt idx="62">
                  <c:v>535.8980760021459</c:v>
                </c:pt>
                <c:pt idx="63">
                  <c:v>703.37153113625243</c:v>
                </c:pt>
                <c:pt idx="64">
                  <c:v>737.41716504320618</c:v>
                </c:pt>
                <c:pt idx="65">
                  <c:v>733.51215103447623</c:v>
                </c:pt>
                <c:pt idx="66">
                  <c:v>777.08178033554702</c:v>
                </c:pt>
                <c:pt idx="67">
                  <c:v>782.84484494209357</c:v>
                </c:pt>
                <c:pt idx="68">
                  <c:v>730.37591795487697</c:v>
                </c:pt>
                <c:pt idx="69">
                  <c:v>610.50242816032574</c:v>
                </c:pt>
                <c:pt idx="70">
                  <c:v>799.9599143095179</c:v>
                </c:pt>
                <c:pt idx="71">
                  <c:v>805.60853981013724</c:v>
                </c:pt>
                <c:pt idx="72">
                  <c:v>741.30848962138464</c:v>
                </c:pt>
                <c:pt idx="73">
                  <c:v>756.71361467162149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D-4389-8E5B-557ECBA7D5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 médio'!$O$2:$O$90</c:f>
              <c:numCache>
                <c:formatCode>General</c:formatCode>
                <c:ptCount val="89"/>
                <c:pt idx="0">
                  <c:v>77.678451997084366</c:v>
                </c:pt>
                <c:pt idx="1">
                  <c:v>81.906935734682548</c:v>
                </c:pt>
                <c:pt idx="2">
                  <c:v>79.229287438063764</c:v>
                </c:pt>
                <c:pt idx="3">
                  <c:v>120.35853297743724</c:v>
                </c:pt>
                <c:pt idx="4">
                  <c:v>136.38838535394362</c:v>
                </c:pt>
                <c:pt idx="5">
                  <c:v>149.67572589092845</c:v>
                </c:pt>
                <c:pt idx="6">
                  <c:v>131.68997901766701</c:v>
                </c:pt>
                <c:pt idx="7">
                  <c:v>100.15337692637472</c:v>
                </c:pt>
                <c:pt idx="8">
                  <c:v>155.33712716635921</c:v>
                </c:pt>
                <c:pt idx="9">
                  <c:v>231.50617210498518</c:v>
                </c:pt>
                <c:pt idx="10">
                  <c:v>260.34353090251238</c:v>
                </c:pt>
                <c:pt idx="11">
                  <c:v>259.17933144272411</c:v>
                </c:pt>
                <c:pt idx="12">
                  <c:v>179.76445109593038</c:v>
                </c:pt>
                <c:pt idx="13">
                  <c:v>211.97941340629768</c:v>
                </c:pt>
                <c:pt idx="14">
                  <c:v>195.13688490857351</c:v>
                </c:pt>
                <c:pt idx="15">
                  <c:v>158.63731729792329</c:v>
                </c:pt>
                <c:pt idx="16">
                  <c:v>242.49544835309962</c:v>
                </c:pt>
                <c:pt idx="17">
                  <c:v>245.23891574967953</c:v>
                </c:pt>
                <c:pt idx="18">
                  <c:v>247.48133077943646</c:v>
                </c:pt>
                <c:pt idx="19">
                  <c:v>324.13184860513462</c:v>
                </c:pt>
                <c:pt idx="20">
                  <c:v>310.37919506954302</c:v>
                </c:pt>
                <c:pt idx="21">
                  <c:v>225.59890523602209</c:v>
                </c:pt>
                <c:pt idx="22">
                  <c:v>358.25363570790802</c:v>
                </c:pt>
                <c:pt idx="23">
                  <c:v>278.23580291876078</c:v>
                </c:pt>
                <c:pt idx="24">
                  <c:v>351.07246262503992</c:v>
                </c:pt>
                <c:pt idx="25">
                  <c:v>278.3019496615068</c:v>
                </c:pt>
                <c:pt idx="26">
                  <c:v>270.47306637301386</c:v>
                </c:pt>
                <c:pt idx="27">
                  <c:v>396.50621622814339</c:v>
                </c:pt>
                <c:pt idx="28">
                  <c:v>378.49983281392565</c:v>
                </c:pt>
                <c:pt idx="29">
                  <c:v>479.31418937265204</c:v>
                </c:pt>
                <c:pt idx="30">
                  <c:v>486.52746265897264</c:v>
                </c:pt>
                <c:pt idx="31">
                  <c:v>478.12289758398362</c:v>
                </c:pt>
                <c:pt idx="32">
                  <c:v>554.12443711474805</c:v>
                </c:pt>
                <c:pt idx="33">
                  <c:v>554.241627293139</c:v>
                </c:pt>
                <c:pt idx="34">
                  <c:v>530.60080577487565</c:v>
                </c:pt>
                <c:pt idx="35">
                  <c:v>537.67417584376744</c:v>
                </c:pt>
                <c:pt idx="36">
                  <c:v>503.47248803910099</c:v>
                </c:pt>
                <c:pt idx="37">
                  <c:v>475.33019044944916</c:v>
                </c:pt>
                <c:pt idx="38">
                  <c:v>472.39149285878614</c:v>
                </c:pt>
                <c:pt idx="39">
                  <c:v>590.20887853846307</c:v>
                </c:pt>
                <c:pt idx="40">
                  <c:v>407.15282394111324</c:v>
                </c:pt>
                <c:pt idx="41">
                  <c:v>535.28571654628365</c:v>
                </c:pt>
                <c:pt idx="42">
                  <c:v>628.01205495196325</c:v>
                </c:pt>
                <c:pt idx="43">
                  <c:v>618.07761869745786</c:v>
                </c:pt>
                <c:pt idx="44">
                  <c:v>659.02391650033132</c:v>
                </c:pt>
                <c:pt idx="45">
                  <c:v>640.38919472546183</c:v>
                </c:pt>
                <c:pt idx="46">
                  <c:v>690.28676811539469</c:v>
                </c:pt>
                <c:pt idx="47">
                  <c:v>587.31464114583321</c:v>
                </c:pt>
                <c:pt idx="48">
                  <c:v>560.21029381792414</c:v>
                </c:pt>
                <c:pt idx="49">
                  <c:v>567.94698715426637</c:v>
                </c:pt>
                <c:pt idx="50">
                  <c:v>566.48293223230439</c:v>
                </c:pt>
                <c:pt idx="51">
                  <c:v>555.37458850462281</c:v>
                </c:pt>
                <c:pt idx="52">
                  <c:v>384.78790365670909</c:v>
                </c:pt>
                <c:pt idx="53">
                  <c:v>749.16912289684581</c:v>
                </c:pt>
                <c:pt idx="54">
                  <c:v>689.97308389213981</c:v>
                </c:pt>
                <c:pt idx="55">
                  <c:v>696.1766508845875</c:v>
                </c:pt>
                <c:pt idx="56">
                  <c:v>616.45667810378518</c:v>
                </c:pt>
                <c:pt idx="57">
                  <c:v>604.04816867340423</c:v>
                </c:pt>
                <c:pt idx="58">
                  <c:v>641.09467124565924</c:v>
                </c:pt>
                <c:pt idx="59">
                  <c:v>618.2145208759282</c:v>
                </c:pt>
                <c:pt idx="60">
                  <c:v>686.1102120194613</c:v>
                </c:pt>
                <c:pt idx="61">
                  <c:v>693.73283893010125</c:v>
                </c:pt>
                <c:pt idx="62">
                  <c:v>581.50642289594566</c:v>
                </c:pt>
                <c:pt idx="63">
                  <c:v>763.23293804146556</c:v>
                </c:pt>
                <c:pt idx="64">
                  <c:v>800.17607270645783</c:v>
                </c:pt>
                <c:pt idx="65">
                  <c:v>795.93871707996357</c:v>
                </c:pt>
                <c:pt idx="66">
                  <c:v>843.21639993857241</c:v>
                </c:pt>
                <c:pt idx="67">
                  <c:v>849.4699381286548</c:v>
                </c:pt>
                <c:pt idx="68">
                  <c:v>792.53557054678151</c:v>
                </c:pt>
                <c:pt idx="69">
                  <c:v>662.46008162077896</c:v>
                </c:pt>
                <c:pt idx="70">
                  <c:v>868.04160914437057</c:v>
                </c:pt>
                <c:pt idx="71">
                  <c:v>874.17096873014896</c:v>
                </c:pt>
                <c:pt idx="72">
                  <c:v>804.39857384448135</c:v>
                </c:pt>
                <c:pt idx="73">
                  <c:v>821.11477336707856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7D-4389-8E5B-557ECBA7D5B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 médio'!$P$2:$P$90</c:f>
              <c:numCache>
                <c:formatCode>General</c:formatCode>
                <c:ptCount val="89"/>
                <c:pt idx="0">
                  <c:v>89.672918849575311</c:v>
                </c:pt>
                <c:pt idx="1">
                  <c:v>94.554330223126172</c:v>
                </c:pt>
                <c:pt idx="2">
                  <c:v>91.463221527764787</c:v>
                </c:pt>
                <c:pt idx="3">
                  <c:v>138.94330645189444</c:v>
                </c:pt>
                <c:pt idx="4">
                  <c:v>157.44835662183195</c:v>
                </c:pt>
                <c:pt idx="5">
                  <c:v>172.78741885938061</c:v>
                </c:pt>
                <c:pt idx="6">
                  <c:v>152.0244610718656</c:v>
                </c:pt>
                <c:pt idx="7">
                  <c:v>115.61823659882964</c:v>
                </c:pt>
                <c:pt idx="8">
                  <c:v>179.32300709645878</c:v>
                </c:pt>
                <c:pt idx="9">
                  <c:v>267.25344868001969</c:v>
                </c:pt>
                <c:pt idx="10">
                  <c:v>300.5436349389297</c:v>
                </c:pt>
                <c:pt idx="11">
                  <c:v>299.19966938608587</c:v>
                </c:pt>
                <c:pt idx="12">
                  <c:v>207.52219722103729</c:v>
                </c:pt>
                <c:pt idx="13">
                  <c:v>244.71152871168189</c:v>
                </c:pt>
                <c:pt idx="14">
                  <c:v>225.26831566651498</c:v>
                </c:pt>
                <c:pt idx="15">
                  <c:v>183.13278541010266</c:v>
                </c:pt>
                <c:pt idx="16">
                  <c:v>279.93959846644589</c:v>
                </c:pt>
                <c:pt idx="17">
                  <c:v>283.10668950514474</c:v>
                </c:pt>
                <c:pt idx="18">
                  <c:v>285.6953597968494</c:v>
                </c:pt>
                <c:pt idx="19">
                  <c:v>374.18161934563329</c:v>
                </c:pt>
                <c:pt idx="20">
                  <c:v>358.30539430822245</c:v>
                </c:pt>
                <c:pt idx="21">
                  <c:v>260.43403030923133</c:v>
                </c:pt>
                <c:pt idx="22">
                  <c:v>413.57221180986437</c:v>
                </c:pt>
                <c:pt idx="23">
                  <c:v>321.19868425180471</c:v>
                </c:pt>
                <c:pt idx="24">
                  <c:v>405.28218111861219</c:v>
                </c:pt>
                <c:pt idx="25">
                  <c:v>321.27504482982766</c:v>
                </c:pt>
                <c:pt idx="26">
                  <c:v>312.23728985708215</c:v>
                </c:pt>
                <c:pt idx="27">
                  <c:v>457.73144079278313</c:v>
                </c:pt>
                <c:pt idx="28">
                  <c:v>436.94465993960529</c:v>
                </c:pt>
                <c:pt idx="29">
                  <c:v>553.3259392022527</c:v>
                </c:pt>
                <c:pt idx="30">
                  <c:v>561.65302674601992</c:v>
                </c:pt>
                <c:pt idx="31">
                  <c:v>551.95069794621634</c:v>
                </c:pt>
                <c:pt idx="32">
                  <c:v>639.68776931628997</c:v>
                </c:pt>
                <c:pt idx="33">
                  <c:v>639.82305503693249</c:v>
                </c:pt>
                <c:pt idx="34">
                  <c:v>612.53181254893741</c:v>
                </c:pt>
                <c:pt idx="35">
                  <c:v>620.6973941725845</c:v>
                </c:pt>
                <c:pt idx="36">
                  <c:v>581.2145633980798</c:v>
                </c:pt>
                <c:pt idx="37">
                  <c:v>548.72676397473185</c:v>
                </c:pt>
                <c:pt idx="38">
                  <c:v>545.33429690315756</c:v>
                </c:pt>
                <c:pt idx="39">
                  <c:v>681.34407301866702</c:v>
                </c:pt>
                <c:pt idx="40">
                  <c:v>470.02200999084397</c:v>
                </c:pt>
                <c:pt idx="41">
                  <c:v>617.940128660048</c:v>
                </c:pt>
                <c:pt idx="42">
                  <c:v>724.98450461366338</c:v>
                </c:pt>
                <c:pt idx="43">
                  <c:v>713.51607452574183</c:v>
                </c:pt>
                <c:pt idx="44">
                  <c:v>760.7849624305295</c:v>
                </c:pt>
                <c:pt idx="45">
                  <c:v>739.27282038159922</c:v>
                </c:pt>
                <c:pt idx="46">
                  <c:v>796.87516613321304</c:v>
                </c:pt>
                <c:pt idx="47">
                  <c:v>678.00293132276329</c:v>
                </c:pt>
                <c:pt idx="48">
                  <c:v>646.71335389275066</c:v>
                </c:pt>
                <c:pt idx="49">
                  <c:v>655.64468370014583</c:v>
                </c:pt>
                <c:pt idx="50">
                  <c:v>653.95456147405719</c:v>
                </c:pt>
                <c:pt idx="51">
                  <c:v>641.13095878842489</c:v>
                </c:pt>
                <c:pt idx="52">
                  <c:v>444.20368289781857</c:v>
                </c:pt>
                <c:pt idx="53">
                  <c:v>864.84964922650579</c:v>
                </c:pt>
                <c:pt idx="54">
                  <c:v>796.51304537548481</c:v>
                </c:pt>
                <c:pt idx="55">
                  <c:v>803.67451609470754</c:v>
                </c:pt>
                <c:pt idx="56">
                  <c:v>711.64484163451664</c:v>
                </c:pt>
                <c:pt idx="57">
                  <c:v>697.32031236562113</c:v>
                </c:pt>
                <c:pt idx="58">
                  <c:v>740.08723077623904</c:v>
                </c:pt>
                <c:pt idx="59">
                  <c:v>713.67411601118181</c:v>
                </c:pt>
                <c:pt idx="60">
                  <c:v>792.05370064011356</c:v>
                </c:pt>
                <c:pt idx="61">
                  <c:v>800.85335082371978</c:v>
                </c:pt>
                <c:pt idx="62">
                  <c:v>671.29785584311378</c:v>
                </c:pt>
                <c:pt idx="63">
                  <c:v>881.08508288610369</c:v>
                </c:pt>
                <c:pt idx="64">
                  <c:v>923.73267216848444</c:v>
                </c:pt>
                <c:pt idx="65">
                  <c:v>918.84101898201675</c:v>
                </c:pt>
                <c:pt idx="66">
                  <c:v>973.41893228202844</c:v>
                </c:pt>
                <c:pt idx="67">
                  <c:v>980.63809033969721</c:v>
                </c:pt>
                <c:pt idx="68">
                  <c:v>914.91238658709324</c:v>
                </c:pt>
                <c:pt idx="69">
                  <c:v>764.75171187104627</c:v>
                </c:pt>
                <c:pt idx="70">
                  <c:v>1002.0774458504866</c:v>
                </c:pt>
                <c:pt idx="71">
                  <c:v>1009.153250666422</c:v>
                </c:pt>
                <c:pt idx="72">
                  <c:v>928.60717715870271</c:v>
                </c:pt>
                <c:pt idx="73">
                  <c:v>947.90455454875996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7D-4389-8E5B-557ECBA7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Rn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13298547325774"/>
          <c:y val="0.11657246578665974"/>
          <c:w val="0.71626952528663457"/>
          <c:h val="0.8578089048301844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'SPT médio'!$Q$2:$Q$90</c:f>
              <c:numCache>
                <c:formatCode>General</c:formatCode>
                <c:ptCount val="89"/>
                <c:pt idx="0">
                  <c:v>444.5844914734065</c:v>
                </c:pt>
                <c:pt idx="1">
                  <c:v>467.55927341861047</c:v>
                </c:pt>
                <c:pt idx="2">
                  <c:v>491.10641642900509</c:v>
                </c:pt>
                <c:pt idx="3">
                  <c:v>765.09726004882157</c:v>
                </c:pt>
                <c:pt idx="4">
                  <c:v>942.11609585524445</c:v>
                </c:pt>
                <c:pt idx="5">
                  <c:v>1125.8567662408852</c:v>
                </c:pt>
                <c:pt idx="6">
                  <c:v>1410.141981534457</c:v>
                </c:pt>
                <c:pt idx="7">
                  <c:v>1307.6154697822408</c:v>
                </c:pt>
                <c:pt idx="8">
                  <c:v>1475.231977485992</c:v>
                </c:pt>
                <c:pt idx="9">
                  <c:v>2041.041176921331</c:v>
                </c:pt>
                <c:pt idx="10">
                  <c:v>2412.4504562541651</c:v>
                </c:pt>
                <c:pt idx="11">
                  <c:v>2635.6403739051198</c:v>
                </c:pt>
                <c:pt idx="12">
                  <c:v>2730.2491755204214</c:v>
                </c:pt>
                <c:pt idx="13">
                  <c:v>3100.1465819738733</c:v>
                </c:pt>
                <c:pt idx="14">
                  <c:v>3175.2112974801075</c:v>
                </c:pt>
                <c:pt idx="15">
                  <c:v>3104.0302497951861</c:v>
                </c:pt>
                <c:pt idx="16">
                  <c:v>3795.6671000644619</c:v>
                </c:pt>
                <c:pt idx="17">
                  <c:v>4028.4698481980604</c:v>
                </c:pt>
                <c:pt idx="18">
                  <c:v>4260.5957315790492</c:v>
                </c:pt>
                <c:pt idx="19">
                  <c:v>4979.1630040621967</c:v>
                </c:pt>
                <c:pt idx="20">
                  <c:v>5180.5167396806955</c:v>
                </c:pt>
                <c:pt idx="21">
                  <c:v>4904.7435063404373</c:v>
                </c:pt>
                <c:pt idx="22">
                  <c:v>5967.4163583983673</c:v>
                </c:pt>
                <c:pt idx="23">
                  <c:v>5770.8066811233948</c:v>
                </c:pt>
                <c:pt idx="24">
                  <c:v>6491.5564531827949</c:v>
                </c:pt>
                <c:pt idx="25">
                  <c:v>6335.0509290976097</c:v>
                </c:pt>
                <c:pt idx="26">
                  <c:v>6532.5766809565712</c:v>
                </c:pt>
                <c:pt idx="27">
                  <c:v>7084.6253418708266</c:v>
                </c:pt>
                <c:pt idx="28">
                  <c:v>7333.9623180633862</c:v>
                </c:pt>
                <c:pt idx="29">
                  <c:v>8284.7679023242454</c:v>
                </c:pt>
                <c:pt idx="30">
                  <c:v>8762.0365991430808</c:v>
                </c:pt>
                <c:pt idx="31">
                  <c:v>9150.0450926712565</c:v>
                </c:pt>
                <c:pt idx="32">
                  <c:v>10052.364924900179</c:v>
                </c:pt>
                <c:pt idx="33">
                  <c:v>10554.87707597179</c:v>
                </c:pt>
                <c:pt idx="34">
                  <c:v>10909.77320476434</c:v>
                </c:pt>
                <c:pt idx="35">
                  <c:v>11433.972414970945</c:v>
                </c:pt>
                <c:pt idx="36">
                  <c:v>11709.516339757312</c:v>
                </c:pt>
                <c:pt idx="37">
                  <c:v>11992.8246167124</c:v>
                </c:pt>
                <c:pt idx="38">
                  <c:v>12404.799275719231</c:v>
                </c:pt>
                <c:pt idx="39">
                  <c:v>13560.053920281869</c:v>
                </c:pt>
                <c:pt idx="40">
                  <c:v>12976.383924369131</c:v>
                </c:pt>
                <c:pt idx="41">
                  <c:v>14120.345757099836</c:v>
                </c:pt>
                <c:pt idx="42">
                  <c:v>15184.406780111403</c:v>
                </c:pt>
                <c:pt idx="43">
                  <c:v>15692.02032008724</c:v>
                </c:pt>
                <c:pt idx="44">
                  <c:v>16511.739646593651</c:v>
                </c:pt>
                <c:pt idx="45">
                  <c:v>16992.617965825855</c:v>
                </c:pt>
                <c:pt idx="46">
                  <c:v>17890.819521394846</c:v>
                </c:pt>
                <c:pt idx="47">
                  <c:v>18466.25428135816</c:v>
                </c:pt>
                <c:pt idx="48">
                  <c:v>18828.79235715844</c:v>
                </c:pt>
                <c:pt idx="49">
                  <c:v>19386.958319713354</c:v>
                </c:pt>
                <c:pt idx="50">
                  <c:v>19893.970128817076</c:v>
                </c:pt>
                <c:pt idx="51">
                  <c:v>20338.483653446878</c:v>
                </c:pt>
                <c:pt idx="52">
                  <c:v>19754.96098713961</c:v>
                </c:pt>
                <c:pt idx="53">
                  <c:v>21801.724790808494</c:v>
                </c:pt>
                <c:pt idx="54">
                  <c:v>22106.053898206766</c:v>
                </c:pt>
                <c:pt idx="55">
                  <c:v>22773.14058435832</c:v>
                </c:pt>
                <c:pt idx="56">
                  <c:v>23528.397137202428</c:v>
                </c:pt>
                <c:pt idx="57">
                  <c:v>24011.108686903895</c:v>
                </c:pt>
                <c:pt idx="58">
                  <c:v>24794.90566303776</c:v>
                </c:pt>
                <c:pt idx="59">
                  <c:v>25234.334002404634</c:v>
                </c:pt>
                <c:pt idx="60">
                  <c:v>26225.366088814641</c:v>
                </c:pt>
                <c:pt idx="61">
                  <c:v>26898.815143918415</c:v>
                </c:pt>
                <c:pt idx="62">
                  <c:v>26190.146780474712</c:v>
                </c:pt>
                <c:pt idx="63">
                  <c:v>27859.393842047932</c:v>
                </c:pt>
                <c:pt idx="64">
                  <c:v>28792.064504451817</c:v>
                </c:pt>
                <c:pt idx="65">
                  <c:v>29494.18448755264</c:v>
                </c:pt>
                <c:pt idx="66">
                  <c:v>30525.121308500904</c:v>
                </c:pt>
                <c:pt idx="67">
                  <c:v>31334.708087445899</c:v>
                </c:pt>
                <c:pt idx="68">
                  <c:v>31741.958488366734</c:v>
                </c:pt>
                <c:pt idx="69">
                  <c:v>31640.527852762203</c:v>
                </c:pt>
                <c:pt idx="70">
                  <c:v>33554.984144189701</c:v>
                </c:pt>
                <c:pt idx="71">
                  <c:v>34386.816667189145</c:v>
                </c:pt>
                <c:pt idx="72">
                  <c:v>34733.349514031674</c:v>
                </c:pt>
                <c:pt idx="73">
                  <c:v>35574.434497595714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02-4CF9-B487-6A40471261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'SPT médio'!$R$2:$R$90</c:f>
              <c:numCache>
                <c:formatCode>General</c:formatCode>
                <c:ptCount val="89"/>
                <c:pt idx="0">
                  <c:v>513.39347549336435</c:v>
                </c:pt>
                <c:pt idx="1">
                  <c:v>533.96353855012626</c:v>
                </c:pt>
                <c:pt idx="2">
                  <c:v>555.4071011018857</c:v>
                </c:pt>
                <c:pt idx="3">
                  <c:v>866.25704838725005</c:v>
                </c:pt>
                <c:pt idx="4">
                  <c:v>1062.6033133027022</c:v>
                </c:pt>
                <c:pt idx="5">
                  <c:v>1265.7848503351911</c:v>
                </c:pt>
                <c:pt idx="6">
                  <c:v>1587.7929691291415</c:v>
                </c:pt>
                <c:pt idx="7">
                  <c:v>1460.3634851207339</c:v>
                </c:pt>
                <c:pt idx="8">
                  <c:v>1644.2764916765709</c:v>
                </c:pt>
                <c:pt idx="9">
                  <c:v>2287.5062866965959</c:v>
                </c:pt>
                <c:pt idx="10">
                  <c:v>2701.442738430178</c:v>
                </c:pt>
                <c:pt idx="11">
                  <c:v>2942.3270765283878</c:v>
                </c:pt>
                <c:pt idx="12">
                  <c:v>3039.0875015745278</c:v>
                </c:pt>
                <c:pt idx="13">
                  <c:v>3454.9588218820868</c:v>
                </c:pt>
                <c:pt idx="14">
                  <c:v>3527.7126477615398</c:v>
                </c:pt>
                <c:pt idx="15">
                  <c:v>3432.4237583040913</c:v>
                </c:pt>
                <c:pt idx="16">
                  <c:v>4221.7971373235341</c:v>
                </c:pt>
                <c:pt idx="17">
                  <c:v>4474.977380007861</c:v>
                </c:pt>
                <c:pt idx="18">
                  <c:v>4727.1953532938378</c:v>
                </c:pt>
                <c:pt idx="19">
                  <c:v>5541.7802453850554</c:v>
                </c:pt>
                <c:pt idx="20">
                  <c:v>5753.2388820600627</c:v>
                </c:pt>
                <c:pt idx="21">
                  <c:v>5413.8332731661349</c:v>
                </c:pt>
                <c:pt idx="22">
                  <c:v>6627.7711157319509</c:v>
                </c:pt>
                <c:pt idx="23">
                  <c:v>6376.811834714721</c:v>
                </c:pt>
                <c:pt idx="24">
                  <c:v>7191.884628309419</c:v>
                </c:pt>
                <c:pt idx="25">
                  <c:v>6987.7676149583549</c:v>
                </c:pt>
                <c:pt idx="26">
                  <c:v>7197.8083470846832</c:v>
                </c:pt>
                <c:pt idx="27">
                  <c:v>7812.3376450055857</c:v>
                </c:pt>
                <c:pt idx="28">
                  <c:v>8074.6347294160269</c:v>
                </c:pt>
                <c:pt idx="29">
                  <c:v>9148.631889875991</c:v>
                </c:pt>
                <c:pt idx="30">
                  <c:v>9668.9189375858277</c:v>
                </c:pt>
                <c:pt idx="31">
                  <c:v>10085.58056878436</c:v>
                </c:pt>
                <c:pt idx="32">
                  <c:v>11097.214827642161</c:v>
                </c:pt>
                <c:pt idx="33">
                  <c:v>11641.808137268712</c:v>
                </c:pt>
                <c:pt idx="34">
                  <c:v>12015.774089669323</c:v>
                </c:pt>
                <c:pt idx="35">
                  <c:v>12586.968740296386</c:v>
                </c:pt>
                <c:pt idx="36">
                  <c:v>12870.316013320258</c:v>
                </c:pt>
                <c:pt idx="37">
                  <c:v>13164.886672087123</c:v>
                </c:pt>
                <c:pt idx="38">
                  <c:v>13609.982760250106</c:v>
                </c:pt>
                <c:pt idx="39">
                  <c:v>14914.31941681096</c:v>
                </c:pt>
                <c:pt idx="40">
                  <c:v>14201.353807259931</c:v>
                </c:pt>
                <c:pt idx="41">
                  <c:v>15496.70172621641</c:v>
                </c:pt>
                <c:pt idx="42">
                  <c:v>16691.618521406424</c:v>
                </c:pt>
                <c:pt idx="43">
                  <c:v>17237.286076719934</c:v>
                </c:pt>
                <c:pt idx="44">
                  <c:v>18144.40406368237</c:v>
                </c:pt>
                <c:pt idx="45">
                  <c:v>18657.133754849689</c:v>
                </c:pt>
                <c:pt idx="46">
                  <c:v>19653.537781806408</c:v>
                </c:pt>
                <c:pt idx="47">
                  <c:v>20280.784189463484</c:v>
                </c:pt>
                <c:pt idx="48">
                  <c:v>20661.411221688672</c:v>
                </c:pt>
                <c:pt idx="49">
                  <c:v>21269.967292933627</c:v>
                </c:pt>
                <c:pt idx="50">
                  <c:v>21818.880103235864</c:v>
                </c:pt>
                <c:pt idx="51">
                  <c:v>22295.636107795523</c:v>
                </c:pt>
                <c:pt idx="52">
                  <c:v>21584.554022927725</c:v>
                </c:pt>
                <c:pt idx="53">
                  <c:v>23918.135550448358</c:v>
                </c:pt>
                <c:pt idx="54">
                  <c:v>24220.836473753712</c:v>
                </c:pt>
                <c:pt idx="55">
                  <c:v>24946.814899596524</c:v>
                </c:pt>
                <c:pt idx="56">
                  <c:v>25781.888597098306</c:v>
                </c:pt>
                <c:pt idx="57">
                  <c:v>26299.54067244193</c:v>
                </c:pt>
                <c:pt idx="58">
                  <c:v>27166.06826107873</c:v>
                </c:pt>
                <c:pt idx="59">
                  <c:v>27632.075371422565</c:v>
                </c:pt>
                <c:pt idx="60">
                  <c:v>28737.238203664729</c:v>
                </c:pt>
                <c:pt idx="61">
                  <c:v>29470.835784263447</c:v>
                </c:pt>
                <c:pt idx="62">
                  <c:v>28598.512384089903</c:v>
                </c:pt>
                <c:pt idx="63">
                  <c:v>30490.024702818799</c:v>
                </c:pt>
                <c:pt idx="64">
                  <c:v>31518.284506955428</c:v>
                </c:pt>
                <c:pt idx="65">
                  <c:v>32277.552726980153</c:v>
                </c:pt>
                <c:pt idx="66">
                  <c:v>33417.307758430929</c:v>
                </c:pt>
                <c:pt idx="67">
                  <c:v>34298.016061943505</c:v>
                </c:pt>
                <c:pt idx="68">
                  <c:v>34713.09527630893</c:v>
                </c:pt>
                <c:pt idx="69">
                  <c:v>34543.916734770755</c:v>
                </c:pt>
                <c:pt idx="70">
                  <c:v>36713.847917185682</c:v>
                </c:pt>
                <c:pt idx="71">
                  <c:v>37618.65221141131</c:v>
                </c:pt>
                <c:pt idx="72">
                  <c:v>37961.896937053942</c:v>
                </c:pt>
                <c:pt idx="73">
                  <c:v>38881.569415675876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02-4CF9-B487-6A404712617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'SPT médio'!$S$2:$S$90</c:f>
              <c:numCache>
                <c:formatCode>General</c:formatCode>
                <c:ptCount val="89"/>
                <c:pt idx="0">
                  <c:v>670.62628351128194</c:v>
                </c:pt>
                <c:pt idx="1">
                  <c:v>683.3981168305138</c:v>
                </c:pt>
                <c:pt idx="2">
                  <c:v>697.81370517653966</c:v>
                </c:pt>
                <c:pt idx="3">
                  <c:v>1090.7455640390035</c:v>
                </c:pt>
                <c:pt idx="4">
                  <c:v>1328.13776007618</c:v>
                </c:pt>
                <c:pt idx="5">
                  <c:v>1572.2662604576412</c:v>
                </c:pt>
                <c:pt idx="6">
                  <c:v>1978.0482412312181</c:v>
                </c:pt>
                <c:pt idx="7">
                  <c:v>1790.222663250338</c:v>
                </c:pt>
                <c:pt idx="8">
                  <c:v>2007.6468428661005</c:v>
                </c:pt>
                <c:pt idx="9">
                  <c:v>2823.8651220995066</c:v>
                </c:pt>
                <c:pt idx="10">
                  <c:v>3329.1993181465291</c:v>
                </c:pt>
                <c:pt idx="11">
                  <c:v>3604.0056630732633</c:v>
                </c:pt>
                <c:pt idx="12">
                  <c:v>3700.855825561247</c:v>
                </c:pt>
                <c:pt idx="13">
                  <c:v>4217.4232301412767</c:v>
                </c:pt>
                <c:pt idx="14">
                  <c:v>4279.5141337689638</c:v>
                </c:pt>
                <c:pt idx="15">
                  <c:v>4124.0786435052378</c:v>
                </c:pt>
                <c:pt idx="16">
                  <c:v>5133.1888161934739</c:v>
                </c:pt>
                <c:pt idx="17">
                  <c:v>5426.8839416114824</c:v>
                </c:pt>
                <c:pt idx="18">
                  <c:v>5718.8948247503859</c:v>
                </c:pt>
                <c:pt idx="19">
                  <c:v>6747.0138354107958</c:v>
                </c:pt>
                <c:pt idx="20">
                  <c:v>6973.4251518596375</c:v>
                </c:pt>
                <c:pt idx="21">
                  <c:v>6480.5198299956019</c:v>
                </c:pt>
                <c:pt idx="22">
                  <c:v>8035.0043176160107</c:v>
                </c:pt>
                <c:pt idx="23">
                  <c:v>7650.6095566198273</c:v>
                </c:pt>
                <c:pt idx="24">
                  <c:v>8674.558845697984</c:v>
                </c:pt>
                <c:pt idx="25">
                  <c:v>8352.6086065110503</c:v>
                </c:pt>
                <c:pt idx="26">
                  <c:v>8584.2694507058841</c:v>
                </c:pt>
                <c:pt idx="27">
                  <c:v>9332.6983337556776</c:v>
                </c:pt>
                <c:pt idx="28">
                  <c:v>9614.7059958239697</c:v>
                </c:pt>
                <c:pt idx="29">
                  <c:v>10960.94256314264</c:v>
                </c:pt>
                <c:pt idx="30">
                  <c:v>11567.608369956479</c:v>
                </c:pt>
                <c:pt idx="31">
                  <c:v>12037.610712722093</c:v>
                </c:pt>
                <c:pt idx="32">
                  <c:v>13287.311577695786</c:v>
                </c:pt>
                <c:pt idx="33">
                  <c:v>13914.270209177266</c:v>
                </c:pt>
                <c:pt idx="34">
                  <c:v>14317.955550560519</c:v>
                </c:pt>
                <c:pt idx="35">
                  <c:v>14983.346911110832</c:v>
                </c:pt>
                <c:pt idx="36">
                  <c:v>15271.061187821939</c:v>
                </c:pt>
                <c:pt idx="37">
                  <c:v>15578.775242886559</c:v>
                </c:pt>
                <c:pt idx="38">
                  <c:v>16087.715666861979</c:v>
                </c:pt>
                <c:pt idx="39">
                  <c:v>17721.230110577169</c:v>
                </c:pt>
                <c:pt idx="40">
                  <c:v>16697.760875911823</c:v>
                </c:pt>
                <c:pt idx="41">
                  <c:v>18329.117274452132</c:v>
                </c:pt>
                <c:pt idx="42">
                  <c:v>19809.974766049862</c:v>
                </c:pt>
                <c:pt idx="43">
                  <c:v>20426.94408939701</c:v>
                </c:pt>
                <c:pt idx="44">
                  <c:v>21518.521145777013</c:v>
                </c:pt>
                <c:pt idx="45">
                  <c:v>22087.581294747761</c:v>
                </c:pt>
                <c:pt idx="46">
                  <c:v>23292.612806002733</c:v>
                </c:pt>
                <c:pt idx="47">
                  <c:v>24023.858092673821</c:v>
                </c:pt>
                <c:pt idx="48">
                  <c:v>24431.127097776258</c:v>
                </c:pt>
                <c:pt idx="49">
                  <c:v>25140.917226930655</c:v>
                </c:pt>
                <c:pt idx="50">
                  <c:v>25771.444959164623</c:v>
                </c:pt>
                <c:pt idx="51">
                  <c:v>26307.75113935976</c:v>
                </c:pt>
                <c:pt idx="52">
                  <c:v>25290.794837558238</c:v>
                </c:pt>
                <c:pt idx="53">
                  <c:v>28268.194359616464</c:v>
                </c:pt>
                <c:pt idx="54">
                  <c:v>28548.344524209566</c:v>
                </c:pt>
                <c:pt idx="55">
                  <c:v>29391.754740248576</c:v>
                </c:pt>
                <c:pt idx="56">
                  <c:v>30394.888941080419</c:v>
                </c:pt>
                <c:pt idx="57">
                  <c:v>30977.014462339666</c:v>
                </c:pt>
                <c:pt idx="58">
                  <c:v>32017.678916304088</c:v>
                </c:pt>
                <c:pt idx="59">
                  <c:v>32528.409818272477</c:v>
                </c:pt>
                <c:pt idx="60">
                  <c:v>33879.20034587619</c:v>
                </c:pt>
                <c:pt idx="61">
                  <c:v>34733.206685591402</c:v>
                </c:pt>
                <c:pt idx="62">
                  <c:v>33466.06477734186</c:v>
                </c:pt>
                <c:pt idx="63">
                  <c:v>35851.522367811209</c:v>
                </c:pt>
                <c:pt idx="64">
                  <c:v>37079.36668188659</c:v>
                </c:pt>
                <c:pt idx="65">
                  <c:v>37949.313704794949</c:v>
                </c:pt>
                <c:pt idx="66">
                  <c:v>39318.117479093249</c:v>
                </c:pt>
                <c:pt idx="67">
                  <c:v>40340.406723278174</c:v>
                </c:pt>
                <c:pt idx="68">
                  <c:v>40752.043968290127</c:v>
                </c:pt>
                <c:pt idx="69">
                  <c:v>40407.944182615909</c:v>
                </c:pt>
                <c:pt idx="70">
                  <c:v>43145.874392827136</c:v>
                </c:pt>
                <c:pt idx="71">
                  <c:v>44195.872077487533</c:v>
                </c:pt>
                <c:pt idx="72">
                  <c:v>44509.607457043763</c:v>
                </c:pt>
                <c:pt idx="73">
                  <c:v>45588.922285265668</c:v>
                </c:pt>
              </c:numCache>
            </c:numRef>
          </c:xVal>
          <c:yVal>
            <c:numRef>
              <c:f>'SPT médio'!$A$2:$A$90</c:f>
              <c:numCache>
                <c:formatCode>General</c:formatCode>
                <c:ptCount val="8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  <c:pt idx="51">
                  <c:v>30.6</c:v>
                </c:pt>
                <c:pt idx="52">
                  <c:v>31.2</c:v>
                </c:pt>
                <c:pt idx="53">
                  <c:v>31.8</c:v>
                </c:pt>
                <c:pt idx="54">
                  <c:v>32.4</c:v>
                </c:pt>
                <c:pt idx="55">
                  <c:v>33</c:v>
                </c:pt>
                <c:pt idx="56">
                  <c:v>33.6</c:v>
                </c:pt>
                <c:pt idx="57">
                  <c:v>34.200000000000003</c:v>
                </c:pt>
                <c:pt idx="58">
                  <c:v>34.799999999999997</c:v>
                </c:pt>
                <c:pt idx="59">
                  <c:v>35.4</c:v>
                </c:pt>
                <c:pt idx="60">
                  <c:v>36</c:v>
                </c:pt>
                <c:pt idx="61">
                  <c:v>36.6</c:v>
                </c:pt>
                <c:pt idx="62">
                  <c:v>37.200000000000003</c:v>
                </c:pt>
                <c:pt idx="63">
                  <c:v>37.799999999999997</c:v>
                </c:pt>
                <c:pt idx="64">
                  <c:v>38.4</c:v>
                </c:pt>
                <c:pt idx="65">
                  <c:v>39</c:v>
                </c:pt>
                <c:pt idx="66">
                  <c:v>39.6</c:v>
                </c:pt>
                <c:pt idx="67">
                  <c:v>40.200000000000003</c:v>
                </c:pt>
                <c:pt idx="68">
                  <c:v>40.799999999999997</c:v>
                </c:pt>
                <c:pt idx="69">
                  <c:v>41.4</c:v>
                </c:pt>
                <c:pt idx="70">
                  <c:v>42</c:v>
                </c:pt>
                <c:pt idx="71">
                  <c:v>42.6</c:v>
                </c:pt>
                <c:pt idx="72">
                  <c:v>43.2</c:v>
                </c:pt>
                <c:pt idx="73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02-4CF9-B487-6A4047126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933504"/>
        <c:axId val="1231628080"/>
      </c:scatterChart>
      <c:valAx>
        <c:axId val="1376933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628080"/>
        <c:crosses val="autoZero"/>
        <c:crossBetween val="midCat"/>
      </c:valAx>
      <c:valAx>
        <c:axId val="12316280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69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153866</xdr:colOff>
      <xdr:row>0</xdr:row>
      <xdr:rowOff>0</xdr:rowOff>
    </xdr:from>
    <xdr:to>
      <xdr:col>17</xdr:col>
      <xdr:colOff>522566</xdr:colOff>
      <xdr:row>7</xdr:row>
      <xdr:rowOff>164601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B1FA53-F1AC-2890-CDAF-8018069D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5635" y="0"/>
          <a:ext cx="5197142" cy="1783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152401</xdr:colOff>
      <xdr:row>4</xdr:row>
      <xdr:rowOff>28575</xdr:rowOff>
    </xdr:from>
    <xdr:to>
      <xdr:col>19</xdr:col>
      <xdr:colOff>647700</xdr:colOff>
      <xdr:row>37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87197B-A078-4A76-A93F-A8FD9DA20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1028700</xdr:colOff>
      <xdr:row>0</xdr:row>
      <xdr:rowOff>57150</xdr:rowOff>
    </xdr:from>
    <xdr:to>
      <xdr:col>29</xdr:col>
      <xdr:colOff>66674</xdr:colOff>
      <xdr:row>36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85A295-AB95-4808-8BB5-C499DB82B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933450</xdr:colOff>
      <xdr:row>4</xdr:row>
      <xdr:rowOff>85725</xdr:rowOff>
    </xdr:from>
    <xdr:to>
      <xdr:col>23</xdr:col>
      <xdr:colOff>219074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18CF51-E45F-41CA-AFBF-4611C284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38100</xdr:rowOff>
    </xdr:from>
    <xdr:to>
      <xdr:col>23</xdr:col>
      <xdr:colOff>57149</xdr:colOff>
      <xdr:row>28</xdr:row>
      <xdr:rowOff>138113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2BE106-2476-466E-8FCC-DE049D40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0</xdr:row>
      <xdr:rowOff>38100</xdr:rowOff>
    </xdr:from>
    <xdr:to>
      <xdr:col>26</xdr:col>
      <xdr:colOff>219074</xdr:colOff>
      <xdr:row>28</xdr:row>
      <xdr:rowOff>138113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AA67CA-D36B-4F70-8D20-60CF31DE7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23</xdr:col>
      <xdr:colOff>57149</xdr:colOff>
      <xdr:row>28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60AB9A-DD4A-4878-AC6E-81BD1DB91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0</xdr:row>
      <xdr:rowOff>0</xdr:rowOff>
    </xdr:from>
    <xdr:to>
      <xdr:col>26</xdr:col>
      <xdr:colOff>219074</xdr:colOff>
      <xdr:row>28</xdr:row>
      <xdr:rowOff>100013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F77F03-AF32-448B-84B4-C5D78E21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23</xdr:col>
      <xdr:colOff>57149</xdr:colOff>
      <xdr:row>28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EA1736-6260-482F-8A80-02396345B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0</xdr:row>
      <xdr:rowOff>0</xdr:rowOff>
    </xdr:from>
    <xdr:to>
      <xdr:col>26</xdr:col>
      <xdr:colOff>219074</xdr:colOff>
      <xdr:row>28</xdr:row>
      <xdr:rowOff>100013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4CB802-D8FA-4F65-B179-D7A6D0CB5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23</xdr:col>
      <xdr:colOff>57149</xdr:colOff>
      <xdr:row>28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2BED5-12E3-4819-946D-6DBD517A1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0</xdr:row>
      <xdr:rowOff>0</xdr:rowOff>
    </xdr:from>
    <xdr:to>
      <xdr:col>26</xdr:col>
      <xdr:colOff>219074</xdr:colOff>
      <xdr:row>28</xdr:row>
      <xdr:rowOff>100013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1769BA-4125-4221-B7BF-EF92254B1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23</xdr:col>
      <xdr:colOff>57149</xdr:colOff>
      <xdr:row>28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841436-6C1A-4ED2-839C-9395890F5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0</xdr:row>
      <xdr:rowOff>0</xdr:rowOff>
    </xdr:from>
    <xdr:to>
      <xdr:col>26</xdr:col>
      <xdr:colOff>219074</xdr:colOff>
      <xdr:row>28</xdr:row>
      <xdr:rowOff>100013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D2DD74-3430-481B-9663-B866601B8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762000</xdr:colOff>
      <xdr:row>0</xdr:row>
      <xdr:rowOff>190500</xdr:rowOff>
    </xdr:from>
    <xdr:to>
      <xdr:col>20</xdr:col>
      <xdr:colOff>533399</xdr:colOff>
      <xdr:row>29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CAD606-88E1-443D-B894-AFE25D2A5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257175</xdr:colOff>
      <xdr:row>0</xdr:row>
      <xdr:rowOff>200025</xdr:rowOff>
    </xdr:from>
    <xdr:to>
      <xdr:col>23</xdr:col>
      <xdr:colOff>514349</xdr:colOff>
      <xdr:row>29</xdr:row>
      <xdr:rowOff>109538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278365-0AE0-4049-9687-4FED8BF0F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D5A5-0B28-4C92-A016-B80891B27C79}">
  <dimension ref="A1:M19"/>
  <sheetViews>
    <sheetView zoomScale="130" zoomScaleNormal="130" workbookViewId="0">
      <selection activeCell="H13" sqref="H13"/>
    </sheetView>
  </sheetViews>
  <sheetFormatPr defaultRowHeight="15" x14ac:dyDescent="0.25"/>
  <cols>
    <col min="1" max="1" width="20" bestFit="1" customWidth="1"/>
    <col min="2" max="6" width="9.28515625" bestFit="1" customWidth="1"/>
    <col min="7" max="7" width="12.5703125" bestFit="1" customWidth="1"/>
    <col min="8" max="8" width="12.7109375" bestFit="1" customWidth="1"/>
    <col min="9" max="9" width="13.28515625" bestFit="1" customWidth="1"/>
    <col min="10" max="10" width="9.28515625" bestFit="1" customWidth="1"/>
    <col min="11" max="11" width="10.7109375" customWidth="1"/>
    <col min="12" max="12" width="12.28515625" customWidth="1"/>
    <col min="13" max="13" width="12.85546875" customWidth="1"/>
  </cols>
  <sheetData>
    <row r="1" spans="1:13" ht="37.5" customHeight="1" x14ac:dyDescent="0.25">
      <c r="A1" s="1" t="s">
        <v>38</v>
      </c>
      <c r="B1" s="3" t="s">
        <v>35</v>
      </c>
      <c r="C1" s="3" t="s">
        <v>36</v>
      </c>
      <c r="G1" s="7" t="s">
        <v>40</v>
      </c>
      <c r="H1" s="7"/>
      <c r="I1" s="7"/>
      <c r="J1" s="7"/>
    </row>
    <row r="2" spans="1:13" x14ac:dyDescent="0.25">
      <c r="A2" s="1" t="s">
        <v>17</v>
      </c>
      <c r="B2" s="1">
        <v>17</v>
      </c>
      <c r="C2" s="1">
        <v>10</v>
      </c>
      <c r="G2" s="1" t="s">
        <v>41</v>
      </c>
      <c r="H2" s="1" t="s">
        <v>24</v>
      </c>
      <c r="I2" s="1" t="s">
        <v>39</v>
      </c>
      <c r="J2" s="1" t="s">
        <v>26</v>
      </c>
    </row>
    <row r="3" spans="1:13" x14ac:dyDescent="0.25">
      <c r="A3" s="1" t="s">
        <v>18</v>
      </c>
      <c r="B3" s="1">
        <v>18.5</v>
      </c>
      <c r="C3" s="1">
        <v>8.5</v>
      </c>
      <c r="G3" s="1">
        <v>48</v>
      </c>
      <c r="H3" s="2">
        <f>ROUNDDOWN(G3*0.0254,1)</f>
        <v>1.2</v>
      </c>
      <c r="I3" s="1">
        <f>ROUNDDOWN(H3*PI(),2)</f>
        <v>3.76</v>
      </c>
      <c r="J3" s="1">
        <f>ROUNDDOWN(PI()*(H3/2)^2,2)</f>
        <v>1.1299999999999999</v>
      </c>
    </row>
    <row r="4" spans="1:13" x14ac:dyDescent="0.25">
      <c r="A4" s="1" t="s">
        <v>19</v>
      </c>
      <c r="B4" s="1">
        <v>20</v>
      </c>
      <c r="C4" s="1">
        <v>10.5</v>
      </c>
      <c r="G4" s="1">
        <v>54</v>
      </c>
      <c r="H4" s="2">
        <f t="shared" ref="H4:H5" si="0">ROUNDDOWN(G4*0.0254,1)</f>
        <v>1.3</v>
      </c>
      <c r="I4" s="1">
        <f t="shared" ref="I4:I5" si="1">ROUNDDOWN(H4*PI(),2)</f>
        <v>4.08</v>
      </c>
      <c r="J4" s="1">
        <f t="shared" ref="J4:J5" si="2">ROUNDDOWN(PI()*(H4/2)^2,2)</f>
        <v>1.32</v>
      </c>
    </row>
    <row r="5" spans="1:13" x14ac:dyDescent="0.25">
      <c r="A5" s="1" t="s">
        <v>20</v>
      </c>
      <c r="B5" s="1">
        <v>18</v>
      </c>
      <c r="C5" s="1">
        <v>11</v>
      </c>
      <c r="G5" s="1">
        <v>60</v>
      </c>
      <c r="H5" s="2">
        <f t="shared" si="0"/>
        <v>1.5</v>
      </c>
      <c r="I5" s="1">
        <f t="shared" si="1"/>
        <v>4.71</v>
      </c>
      <c r="J5" s="1">
        <f t="shared" si="2"/>
        <v>1.76</v>
      </c>
    </row>
    <row r="9" spans="1:13" x14ac:dyDescent="0.25">
      <c r="A9" s="7" t="s">
        <v>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 t="s">
        <v>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">
        <v>21400</v>
      </c>
    </row>
    <row r="11" spans="1:13" x14ac:dyDescent="0.25">
      <c r="A11" s="7" t="s">
        <v>34</v>
      </c>
      <c r="B11" s="7" t="s">
        <v>42</v>
      </c>
      <c r="C11" s="7"/>
      <c r="D11" s="7"/>
      <c r="E11" s="7" t="s">
        <v>43</v>
      </c>
      <c r="F11" s="7"/>
      <c r="G11" s="7"/>
      <c r="H11" s="7" t="s">
        <v>44</v>
      </c>
      <c r="I11" s="7"/>
      <c r="J11" s="7"/>
      <c r="K11" s="7" t="s">
        <v>45</v>
      </c>
      <c r="L11" s="7"/>
      <c r="M11" s="7"/>
    </row>
    <row r="12" spans="1:13" x14ac:dyDescent="0.25">
      <c r="A12" s="7"/>
      <c r="B12" s="1">
        <v>1.2</v>
      </c>
      <c r="C12" s="1">
        <v>1.3</v>
      </c>
      <c r="D12" s="1">
        <v>1.5</v>
      </c>
      <c r="E12" s="1">
        <v>1.2</v>
      </c>
      <c r="F12" s="1">
        <v>1.3</v>
      </c>
      <c r="G12" s="1">
        <v>1.5</v>
      </c>
      <c r="H12" s="1">
        <v>1.2</v>
      </c>
      <c r="I12" s="1">
        <v>1.3</v>
      </c>
      <c r="J12" s="1">
        <v>1.5</v>
      </c>
      <c r="K12" s="1">
        <v>1.2</v>
      </c>
      <c r="L12" s="1">
        <v>1.3</v>
      </c>
      <c r="M12" s="1">
        <v>1.5</v>
      </c>
    </row>
    <row r="13" spans="1:13" x14ac:dyDescent="0.25">
      <c r="A13" s="1" t="s">
        <v>28</v>
      </c>
      <c r="B13" s="2">
        <f>MAX('SPT-01'!Q$2:Q$90)</f>
        <v>45732.980780230326</v>
      </c>
      <c r="C13" s="2">
        <f>MAX('SPT-01'!R$2:R$90)</f>
        <v>49836.962074602081</v>
      </c>
      <c r="D13" s="2">
        <f>MAX('SPT-01'!S$2:S$90)</f>
        <v>58065.52351304458</v>
      </c>
      <c r="E13" s="2">
        <f>MAX('SPT-01'!T$2:T$90)</f>
        <v>22866</v>
      </c>
      <c r="F13" s="2">
        <f>MAX('SPT-01'!U$2:U$90)</f>
        <v>24918</v>
      </c>
      <c r="G13" s="2">
        <f>MAX('SPT-01'!V$2:V$90)</f>
        <v>29032</v>
      </c>
      <c r="H13" s="1">
        <f>_xlfn.XLOOKUP(B13,'SPT-01'!Q2:Q90,'SPT-01'!$B$2:$B$90,"",0,1)</f>
        <v>53.4</v>
      </c>
      <c r="I13" s="1">
        <f>_xlfn.XLOOKUP(C13,'SPT-01'!R2:R90,'SPT-01'!$A$2:$A$90,"",0,1)</f>
        <v>52.799999999999898</v>
      </c>
      <c r="J13" s="1">
        <f>_xlfn.XLOOKUP(D13,'SPT-01'!S2:S90,'SPT-01'!$A$2:$A$90,"",0,1)</f>
        <v>52.799999999999898</v>
      </c>
      <c r="K13" s="1" cm="1">
        <f t="array" ref="K13">_xlfn.XLOOKUP(TRUE, 'SPT-01'!T2:T90 &gt; 'TABELA AUXILIAR'!$M$10, 'SPT-01'!$B$2:$B$90, "N/A", 0, 1)</f>
        <v>51</v>
      </c>
      <c r="L13" s="1" cm="1">
        <f t="array" ref="L13">_xlfn.XLOOKUP(TRUE, 'SPT-01'!U2:U90 &gt; 'TABELA AUXILIAR'!$M$10, 'SPT-01'!$B$2:$B$90, "N/A", 0, 1)</f>
        <v>47.4</v>
      </c>
      <c r="M13" s="1" cm="1">
        <f t="array" ref="M13">_xlfn.XLOOKUP(TRUE, 'SPT-01'!V2:V90 &gt; 'TABELA AUXILIAR'!$M$10, 'SPT-01'!$B$2:$B$90, "N/A", 0, 1)</f>
        <v>40.799999999999997</v>
      </c>
    </row>
    <row r="14" spans="1:13" x14ac:dyDescent="0.25">
      <c r="A14" s="1" t="s">
        <v>29</v>
      </c>
      <c r="B14" s="2">
        <f>MAX('SPT-02'!Q$2:Q$90)</f>
        <v>44068.724156029901</v>
      </c>
      <c r="C14" s="2">
        <f>MAX('SPT-02'!R$2:R$90)</f>
        <v>48133.912517855249</v>
      </c>
      <c r="D14" s="2">
        <f>MAX('SPT-02'!S$2:S$90)</f>
        <v>56358.37383114369</v>
      </c>
      <c r="E14" s="2">
        <f>MAX('SPT-02'!T$2:T$90)</f>
        <v>19832</v>
      </c>
      <c r="F14" s="2">
        <f>MAX('SPT-02'!U$2:U$90)</f>
        <v>21669</v>
      </c>
      <c r="G14" s="2">
        <f>MAX('SPT-02'!V$2:V$90)</f>
        <v>25392</v>
      </c>
      <c r="H14" s="1">
        <f>_xlfn.XLOOKUP(B14,'SPT-02'!Q3:Q91,'SPT-02'!$B$2:$B$90,"",0,1)</f>
        <v>47.4</v>
      </c>
      <c r="I14" s="1">
        <f>_xlfn.XLOOKUP(C14,'SPT-02'!R3:R91,'SPT-02'!$A$2:$A$90,"",0,1)</f>
        <v>46.8</v>
      </c>
      <c r="J14" s="1">
        <f>_xlfn.XLOOKUP(D14,'SPT-02'!S3:S91,'SPT-02'!$A$2:$A$90,"",0,1)</f>
        <v>46.8</v>
      </c>
      <c r="K14" s="1" t="str" cm="1">
        <f t="array" ref="K14">_xlfn.XLOOKUP(TRUE, 'SPT-02'!T3:T91 &gt; 'TABELA AUXILIAR'!$M$10, 'SPT-02'!$B$2:$B$90, "N/A", 0, 1)</f>
        <v>N/A</v>
      </c>
      <c r="L14" s="1" cm="1">
        <f t="array" ref="L14">_xlfn.XLOOKUP(TRUE, 'SPT-02'!U3:U91 &gt; 'TABELA AUXILIAR'!$M$10, 'SPT-02'!$B$2:$B$90, "N/A", 0, 1)</f>
        <v>43.8</v>
      </c>
      <c r="M14" s="1" cm="1">
        <f t="array" ref="M14">_xlfn.XLOOKUP(TRUE, 'SPT-02'!V3:V91 &gt; 'TABELA AUXILIAR'!$M$10, 'SPT-02'!$B$2:$B$90, "N/A", 0, 1)</f>
        <v>39</v>
      </c>
    </row>
    <row r="15" spans="1:13" x14ac:dyDescent="0.25">
      <c r="A15" s="1" t="s">
        <v>33</v>
      </c>
      <c r="B15" s="2">
        <f>MAX('SPT-03'!Q$2:Q$90)</f>
        <v>42938.994634313465</v>
      </c>
      <c r="C15" s="2">
        <f>MAX('SPT-03'!R$2:R$90)</f>
        <v>46911.322288849697</v>
      </c>
      <c r="D15" s="2">
        <f>MAX('SPT-03'!S$2:S$90)</f>
        <v>54955.273614292979</v>
      </c>
      <c r="E15" s="2">
        <f>MAX('SPT-03'!T$2:T$90)</f>
        <v>19616</v>
      </c>
      <c r="F15" s="2">
        <f>MAX('SPT-03'!U$2:U$90)</f>
        <v>21440</v>
      </c>
      <c r="G15" s="2">
        <f>MAX('SPT-03'!V$2:V$90)</f>
        <v>25138</v>
      </c>
      <c r="H15" s="1">
        <f>_xlfn.XLOOKUP(B15,'SPT-03'!Q4:Q92,'SPT-03'!$B$2:$B$90,"",0,1)</f>
        <v>46.2</v>
      </c>
      <c r="I15" s="1">
        <f>_xlfn.XLOOKUP(C15,'SPT-03'!R4:R92,'SPT-03'!$A$2:$A$90,"",0,1)</f>
        <v>45.6</v>
      </c>
      <c r="J15" s="1">
        <f>_xlfn.XLOOKUP(D15,'SPT-03'!S4:S92,'SPT-03'!$A$2:$A$90,"",0,1)</f>
        <v>45.6</v>
      </c>
      <c r="K15" s="1" t="str" cm="1">
        <f t="array" ref="K15">_xlfn.XLOOKUP(TRUE, 'SPT-03'!T4:T92 &gt; 'TABELA AUXILIAR'!$M$10, 'SPT-03'!$B$2:$B$90, "N/A", 0, 1)</f>
        <v>N/A</v>
      </c>
      <c r="L15" s="1" cm="1">
        <f t="array" ref="L15">_xlfn.XLOOKUP(TRUE, 'SPT-03'!U4:U92 &gt; 'TABELA AUXILIAR'!$M$10, 'SPT-03'!$B$2:$B$90, "N/A", 0, 1)</f>
        <v>43.2</v>
      </c>
      <c r="M15" s="1" cm="1">
        <f t="array" ref="M15">_xlfn.XLOOKUP(TRUE, 'SPT-03'!V4:V92 &gt; 'TABELA AUXILIAR'!$M$10, 'SPT-03'!$B$2:$B$90, "N/A", 0, 1)</f>
        <v>39</v>
      </c>
    </row>
    <row r="16" spans="1:13" x14ac:dyDescent="0.25">
      <c r="A16" s="1" t="s">
        <v>30</v>
      </c>
      <c r="B16" s="2">
        <f>MAX('SPT-04'!Q$2:Q$90)</f>
        <v>39884.84364506766</v>
      </c>
      <c r="C16" s="2">
        <f>MAX('SPT-04'!R$2:R$90)</f>
        <v>43594.582841411895</v>
      </c>
      <c r="D16" s="2">
        <f>MAX('SPT-04'!S$2:S$90)</f>
        <v>51119.693361943282</v>
      </c>
      <c r="E16" s="2">
        <f>MAX('SPT-04'!T$2:T$90)</f>
        <v>19193</v>
      </c>
      <c r="F16" s="2">
        <f>MAX('SPT-04'!U$2:U$90)</f>
        <v>20981</v>
      </c>
      <c r="G16" s="2">
        <f>MAX('SPT-04'!V$2:V$90)</f>
        <v>24611</v>
      </c>
      <c r="H16" s="1">
        <f>_xlfn.XLOOKUP(B16,'SPT-04'!Q5:Q93,'SPT-04'!$B$2:$B$90,"",0,1)</f>
        <v>43.8</v>
      </c>
      <c r="I16" s="1">
        <f>_xlfn.XLOOKUP(C16,'SPT-04'!R5:R93,'SPT-04'!$A$2:$A$90,"",0,1)</f>
        <v>43.2</v>
      </c>
      <c r="J16" s="1">
        <f>_xlfn.XLOOKUP(D16,'SPT-04'!S5:S93,'SPT-04'!$A$2:$A$90,"",0,1)</f>
        <v>43.2</v>
      </c>
      <c r="K16" s="1" t="str" cm="1">
        <f t="array" ref="K16">_xlfn.XLOOKUP(TRUE, 'SPT-04'!T5:T93 &gt; 'TABELA AUXILIAR'!$M$10, 'SPT-04'!$B$2:$B$90, "N/A", 0, 1)</f>
        <v>N/A</v>
      </c>
      <c r="L16" s="1" t="str" cm="1">
        <f t="array" ref="L16">_xlfn.XLOOKUP(TRUE, 'SPT-04'!U5:U93 &gt; 'TABELA AUXILIAR'!$M$10, 'SPT-04'!$B$2:$B$90, "N/A", 0, 1)</f>
        <v>N/A</v>
      </c>
      <c r="M16" s="1" cm="1">
        <f t="array" ref="M16">_xlfn.XLOOKUP(TRUE, 'SPT-04'!V5:V93 &gt; 'TABELA AUXILIAR'!$M$10, 'SPT-04'!$B$2:$B$90, "N/A", 0, 1)</f>
        <v>39</v>
      </c>
    </row>
    <row r="17" spans="1:13" x14ac:dyDescent="0.25">
      <c r="A17" s="1" t="s">
        <v>31</v>
      </c>
      <c r="B17" s="2">
        <f>MAX('SPT-05'!Q$2:Q$90)</f>
        <v>37859.82033458654</v>
      </c>
      <c r="C17" s="2">
        <f>MAX('SPT-05'!R$2:R$90)</f>
        <v>41394.709034933418</v>
      </c>
      <c r="D17" s="2">
        <f>MAX('SPT-05'!S$2:S$90)</f>
        <v>48573.820120582939</v>
      </c>
      <c r="E17" s="2">
        <f>MAX('SPT-05'!T$2:T$90)</f>
        <v>18504</v>
      </c>
      <c r="F17" s="2">
        <f>MAX('SPT-05'!U$2:U$90)</f>
        <v>20234</v>
      </c>
      <c r="G17" s="2">
        <f>MAX('SPT-05'!V$2:V$90)</f>
        <v>23750</v>
      </c>
      <c r="H17" s="1">
        <f>_xlfn.XLOOKUP(B17,'SPT-05'!Q6:Q94,'SPT-05'!$B$2:$B$90,"",0,1)</f>
        <v>42.6</v>
      </c>
      <c r="I17" s="1">
        <f>_xlfn.XLOOKUP(C17,'SPT-05'!R6:R94,'SPT-05'!$A$2:$A$90,"",0,1)</f>
        <v>42</v>
      </c>
      <c r="J17" s="1">
        <f>_xlfn.XLOOKUP(D17,'SPT-05'!S6:S94,'SPT-05'!$A$2:$A$90,"",0,1)</f>
        <v>42</v>
      </c>
      <c r="K17" s="1" t="str" cm="1">
        <f t="array" ref="K17">_xlfn.XLOOKUP(TRUE, 'SPT-05'!T6:T94 &gt; 'TABELA AUXILIAR'!$M$10, 'SPT-05'!$B$2:$B$90, "N/A", 0, 1)</f>
        <v>N/A</v>
      </c>
      <c r="L17" s="1" t="str" cm="1">
        <f t="array" ref="L17">_xlfn.XLOOKUP(TRUE, 'SPT-05'!U6:U94 &gt; 'TABELA AUXILIAR'!$M$10, 'SPT-05'!$B$2:$B$90, "N/A", 0, 1)</f>
        <v>N/A</v>
      </c>
      <c r="M17" s="1" cm="1">
        <f t="array" ref="M17">_xlfn.XLOOKUP(TRUE, 'SPT-05'!V6:V94 &gt; 'TABELA AUXILIAR'!$M$10, 'SPT-05'!$B$2:$B$90, "N/A", 0, 1)</f>
        <v>39.6</v>
      </c>
    </row>
    <row r="18" spans="1:13" x14ac:dyDescent="0.25">
      <c r="A18" s="1" t="s">
        <v>32</v>
      </c>
      <c r="B18" s="2">
        <f>MAX('SPT-06'!Q$2:Q$90)</f>
        <v>39752.389320737537</v>
      </c>
      <c r="C18" s="2">
        <f>MAX('SPT-06'!R$2:R$90)</f>
        <v>43447.235707141568</v>
      </c>
      <c r="D18" s="2">
        <f>MAX('SPT-06'!S$2:S$90)</f>
        <v>50940.482035141096</v>
      </c>
      <c r="E18" s="2">
        <f>MAX('SPT-06'!T$2:T$90)</f>
        <v>19169</v>
      </c>
      <c r="F18" s="2">
        <f>MAX('SPT-06'!U$2:U$90)</f>
        <v>20954</v>
      </c>
      <c r="G18" s="2">
        <f>MAX('SPT-06'!V$2:V$90)</f>
        <v>24577</v>
      </c>
      <c r="H18" s="1">
        <f>_xlfn.XLOOKUP(B18,'SPT-06'!Q7:Q95,'SPT-06'!$B$2:$B$90,"",0,1)</f>
        <v>42.6</v>
      </c>
      <c r="I18" s="1">
        <f>_xlfn.XLOOKUP(C18,'SPT-06'!R7:R95,'SPT-06'!$A$2:$A$90,"",0,1)</f>
        <v>42</v>
      </c>
      <c r="J18" s="1">
        <f>_xlfn.XLOOKUP(D18,'SPT-06'!S7:S95,'SPT-06'!$A$2:$A$90,"",0,1)</f>
        <v>42</v>
      </c>
      <c r="K18" s="1" t="str" cm="1">
        <f t="array" ref="K18">_xlfn.XLOOKUP(TRUE, 'SPT-06'!T7:T95 &gt; 'TABELA AUXILIAR'!$M$10, 'SPT-06'!$B$2:$B$90, "N/A", 0, 1)</f>
        <v>N/A</v>
      </c>
      <c r="L18" s="1" t="str" cm="1">
        <f t="array" ref="L18">_xlfn.XLOOKUP(TRUE, 'SPT-06'!U7:U95 &gt; 'TABELA AUXILIAR'!$M$10, 'SPT-06'!$B$2:$B$90, "N/A", 0, 1)</f>
        <v>N/A</v>
      </c>
      <c r="M18" s="1" cm="1">
        <f t="array" ref="M18">_xlfn.XLOOKUP(TRUE, 'SPT-06'!V7:V95 &gt; 'TABELA AUXILIAR'!$M$10, 'SPT-06'!$B$2:$B$90, "N/A", 0, 1)</f>
        <v>37.799999999999997</v>
      </c>
    </row>
    <row r="19" spans="1:13" x14ac:dyDescent="0.25">
      <c r="A19" s="1" t="s">
        <v>83</v>
      </c>
      <c r="B19" s="2">
        <f>MAX('SPT médio'!Q$2:Q$90)</f>
        <v>35574.434497595714</v>
      </c>
      <c r="C19" s="2">
        <f>MAX('SPT médio'!R$2:R$90)</f>
        <v>38881.569415675876</v>
      </c>
      <c r="D19" s="2">
        <f>MAX('SPT médio'!S$2:S$90)</f>
        <v>45588.922285265668</v>
      </c>
      <c r="E19" s="2">
        <f>MAX('SPT médio'!T$2:T$90)</f>
        <v>17787.21</v>
      </c>
      <c r="F19" s="2">
        <f>MAX('SPT médio'!U$2:U$90)</f>
        <v>19440.78</v>
      </c>
      <c r="G19" s="2">
        <f>MAX('SPT médio'!V$2:V$90)</f>
        <v>22794.46</v>
      </c>
      <c r="H19" s="1">
        <f>_xlfn.XLOOKUP(B19,'SPT médio'!Q8:Q96,'SPT médio'!$B$2:$B$90,"",0,1)</f>
        <v>40.799999999999997</v>
      </c>
      <c r="I19" s="1">
        <f>_xlfn.XLOOKUP(C19,'SPT médio'!R8:R96,'SPT médio'!$A$2:$A$90,"",0,1)</f>
        <v>40.200000000000003</v>
      </c>
      <c r="J19" s="1">
        <f>_xlfn.XLOOKUP(D19,'SPT médio'!S8:S96,'SPT médio'!$A$2:$A$90,"",0,1)</f>
        <v>40.200000000000003</v>
      </c>
      <c r="K19" s="1" t="str" cm="1">
        <f t="array" ref="K19">_xlfn.XLOOKUP(TRUE, 'SPT médio'!T8:T96 &gt; 'TABELA AUXILIAR'!$M$10, 'SPT médio'!$B$2:$B$90, "N/A", 0, 1)</f>
        <v>N/A</v>
      </c>
      <c r="L19" s="1" t="str" cm="1">
        <f t="array" ref="L19">_xlfn.XLOOKUP(TRUE, 'SPT médio'!U8:U96 &gt; 'TABELA AUXILIAR'!$M$10, 'SPT médio'!$B$2:$B$90, "N/A", 0, 1)</f>
        <v>N/A</v>
      </c>
      <c r="M19" s="1" cm="1">
        <f t="array" ref="M19">_xlfn.XLOOKUP(TRUE, 'SPT médio'!V8:V96 &gt; 'TABELA AUXILIAR'!$M$10, 'SPT médio'!$B$2:$B$90, "N/A", 0, 1)</f>
        <v>39</v>
      </c>
    </row>
  </sheetData>
  <mergeCells count="8">
    <mergeCell ref="G1:J1"/>
    <mergeCell ref="A9:M9"/>
    <mergeCell ref="B11:D11"/>
    <mergeCell ref="E11:G11"/>
    <mergeCell ref="A11:A12"/>
    <mergeCell ref="H11:J11"/>
    <mergeCell ref="K11:M11"/>
    <mergeCell ref="A10:L10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D161-0AAA-441B-B2F9-C1C76C7925F4}">
  <dimension ref="A1:AG214"/>
  <sheetViews>
    <sheetView tabSelected="1" workbookViewId="0">
      <selection activeCell="G21" sqref="G21"/>
    </sheetView>
  </sheetViews>
  <sheetFormatPr defaultColWidth="17.7109375" defaultRowHeight="15" x14ac:dyDescent="0.25"/>
  <cols>
    <col min="1" max="1" width="4.5703125" style="1" bestFit="1" customWidth="1"/>
    <col min="2" max="2" width="10.42578125" style="1" bestFit="1" customWidth="1"/>
    <col min="3" max="5" width="19.140625" style="1" bestFit="1" customWidth="1"/>
    <col min="6" max="8" width="17.85546875" style="1" bestFit="1" customWidth="1"/>
    <col min="9" max="9" width="17.7109375" style="1"/>
    <col min="10" max="10" width="6" style="1" bestFit="1" customWidth="1"/>
    <col min="11" max="13" width="15.42578125" style="1" bestFit="1" customWidth="1"/>
    <col min="14" max="14" width="3" style="1" bestFit="1" customWidth="1"/>
    <col min="15" max="15" width="6" style="1" bestFit="1" customWidth="1"/>
    <col min="16" max="18" width="15.42578125" style="1" bestFit="1" customWidth="1"/>
    <col min="19" max="19" width="3" style="1" bestFit="1" customWidth="1"/>
    <col min="20" max="20" width="6" style="1" bestFit="1" customWidth="1"/>
    <col min="21" max="23" width="15.42578125" style="1" bestFit="1" customWidth="1"/>
    <col min="24" max="24" width="3" style="1" bestFit="1" customWidth="1"/>
    <col min="25" max="25" width="6" style="1" bestFit="1" customWidth="1"/>
    <col min="26" max="28" width="15.5703125" style="1" bestFit="1" customWidth="1"/>
    <col min="29" max="29" width="3" style="1" bestFit="1" customWidth="1"/>
    <col min="30" max="30" width="6" style="1" bestFit="1" customWidth="1"/>
    <col min="31" max="33" width="15.28515625" style="1" bestFit="1" customWidth="1"/>
    <col min="34" max="16384" width="17.7109375" style="1"/>
  </cols>
  <sheetData>
    <row r="1" spans="1:33" x14ac:dyDescent="0.25">
      <c r="A1" s="7" t="s">
        <v>57</v>
      </c>
      <c r="B1" s="7"/>
      <c r="C1" s="7"/>
      <c r="D1" s="7"/>
      <c r="E1" s="1">
        <v>21400</v>
      </c>
      <c r="J1" s="1" t="s">
        <v>82</v>
      </c>
      <c r="K1" s="4" t="s">
        <v>64</v>
      </c>
      <c r="L1" s="4" t="s">
        <v>65</v>
      </c>
      <c r="M1" s="4" t="s">
        <v>66</v>
      </c>
      <c r="N1" s="4">
        <v>34</v>
      </c>
      <c r="O1" s="1" t="s">
        <v>82</v>
      </c>
      <c r="P1" s="4" t="s">
        <v>67</v>
      </c>
      <c r="Q1" s="4" t="s">
        <v>68</v>
      </c>
      <c r="R1" s="4" t="s">
        <v>69</v>
      </c>
      <c r="S1" s="4">
        <v>26</v>
      </c>
      <c r="T1" s="1" t="s">
        <v>82</v>
      </c>
      <c r="U1" s="4" t="s">
        <v>70</v>
      </c>
      <c r="V1" s="4" t="s">
        <v>71</v>
      </c>
      <c r="W1" s="4" t="s">
        <v>72</v>
      </c>
      <c r="X1" s="4">
        <v>18</v>
      </c>
      <c r="Y1" s="1" t="s">
        <v>82</v>
      </c>
      <c r="Z1" s="4" t="s">
        <v>73</v>
      </c>
      <c r="AA1" s="4" t="s">
        <v>74</v>
      </c>
      <c r="AB1" s="4" t="s">
        <v>75</v>
      </c>
      <c r="AC1" s="4">
        <v>10</v>
      </c>
      <c r="AD1" s="1" t="s">
        <v>82</v>
      </c>
      <c r="AE1" s="4" t="s">
        <v>76</v>
      </c>
      <c r="AF1" s="4" t="s">
        <v>77</v>
      </c>
      <c r="AG1" s="4" t="s">
        <v>78</v>
      </c>
    </row>
    <row r="2" spans="1:33" x14ac:dyDescent="0.25">
      <c r="A2" s="1" t="s">
        <v>58</v>
      </c>
      <c r="B2" s="1" t="s">
        <v>87</v>
      </c>
      <c r="C2" s="1" t="s">
        <v>79</v>
      </c>
      <c r="D2" s="1" t="s">
        <v>80</v>
      </c>
      <c r="E2" s="1" t="s">
        <v>81</v>
      </c>
      <c r="F2" s="1" t="s">
        <v>84</v>
      </c>
      <c r="G2" s="1" t="s">
        <v>85</v>
      </c>
      <c r="H2" s="1" t="s">
        <v>86</v>
      </c>
      <c r="J2" s="1">
        <v>21</v>
      </c>
      <c r="K2" s="6">
        <f>ROUNDDOWN(('SPT-01'!$M37*'TABELA AUXILIAR'!$J$3+SUM('SPT-01'!$N$37:$N37))/2,0)*0.9</f>
        <v>1278</v>
      </c>
      <c r="L2" s="6">
        <f>ROUNDDOWN(('SPT-01'!$M37*'TABELA AUXILIAR'!$J$4+SUM('SPT-01'!$O$37:$O37))/2,0)*0.9</f>
        <v>1473.3</v>
      </c>
      <c r="M2" s="6">
        <f>ROUNDDOWN(('SPT-01'!$M37*'TABELA AUXILIAR'!$J$5+SUM('SPT-01'!$P$37:$P37))/2,0)*0.9</f>
        <v>1918.8</v>
      </c>
      <c r="N2" s="2"/>
      <c r="O2" s="1">
        <v>19.2</v>
      </c>
      <c r="P2" s="6">
        <f>ROUNDDOWN(('SPT-01'!$M34*'TABELA AUXILIAR'!$J$3+SUM('SPT-01'!$N$34:$N34))/2,0)*0.9</f>
        <v>1353.6000000000001</v>
      </c>
      <c r="Q2" s="6">
        <f>ROUNDDOWN(('SPT-01'!$M34*'TABELA AUXILIAR'!$J$4+SUM('SPT-01'!$O$34:$O34))/2,0)*0.9</f>
        <v>1561.5</v>
      </c>
      <c r="R2" s="6">
        <f>ROUNDDOWN(('SPT-01'!$M34*'TABELA AUXILIAR'!$J$5+SUM('SPT-01'!$P$34:$P34))/2,0)*0.9</f>
        <v>2034</v>
      </c>
      <c r="T2" s="1">
        <v>14.4</v>
      </c>
      <c r="U2" s="6">
        <f>ROUNDDOWN(('SPT-01'!$M26*'TABELA AUXILIAR'!$J$3+SUM('SPT-01'!$N$26:$N26))/2,0)*0.9</f>
        <v>1145.7</v>
      </c>
      <c r="V2" s="6">
        <f>ROUNDDOWN(('SPT-01'!$M26*'TABELA AUXILIAR'!$J$4+SUM('SPT-01'!$O$26:$O26))/2,0)*0.9</f>
        <v>1323.9</v>
      </c>
      <c r="W2" s="6">
        <f>ROUNDDOWN(('SPT-01'!$M26*'TABELA AUXILIAR'!$J$5+SUM('SPT-01'!$P$26:$P26))/2,0)*0.9</f>
        <v>1731.6000000000001</v>
      </c>
      <c r="Y2" s="1">
        <v>9.6</v>
      </c>
      <c r="Z2" s="6">
        <f>ROUNDDOWN(('SPT-01'!$M18*'TABELA AUXILIAR'!$J$3+SUM('SPT-01'!$N$18:$N18))/2,0)*0.9</f>
        <v>767.7</v>
      </c>
      <c r="AA2" s="6">
        <f>ROUNDDOWN(('SPT-01'!$M18*'TABELA AUXILIAR'!$J$4+SUM('SPT-01'!$O$18:$O18))/2,0)*0.9</f>
        <v>886.5</v>
      </c>
      <c r="AB2" s="6">
        <f>ROUNDDOWN(('SPT-01'!$M18*'TABELA AUXILIAR'!$J$5+SUM('SPT-01'!$P$18:$P18))/2,0)*0.9</f>
        <v>1160.1000000000001</v>
      </c>
      <c r="AD2" s="1">
        <v>4.8</v>
      </c>
      <c r="AE2" s="6">
        <f>ROUNDDOWN(('SPT-01'!$M10*'TABELA AUXILIAR'!$J$3+SUM('SPT-01'!$N$10:$N10))/2,0)*0.9</f>
        <v>292.5</v>
      </c>
      <c r="AF2" s="6">
        <f>ROUNDDOWN(('SPT-01'!$M10*'TABELA AUXILIAR'!$J$4+SUM('SPT-01'!$O$10:$O10))/2,0)*0.9</f>
        <v>338.40000000000003</v>
      </c>
      <c r="AG2" s="6">
        <f>ROUNDDOWN(('SPT-01'!$M10*'TABELA AUXILIAR'!$J$5+SUM('SPT-01'!$P$10:$P10))/2,0)*0.9</f>
        <v>441.90000000000003</v>
      </c>
    </row>
    <row r="3" spans="1:33" x14ac:dyDescent="0.25">
      <c r="A3" s="1" t="s">
        <v>59</v>
      </c>
      <c r="B3" s="1">
        <v>20.75</v>
      </c>
      <c r="C3" s="2" cm="1">
        <f t="array" ref="C3">_xlfn.XLOOKUP(TRUE, K$2:K$182 &gt; $E$1, $J$2:$J$182, "N/A", 0, 1)</f>
        <v>63.599999999999902</v>
      </c>
      <c r="D3" s="2" cm="1">
        <f t="array" ref="D3">_xlfn.XLOOKUP(TRUE, L$2:L$182 &gt; $E$1, $J$2:$J$182, "N/A", 0, 1)</f>
        <v>60.599999999999902</v>
      </c>
      <c r="E3" s="2" cm="1">
        <f t="array" ref="E3">_xlfn.XLOOKUP(TRUE, M$2:M$182 &gt; $E$1, $J$2:$J$182, "N/A", 0, 1)</f>
        <v>55.199999999999903</v>
      </c>
      <c r="F3" s="2">
        <f t="shared" ref="F3:G3" si="0">C3-$B3</f>
        <v>42.849999999999902</v>
      </c>
      <c r="G3" s="2">
        <f t="shared" si="0"/>
        <v>39.849999999999902</v>
      </c>
      <c r="H3" s="2">
        <f>E3-$B3</f>
        <v>34.449999999999903</v>
      </c>
      <c r="J3" s="1">
        <v>21.6</v>
      </c>
      <c r="K3" s="6">
        <f>ROUNDDOWN(('SPT-01'!$M38*'TABELA AUXILIAR'!$J$3+SUM('SPT-01'!$N$37:$N38))/2,0)*0.9</f>
        <v>1662.3</v>
      </c>
      <c r="L3" s="6">
        <f>ROUNDDOWN(('SPT-01'!$M38*'TABELA AUXILIAR'!$J$4+SUM('SPT-01'!$O$37:$O38))/2,0)*0.9</f>
        <v>1901.7</v>
      </c>
      <c r="M3" s="6">
        <f>ROUNDDOWN(('SPT-01'!$M38*'TABELA AUXILIAR'!$J$5+SUM('SPT-01'!$P$37:$P38))/2,0)*0.9</f>
        <v>2439.9</v>
      </c>
      <c r="N3" s="2"/>
      <c r="O3" s="1">
        <v>19.8</v>
      </c>
      <c r="P3" s="6">
        <f>ROUNDDOWN(('SPT-01'!$M35*'TABELA AUXILIAR'!$J$3+SUM('SPT-01'!$N$34:$N35))/2,0)*0.9</f>
        <v>1617.3</v>
      </c>
      <c r="Q3" s="6">
        <f>ROUNDDOWN(('SPT-01'!$M35*'TABELA AUXILIAR'!$J$4+SUM('SPT-01'!$O$34:$O35))/2,0)*0.9</f>
        <v>1848.6000000000001</v>
      </c>
      <c r="R3" s="6">
        <f>ROUNDDOWN(('SPT-01'!$M35*'TABELA AUXILIAR'!$J$5+SUM('SPT-01'!$P$34:$P35))/2,0)*0.9</f>
        <v>2368.8000000000002</v>
      </c>
      <c r="T3" s="1">
        <v>15</v>
      </c>
      <c r="U3" s="6">
        <f>ROUNDDOWN(('SPT-01'!$M27*'TABELA AUXILIAR'!$J$3+SUM('SPT-01'!$N$26:$N27))/2,0)*0.9</f>
        <v>977.4</v>
      </c>
      <c r="V3" s="6">
        <f>ROUNDDOWN(('SPT-01'!$M27*'TABELA AUXILIAR'!$J$4+SUM('SPT-01'!$O$26:$O27))/2,0)*0.9</f>
        <v>1116.9000000000001</v>
      </c>
      <c r="W3" s="6">
        <f>ROUNDDOWN(('SPT-01'!$M27*'TABELA AUXILIAR'!$J$5+SUM('SPT-01'!$P$26:$P27))/2,0)*0.9</f>
        <v>1430.1000000000001</v>
      </c>
      <c r="Y3" s="1">
        <v>10.199999999999999</v>
      </c>
      <c r="Z3" s="6">
        <f>ROUNDDOWN(('SPT-01'!$M19*'TABELA AUXILIAR'!$J$3+SUM('SPT-01'!$N$18:$N19))/2,0)*0.9</f>
        <v>1079.1000000000001</v>
      </c>
      <c r="AA3" s="6">
        <f>ROUNDDOWN(('SPT-01'!$M19*'TABELA AUXILIAR'!$J$4+SUM('SPT-01'!$O$18:$O19))/2,0)*0.9</f>
        <v>1238.4000000000001</v>
      </c>
      <c r="AB3" s="6">
        <f>ROUNDDOWN(('SPT-01'!$M19*'TABELA AUXILIAR'!$J$5+SUM('SPT-01'!$P$18:$P19))/2,0)*0.9</f>
        <v>1601.1000000000001</v>
      </c>
      <c r="AD3" s="1">
        <v>5.4</v>
      </c>
      <c r="AE3" s="6">
        <f>ROUNDDOWN(('SPT-01'!$M11*'TABELA AUXILIAR'!$J$3+SUM('SPT-01'!$N$10:$N11))/2,0)*0.9</f>
        <v>550.80000000000007</v>
      </c>
      <c r="AF3" s="6">
        <f>ROUNDDOWN(('SPT-01'!$M11*'TABELA AUXILIAR'!$J$4+SUM('SPT-01'!$O$10:$O11))/2,0)*0.9</f>
        <v>633.6</v>
      </c>
      <c r="AG3" s="6">
        <f>ROUNDDOWN(('SPT-01'!$M11*'TABELA AUXILIAR'!$J$5+SUM('SPT-01'!$P$10:$P11))/2,0)*0.9</f>
        <v>821.7</v>
      </c>
    </row>
    <row r="4" spans="1:33" x14ac:dyDescent="0.25">
      <c r="A4" s="1" t="s">
        <v>60</v>
      </c>
      <c r="B4" s="1">
        <v>19</v>
      </c>
      <c r="C4" s="2" cm="1">
        <f t="array" ref="C4">_xlfn.XLOOKUP(TRUE, P$2:P$182 &gt; $E$1, $O$2:$O$182, "N/A", 0, 1)</f>
        <v>62.399999999999899</v>
      </c>
      <c r="D4" s="2" cm="1">
        <f t="array" ref="D4">_xlfn.XLOOKUP(TRUE, Q$2:Q$182 &gt; $E$1, $O$2:$O$182, "N/A", 0, 1)</f>
        <v>58.799999999999898</v>
      </c>
      <c r="E4" s="2" cm="1">
        <f t="array" ref="E4">_xlfn.XLOOKUP(TRUE, R$2:R$182 &gt; $E$1, $O$2:$O$182, "N/A", 0, 1)</f>
        <v>53.399999999999899</v>
      </c>
      <c r="F4" s="2">
        <f t="shared" ref="F4:F7" si="1">C4-$B4</f>
        <v>43.399999999999899</v>
      </c>
      <c r="G4" s="2">
        <f t="shared" ref="G4:G7" si="2">D4-$B4</f>
        <v>39.799999999999898</v>
      </c>
      <c r="H4" s="2">
        <f t="shared" ref="H4:H7" si="3">E4-$B4</f>
        <v>34.399999999999899</v>
      </c>
      <c r="J4" s="1">
        <v>22.2</v>
      </c>
      <c r="K4" s="6">
        <f>ROUNDDOWN(('SPT-01'!$M39*'TABELA AUXILIAR'!$J$3+SUM('SPT-01'!$N$37:$N39))/2,0)*0.9</f>
        <v>1938.6000000000001</v>
      </c>
      <c r="L4" s="6">
        <f>ROUNDDOWN(('SPT-01'!$M39*'TABELA AUXILIAR'!$J$4+SUM('SPT-01'!$O$37:$O39))/2,0)*0.9</f>
        <v>2201.4</v>
      </c>
      <c r="M4" s="6">
        <f>ROUNDDOWN(('SPT-01'!$M39*'TABELA AUXILIAR'!$J$5+SUM('SPT-01'!$P$37:$P39))/2,0)*0.9</f>
        <v>2789.1</v>
      </c>
      <c r="N4" s="2"/>
      <c r="O4" s="1">
        <v>20.399999999999999</v>
      </c>
      <c r="P4" s="6">
        <f>ROUNDDOWN(('SPT-01'!$M36*'TABELA AUXILIAR'!$J$3+SUM('SPT-01'!$N$34:$N36))/2,0)*0.9</f>
        <v>1883.7</v>
      </c>
      <c r="Q4" s="6">
        <f>ROUNDDOWN(('SPT-01'!$M36*'TABELA AUXILIAR'!$J$4+SUM('SPT-01'!$O$34:$O36))/2,0)*0.9</f>
        <v>2138.4</v>
      </c>
      <c r="R4" s="6">
        <f>ROUNDDOWN(('SPT-01'!$M36*'TABELA AUXILIAR'!$J$5+SUM('SPT-01'!$P$34:$P36))/2,0)*0.9</f>
        <v>2707.2000000000003</v>
      </c>
      <c r="T4" s="1">
        <v>15.6</v>
      </c>
      <c r="U4" s="6">
        <f>ROUNDDOWN(('SPT-01'!$M28*'TABELA AUXILIAR'!$J$3+SUM('SPT-01'!$N$26:$N28))/2,0)*0.9</f>
        <v>1056.6000000000001</v>
      </c>
      <c r="V4" s="6">
        <f>ROUNDDOWN(('SPT-01'!$M28*'TABELA AUXILIAR'!$J$4+SUM('SPT-01'!$O$26:$O28))/2,0)*0.9</f>
        <v>1199.7</v>
      </c>
      <c r="W4" s="6">
        <f>ROUNDDOWN(('SPT-01'!$M28*'TABELA AUXILIAR'!$J$5+SUM('SPT-01'!$P$26:$P28))/2,0)*0.9</f>
        <v>1518.3</v>
      </c>
      <c r="Y4" s="1">
        <v>10.8</v>
      </c>
      <c r="Z4" s="6">
        <f>ROUNDDOWN(('SPT-01'!$M20*'TABELA AUXILIAR'!$J$3+SUM('SPT-01'!$N$18:$N20))/2,0)*0.9</f>
        <v>779.4</v>
      </c>
      <c r="AA4" s="6">
        <f>ROUNDDOWN(('SPT-01'!$M20*'TABELA AUXILIAR'!$J$4+SUM('SPT-01'!$O$18:$O20))/2,0)*0.9</f>
        <v>882</v>
      </c>
      <c r="AB4" s="6">
        <f>ROUNDDOWN(('SPT-01'!$M20*'TABELA AUXILIAR'!$J$5+SUM('SPT-01'!$P$18:$P20))/2,0)*0.9</f>
        <v>1108.8</v>
      </c>
      <c r="AD4" s="1">
        <v>6</v>
      </c>
      <c r="AE4" s="6">
        <f>ROUNDDOWN(('SPT-01'!$M12*'TABELA AUXILIAR'!$J$3+SUM('SPT-01'!$N$10:$N12))/2,0)*0.9</f>
        <v>874.80000000000007</v>
      </c>
      <c r="AF4" s="6">
        <f>ROUNDDOWN(('SPT-01'!$M12*'TABELA AUXILIAR'!$J$4+SUM('SPT-01'!$O$10:$O12))/2,0)*0.9</f>
        <v>1002.6</v>
      </c>
      <c r="AG4" s="6">
        <f>ROUNDDOWN(('SPT-01'!$M12*'TABELA AUXILIAR'!$J$5+SUM('SPT-01'!$P$10:$P12))/2,0)*0.9</f>
        <v>1291.5</v>
      </c>
    </row>
    <row r="5" spans="1:33" x14ac:dyDescent="0.25">
      <c r="A5" s="1" t="s">
        <v>61</v>
      </c>
      <c r="B5" s="1">
        <v>14.4</v>
      </c>
      <c r="C5" s="2" cm="1">
        <f t="array" ref="C5">_xlfn.XLOOKUP(TRUE, U$2:U$182 &gt; $E$1, $T$2:$T$182, "N/A", 0, 1)</f>
        <v>59.399999999999899</v>
      </c>
      <c r="D5" s="2" cm="1">
        <f t="array" ref="D5">_xlfn.XLOOKUP(TRUE, V$2:V$182 &gt; $E$1, $T$2:$T$182, "N/A", 0, 1)</f>
        <v>55.799999999999898</v>
      </c>
      <c r="E5" s="2" cm="1">
        <f t="array" ref="E5">_xlfn.XLOOKUP(TRUE, W$2:W$182 &gt; $E$1, $T$2:$T$182, "N/A", 0, 1)</f>
        <v>50.399999999999899</v>
      </c>
      <c r="F5" s="2">
        <f t="shared" si="1"/>
        <v>44.999999999999901</v>
      </c>
      <c r="G5" s="2">
        <f t="shared" si="2"/>
        <v>41.399999999999899</v>
      </c>
      <c r="H5" s="2">
        <f t="shared" si="3"/>
        <v>35.999999999999901</v>
      </c>
      <c r="J5" s="1">
        <v>22.8</v>
      </c>
      <c r="K5" s="6">
        <f>ROUNDDOWN(('SPT-01'!$M40*'TABELA AUXILIAR'!$J$3+SUM('SPT-01'!$N$37:$N40))/2,0)*0.9</f>
        <v>2217.6</v>
      </c>
      <c r="L5" s="6">
        <f>ROUNDDOWN(('SPT-01'!$M40*'TABELA AUXILIAR'!$J$4+SUM('SPT-01'!$O$37:$O40))/2,0)*0.9</f>
        <v>2505.6</v>
      </c>
      <c r="M5" s="6">
        <f>ROUNDDOWN(('SPT-01'!$M40*'TABELA AUXILIAR'!$J$5+SUM('SPT-01'!$P$37:$P40))/2,0)*0.9</f>
        <v>3143.7000000000003</v>
      </c>
      <c r="N5" s="2"/>
      <c r="O5" s="1">
        <v>21</v>
      </c>
      <c r="P5" s="6">
        <f>ROUNDDOWN(('SPT-01'!$M37*'TABELA AUXILIAR'!$J$3+SUM('SPT-01'!$N$34:$N37))/2,0)*0.9</f>
        <v>2021.4</v>
      </c>
      <c r="Q5" s="6">
        <f>ROUNDDOWN(('SPT-01'!$M37*'TABELA AUXILIAR'!$J$4+SUM('SPT-01'!$O$34:$O37))/2,0)*0.9</f>
        <v>2280.6</v>
      </c>
      <c r="R5" s="6">
        <f>ROUNDDOWN(('SPT-01'!$M37*'TABELA AUXILIAR'!$J$5+SUM('SPT-01'!$P$34:$P37))/2,0)*0.9</f>
        <v>2850.3</v>
      </c>
      <c r="T5" s="1">
        <v>16.2</v>
      </c>
      <c r="U5" s="6">
        <f>ROUNDDOWN(('SPT-01'!$M29*'TABELA AUXILIAR'!$J$3+SUM('SPT-01'!$N$26:$N29))/2,0)*0.9</f>
        <v>1678.5</v>
      </c>
      <c r="V5" s="6">
        <f>ROUNDDOWN(('SPT-01'!$M29*'TABELA AUXILIAR'!$J$4+SUM('SPT-01'!$O$26:$O29))/2,0)*0.9</f>
        <v>1907.1000000000001</v>
      </c>
      <c r="W5" s="6">
        <f>ROUNDDOWN(('SPT-01'!$M29*'TABELA AUXILIAR'!$J$5+SUM('SPT-01'!$P$26:$P29))/2,0)*0.9</f>
        <v>2417.4</v>
      </c>
      <c r="Y5" s="1">
        <v>11.4</v>
      </c>
      <c r="Z5" s="6">
        <f>ROUNDDOWN(('SPT-01'!$M21*'TABELA AUXILIAR'!$J$3+SUM('SPT-01'!$N$18:$N21))/2,0)*0.9</f>
        <v>1359.9</v>
      </c>
      <c r="AA5" s="6">
        <f>ROUNDDOWN(('SPT-01'!$M21*'TABELA AUXILIAR'!$J$4+SUM('SPT-01'!$O$18:$O21))/2,0)*0.9</f>
        <v>1548</v>
      </c>
      <c r="AB5" s="6">
        <f>ROUNDDOWN(('SPT-01'!$M21*'TABELA AUXILIAR'!$J$5+SUM('SPT-01'!$P$18:$P21))/2,0)*0.9</f>
        <v>1967.4</v>
      </c>
      <c r="AD5" s="1">
        <v>6.6</v>
      </c>
      <c r="AE5" s="6">
        <f>ROUNDDOWN(('SPT-01'!$M13*'TABELA AUXILIAR'!$J$3+SUM('SPT-01'!$N$10:$N13))/2,0)*0.9</f>
        <v>1017.9</v>
      </c>
      <c r="AF5" s="6">
        <f>ROUNDDOWN(('SPT-01'!$M13*'TABELA AUXILIAR'!$J$4+SUM('SPT-01'!$O$10:$O13))/2,0)*0.9</f>
        <v>1160.1000000000001</v>
      </c>
      <c r="AG5" s="6">
        <f>ROUNDDOWN(('SPT-01'!$M13*'TABELA AUXILIAR'!$J$5+SUM('SPT-01'!$P$10:$P13))/2,0)*0.9</f>
        <v>1478.7</v>
      </c>
    </row>
    <row r="6" spans="1:33" x14ac:dyDescent="0.25">
      <c r="A6" s="1" t="s">
        <v>62</v>
      </c>
      <c r="B6" s="1">
        <v>9.35</v>
      </c>
      <c r="C6" s="2" cm="1">
        <f t="array" ref="C6">_xlfn.XLOOKUP(TRUE, Z$2:Z$182 &gt; $E$1, $Y$2:$Y$182, "N/A", 0, 1)</f>
        <v>56.999999999999901</v>
      </c>
      <c r="D6" s="2" cm="1">
        <f t="array" ref="D6">_xlfn.XLOOKUP(TRUE, AA$2:AA$182 &gt; $E$1, $Y$2:$Y$182, "N/A", 0, 1)</f>
        <v>53.399999999999899</v>
      </c>
      <c r="E6" s="2" cm="1">
        <f t="array" ref="E6">_xlfn.XLOOKUP(TRUE, AB$2:AB$182 &gt; $E$1, $Y$2:$Y$182, "N/A", 0, 1)</f>
        <v>48</v>
      </c>
      <c r="F6" s="2">
        <f t="shared" si="1"/>
        <v>47.649999999999899</v>
      </c>
      <c r="G6" s="2">
        <f t="shared" si="2"/>
        <v>44.049999999999898</v>
      </c>
      <c r="H6" s="2">
        <f t="shared" si="3"/>
        <v>38.65</v>
      </c>
      <c r="J6" s="1">
        <v>23.4</v>
      </c>
      <c r="K6" s="6">
        <f>ROUNDDOWN(('SPT-01'!$M41*'TABELA AUXILIAR'!$J$3+SUM('SPT-01'!$N$37:$N41))/2,0)*0.9</f>
        <v>2499.3000000000002</v>
      </c>
      <c r="L6" s="6">
        <f>ROUNDDOWN(('SPT-01'!$M41*'TABELA AUXILIAR'!$J$4+SUM('SPT-01'!$O$37:$O41))/2,0)*0.9</f>
        <v>2812.5</v>
      </c>
      <c r="M6" s="6">
        <f>ROUNDDOWN(('SPT-01'!$M41*'TABELA AUXILIAR'!$J$5+SUM('SPT-01'!$P$37:$P41))/2,0)*0.9</f>
        <v>3501</v>
      </c>
      <c r="N6" s="2"/>
      <c r="O6" s="1">
        <v>21.6</v>
      </c>
      <c r="P6" s="6">
        <f>ROUNDDOWN(('SPT-01'!$M38*'TABELA AUXILIAR'!$J$3+SUM('SPT-01'!$N$34:$N38))/2,0)*0.9</f>
        <v>2406.6</v>
      </c>
      <c r="Q6" s="6">
        <f>ROUNDDOWN(('SPT-01'!$M38*'TABELA AUXILIAR'!$J$4+SUM('SPT-01'!$O$34:$O38))/2,0)*0.9</f>
        <v>2709</v>
      </c>
      <c r="R6" s="6">
        <f>ROUNDDOWN(('SPT-01'!$M38*'TABELA AUXILIAR'!$J$5+SUM('SPT-01'!$P$34:$P38))/2,0)*0.9</f>
        <v>3371.4</v>
      </c>
      <c r="T6" s="1">
        <v>16.8</v>
      </c>
      <c r="U6" s="6">
        <f>ROUNDDOWN(('SPT-01'!$M30*'TABELA AUXILIAR'!$J$3+SUM('SPT-01'!$N$26:$N30))/2,0)*0.9</f>
        <v>1926</v>
      </c>
      <c r="V6" s="6">
        <f>ROUNDDOWN(('SPT-01'!$M30*'TABELA AUXILIAR'!$J$4+SUM('SPT-01'!$O$26:$O30))/2,0)*0.9</f>
        <v>2176.2000000000003</v>
      </c>
      <c r="W6" s="6">
        <f>ROUNDDOWN(('SPT-01'!$M30*'TABELA AUXILIAR'!$J$5+SUM('SPT-01'!$P$26:$P30))/2,0)*0.9</f>
        <v>2731.5</v>
      </c>
      <c r="Y6" s="1">
        <v>12</v>
      </c>
      <c r="Z6" s="6">
        <f>ROUNDDOWN(('SPT-01'!$M22*'TABELA AUXILIAR'!$J$3+SUM('SPT-01'!$N$18:$N22))/2,0)*0.9</f>
        <v>1539.9</v>
      </c>
      <c r="AA6" s="6">
        <f>ROUNDDOWN(('SPT-01'!$M22*'TABELA AUXILIAR'!$J$4+SUM('SPT-01'!$O$18:$O22))/2,0)*0.9</f>
        <v>1745.1000000000001</v>
      </c>
      <c r="AB6" s="6">
        <f>ROUNDDOWN(('SPT-01'!$M22*'TABELA AUXILIAR'!$J$5+SUM('SPT-01'!$P$18:$P22))/2,0)*0.9</f>
        <v>2199.6</v>
      </c>
      <c r="AD6" s="1">
        <v>7.2</v>
      </c>
      <c r="AE6" s="6">
        <f>ROUNDDOWN(('SPT-01'!$M14*'TABELA AUXILIAR'!$J$3+SUM('SPT-01'!$N$10:$N14))/2,0)*0.9</f>
        <v>1059.3</v>
      </c>
      <c r="AF6" s="6">
        <f>ROUNDDOWN(('SPT-01'!$M14*'TABELA AUXILIAR'!$J$4+SUM('SPT-01'!$O$10:$O14))/2,0)*0.9</f>
        <v>1199.7</v>
      </c>
      <c r="AG6" s="6">
        <f>ROUNDDOWN(('SPT-01'!$M14*'TABELA AUXILIAR'!$J$5+SUM('SPT-01'!$P$10:$P14))/2,0)*0.9</f>
        <v>1511.1000000000001</v>
      </c>
    </row>
    <row r="7" spans="1:33" x14ac:dyDescent="0.25">
      <c r="A7" s="1" t="s">
        <v>63</v>
      </c>
      <c r="B7" s="1">
        <v>4.5999999999999996</v>
      </c>
      <c r="C7" s="2" cm="1">
        <f t="array" ref="C7">_xlfn.XLOOKUP(TRUE, AE$2:AE$182 &gt; $E$1, $AD$2:$AD$182, "N/A", 0, 1)</f>
        <v>55.799999999999898</v>
      </c>
      <c r="D7" s="2" cm="1">
        <f t="array" ref="D7">_xlfn.XLOOKUP(TRUE, AF$2:AF$182 &gt; $E$1, $AD$2:$AD$182, "N/A", 0, 1)</f>
        <v>52.199999999999903</v>
      </c>
      <c r="E7" s="2" cm="1">
        <f t="array" ref="E7">_xlfn.XLOOKUP(TRUE, AG$2:AG$182 &gt; $E$1, $AD$2:$AD$182, "N/A", 0, 1)</f>
        <v>46.2</v>
      </c>
      <c r="F7" s="2">
        <f t="shared" si="1"/>
        <v>51.199999999999896</v>
      </c>
      <c r="G7" s="2">
        <f t="shared" si="2"/>
        <v>47.599999999999902</v>
      </c>
      <c r="H7" s="2">
        <f t="shared" si="3"/>
        <v>41.6</v>
      </c>
      <c r="J7" s="1">
        <v>24</v>
      </c>
      <c r="K7" s="6">
        <f>ROUNDDOWN(('SPT-01'!$M42*'TABELA AUXILIAR'!$J$3+SUM('SPT-01'!$N$37:$N42))/2,0)*0.9</f>
        <v>2223</v>
      </c>
      <c r="L7" s="6">
        <f>ROUNDDOWN(('SPT-01'!$M42*'TABELA AUXILIAR'!$J$4+SUM('SPT-01'!$O$37:$O42))/2,0)*0.9</f>
        <v>2474.1</v>
      </c>
      <c r="M7" s="6">
        <f>ROUNDDOWN(('SPT-01'!$M42*'TABELA AUXILIAR'!$J$5+SUM('SPT-01'!$P$37:$P42))/2,0)*0.9</f>
        <v>3013.2000000000003</v>
      </c>
      <c r="N7" s="2"/>
      <c r="O7" s="1">
        <v>22.2</v>
      </c>
      <c r="P7" s="6">
        <f>ROUNDDOWN(('SPT-01'!$M39*'TABELA AUXILIAR'!$J$3+SUM('SPT-01'!$N$34:$N39))/2,0)*0.9</f>
        <v>2682.9</v>
      </c>
      <c r="Q7" s="6">
        <f>ROUNDDOWN(('SPT-01'!$M39*'TABELA AUXILIAR'!$J$4+SUM('SPT-01'!$O$34:$O39))/2,0)*0.9</f>
        <v>3009.6</v>
      </c>
      <c r="R7" s="6">
        <f>ROUNDDOWN(('SPT-01'!$M39*'TABELA AUXILIAR'!$J$5+SUM('SPT-01'!$P$34:$P39))/2,0)*0.9</f>
        <v>3721.5</v>
      </c>
      <c r="T7" s="1">
        <v>17.399999999999999</v>
      </c>
      <c r="U7" s="6">
        <f>ROUNDDOWN(('SPT-01'!$M31*'TABELA AUXILIAR'!$J$3+SUM('SPT-01'!$N$26:$N31))/2,0)*0.9</f>
        <v>2176.2000000000003</v>
      </c>
      <c r="V7" s="6">
        <f>ROUNDDOWN(('SPT-01'!$M31*'TABELA AUXILIAR'!$J$4+SUM('SPT-01'!$O$26:$O31))/2,0)*0.9</f>
        <v>2449.8000000000002</v>
      </c>
      <c r="W7" s="6">
        <f>ROUNDDOWN(('SPT-01'!$M31*'TABELA AUXILIAR'!$J$5+SUM('SPT-01'!$P$26:$P31))/2,0)*0.9</f>
        <v>3050.1</v>
      </c>
      <c r="Y7" s="1">
        <v>12.6</v>
      </c>
      <c r="Z7" s="6">
        <f>ROUNDDOWN(('SPT-01'!$M23*'TABELA AUXILIAR'!$J$3+SUM('SPT-01'!$N$18:$N23))/2,0)*0.9</f>
        <v>1724.4</v>
      </c>
      <c r="AA7" s="6">
        <f>ROUNDDOWN(('SPT-01'!$M23*'TABELA AUXILIAR'!$J$4+SUM('SPT-01'!$O$18:$O23))/2,0)*0.9</f>
        <v>1946.7</v>
      </c>
      <c r="AB7" s="6">
        <f>ROUNDDOWN(('SPT-01'!$M23*'TABELA AUXILIAR'!$J$5+SUM('SPT-01'!$P$18:$P23))/2,0)*0.9</f>
        <v>2437.2000000000003</v>
      </c>
      <c r="AD7" s="1">
        <v>7.8</v>
      </c>
      <c r="AE7" s="6">
        <f>ROUNDDOWN(('SPT-01'!$M15*'TABELA AUXILIAR'!$J$3+SUM('SPT-01'!$N$10:$N15))/2,0)*0.9</f>
        <v>1301.4000000000001</v>
      </c>
      <c r="AF7" s="6">
        <f>ROUNDDOWN(('SPT-01'!$M15*'TABELA AUXILIAR'!$J$4+SUM('SPT-01'!$O$10:$O15))/2,0)*0.9</f>
        <v>1472.4</v>
      </c>
      <c r="AG7" s="6">
        <f>ROUNDDOWN(('SPT-01'!$M15*'TABELA AUXILIAR'!$J$5+SUM('SPT-01'!$P$10:$P15))/2,0)*0.9</f>
        <v>1850.4</v>
      </c>
    </row>
    <row r="8" spans="1:33" x14ac:dyDescent="0.25">
      <c r="J8" s="1">
        <v>24.6</v>
      </c>
      <c r="K8" s="6">
        <f>ROUNDDOWN(('SPT-01'!$M43*'TABELA AUXILIAR'!$J$3+SUM('SPT-01'!$N$37:$N43))/2,0)*0.9</f>
        <v>2988.9</v>
      </c>
      <c r="L8" s="6">
        <f>ROUNDDOWN(('SPT-01'!$M43*'TABELA AUXILIAR'!$J$4+SUM('SPT-01'!$O$37:$O43))/2,0)*0.9</f>
        <v>3346.2000000000003</v>
      </c>
      <c r="M8" s="6">
        <f>ROUNDDOWN(('SPT-01'!$M43*'TABELA AUXILIAR'!$J$5+SUM('SPT-01'!$P$37:$P43))/2,0)*0.9</f>
        <v>4122.9000000000005</v>
      </c>
      <c r="N8" s="2"/>
      <c r="O8" s="1">
        <v>22.8</v>
      </c>
      <c r="P8" s="6">
        <f>ROUNDDOWN(('SPT-01'!$M40*'TABELA AUXILIAR'!$J$3+SUM('SPT-01'!$N$34:$N40))/2,0)*0.9</f>
        <v>2961.9</v>
      </c>
      <c r="Q8" s="6">
        <f>ROUNDDOWN(('SPT-01'!$M40*'TABELA AUXILIAR'!$J$4+SUM('SPT-01'!$O$34:$O40))/2,0)*0.9</f>
        <v>3312.9</v>
      </c>
      <c r="R8" s="6">
        <f>ROUNDDOWN(('SPT-01'!$M40*'TABELA AUXILIAR'!$J$5+SUM('SPT-01'!$P$34:$P40))/2,0)*0.9</f>
        <v>4075.2000000000003</v>
      </c>
      <c r="T8" s="1">
        <v>18</v>
      </c>
      <c r="U8" s="6">
        <f>ROUNDDOWN(('SPT-01'!$M32*'TABELA AUXILIAR'!$J$3+SUM('SPT-01'!$N$26:$N32))/2,0)*0.9</f>
        <v>2430</v>
      </c>
      <c r="V8" s="6">
        <f>ROUNDDOWN(('SPT-01'!$M32*'TABELA AUXILIAR'!$J$4+SUM('SPT-01'!$O$26:$O32))/2,0)*0.9</f>
        <v>2726.1</v>
      </c>
      <c r="W8" s="6">
        <f>ROUNDDOWN(('SPT-01'!$M32*'TABELA AUXILIAR'!$J$5+SUM('SPT-01'!$P$26:$P32))/2,0)*0.9</f>
        <v>3373.2000000000003</v>
      </c>
      <c r="Y8" s="1">
        <v>13.2</v>
      </c>
      <c r="Z8" s="6">
        <f>ROUNDDOWN(('SPT-01'!$M24*'TABELA AUXILIAR'!$J$3+SUM('SPT-01'!$N$18:$N24))/2,0)*0.9</f>
        <v>1752.3</v>
      </c>
      <c r="AA8" s="6">
        <f>ROUNDDOWN(('SPT-01'!$M24*'TABELA AUXILIAR'!$J$4+SUM('SPT-01'!$O$18:$O24))/2,0)*0.9</f>
        <v>1967.4</v>
      </c>
      <c r="AB8" s="6">
        <f>ROUNDDOWN(('SPT-01'!$M24*'TABELA AUXILIAR'!$J$5+SUM('SPT-01'!$P$18:$P24))/2,0)*0.9</f>
        <v>2437.2000000000003</v>
      </c>
      <c r="AD8" s="1">
        <v>8.4</v>
      </c>
      <c r="AE8" s="6">
        <f>ROUNDDOWN(('SPT-01'!$M16*'TABELA AUXILIAR'!$J$3+SUM('SPT-01'!$N$10:$N16))/2,0)*0.9</f>
        <v>1103.4000000000001</v>
      </c>
      <c r="AF8" s="6">
        <f>ROUNDDOWN(('SPT-01'!$M16*'TABELA AUXILIAR'!$J$4+SUM('SPT-01'!$O$10:$O16))/2,0)*0.9</f>
        <v>1233.9000000000001</v>
      </c>
      <c r="AG8" s="6">
        <f>ROUNDDOWN(('SPT-01'!$M16*'TABELA AUXILIAR'!$J$5+SUM('SPT-01'!$P$10:$P16))/2,0)*0.9</f>
        <v>1516.5</v>
      </c>
    </row>
    <row r="9" spans="1:33" x14ac:dyDescent="0.25">
      <c r="J9" s="1">
        <v>25.2</v>
      </c>
      <c r="K9" s="6">
        <f>ROUNDDOWN(('SPT-01'!$M44*'TABELA AUXILIAR'!$J$3+SUM('SPT-01'!$N$37:$N44))/2,0)*0.9</f>
        <v>3279.6</v>
      </c>
      <c r="L9" s="6">
        <f>ROUNDDOWN(('SPT-01'!$M44*'TABELA AUXILIAR'!$J$4+SUM('SPT-01'!$O$37:$O44))/2,0)*0.9</f>
        <v>3663</v>
      </c>
      <c r="M9" s="6">
        <f>ROUNDDOWN(('SPT-01'!$M44*'TABELA AUXILIAR'!$J$5+SUM('SPT-01'!$P$37:$P44))/2,0)*0.9</f>
        <v>4491</v>
      </c>
      <c r="N9" s="2"/>
      <c r="O9" s="1">
        <v>23.4</v>
      </c>
      <c r="P9" s="6">
        <f>ROUNDDOWN(('SPT-01'!$M41*'TABELA AUXILIAR'!$J$3+SUM('SPT-01'!$N$34:$N41))/2,0)*0.9</f>
        <v>3243.6</v>
      </c>
      <c r="Q9" s="6">
        <f>ROUNDDOWN(('SPT-01'!$M41*'TABELA AUXILIAR'!$J$4+SUM('SPT-01'!$O$34:$O41))/2,0)*0.9</f>
        <v>3620.7000000000003</v>
      </c>
      <c r="R9" s="6">
        <f>ROUNDDOWN(('SPT-01'!$M41*'TABELA AUXILIAR'!$J$5+SUM('SPT-01'!$P$34:$P41))/2,0)*0.9</f>
        <v>4433.4000000000005</v>
      </c>
      <c r="T9" s="1">
        <v>18.600000000000001</v>
      </c>
      <c r="U9" s="6">
        <f>ROUNDDOWN(('SPT-01'!$M33*'TABELA AUXILIAR'!$J$3+SUM('SPT-01'!$N$26:$N33))/2,0)*0.9</f>
        <v>2687.4</v>
      </c>
      <c r="V9" s="6">
        <f>ROUNDDOWN(('SPT-01'!$M33*'TABELA AUXILIAR'!$J$4+SUM('SPT-01'!$O$26:$O33))/2,0)*0.9</f>
        <v>3006.9</v>
      </c>
      <c r="W9" s="6">
        <f>ROUNDDOWN(('SPT-01'!$M33*'TABELA AUXILIAR'!$J$5+SUM('SPT-01'!$P$26:$P33))/2,0)*0.9</f>
        <v>3699.9</v>
      </c>
      <c r="Y9" s="1">
        <v>13.8</v>
      </c>
      <c r="Z9" s="6">
        <f>ROUNDDOWN(('SPT-01'!$M25*'TABELA AUXILIAR'!$J$3+SUM('SPT-01'!$N$18:$N25))/2,0)*0.9</f>
        <v>2080.8000000000002</v>
      </c>
      <c r="AA9" s="6">
        <f>ROUNDDOWN(('SPT-01'!$M25*'TABELA AUXILIAR'!$J$4+SUM('SPT-01'!$O$18:$O25))/2,0)*0.9</f>
        <v>2337.3000000000002</v>
      </c>
      <c r="AB9" s="6">
        <f>ROUNDDOWN(('SPT-01'!$M25*'TABELA AUXILIAR'!$J$5+SUM('SPT-01'!$P$18:$P25))/2,0)*0.9</f>
        <v>2896.2000000000003</v>
      </c>
      <c r="AD9" s="1">
        <v>9</v>
      </c>
      <c r="AE9" s="6">
        <f>ROUNDDOWN(('SPT-01'!$M17*'TABELA AUXILIAR'!$J$3+SUM('SPT-01'!$N$10:$N17))/2,0)*0.9</f>
        <v>1152</v>
      </c>
      <c r="AF9" s="6">
        <f>ROUNDDOWN(('SPT-01'!$M17*'TABELA AUXILIAR'!$J$4+SUM('SPT-01'!$O$10:$O17))/2,0)*0.9</f>
        <v>1284.3</v>
      </c>
      <c r="AG9" s="6">
        <f>ROUNDDOWN(('SPT-01'!$M17*'TABELA AUXILIAR'!$J$5+SUM('SPT-01'!$P$10:$P17))/2,0)*0.9</f>
        <v>1568.7</v>
      </c>
    </row>
    <row r="10" spans="1:33" x14ac:dyDescent="0.25">
      <c r="J10" s="1">
        <v>25.8</v>
      </c>
      <c r="K10" s="6">
        <f>ROUNDDOWN(('SPT-01'!$M45*'TABELA AUXILIAR'!$J$3+SUM('SPT-01'!$N$37:$N45))/2,0)*0.9</f>
        <v>3573</v>
      </c>
      <c r="L10" s="6">
        <f>ROUNDDOWN(('SPT-01'!$M45*'TABELA AUXILIAR'!$J$4+SUM('SPT-01'!$O$37:$O45))/2,0)*0.9</f>
        <v>3982.5</v>
      </c>
      <c r="M10" s="6">
        <f>ROUNDDOWN(('SPT-01'!$M45*'TABELA AUXILIAR'!$J$5+SUM('SPT-01'!$P$37:$P45))/2,0)*0.9</f>
        <v>4863.6000000000004</v>
      </c>
      <c r="N10" s="2"/>
      <c r="O10" s="1">
        <v>24</v>
      </c>
      <c r="P10" s="6">
        <f>ROUNDDOWN(('SPT-01'!$M42*'TABELA AUXILIAR'!$J$3+SUM('SPT-01'!$N$34:$N42))/2,0)*0.9</f>
        <v>2966.4</v>
      </c>
      <c r="Q10" s="6">
        <f>ROUNDDOWN(('SPT-01'!$M42*'TABELA AUXILIAR'!$J$4+SUM('SPT-01'!$O$34:$O42))/2,0)*0.9</f>
        <v>3281.4</v>
      </c>
      <c r="R10" s="6">
        <f>ROUNDDOWN(('SPT-01'!$M42*'TABELA AUXILIAR'!$J$5+SUM('SPT-01'!$P$34:$P42))/2,0)*0.9</f>
        <v>3945.6</v>
      </c>
      <c r="T10" s="1">
        <v>19.2</v>
      </c>
      <c r="U10" s="6">
        <f>ROUNDDOWN(('SPT-01'!$M34*'TABELA AUXILIAR'!$J$3+SUM('SPT-01'!$N$26:$N34))/2,0)*0.9</f>
        <v>2947.5</v>
      </c>
      <c r="V10" s="6">
        <f>ROUNDDOWN(('SPT-01'!$M34*'TABELA AUXILIAR'!$J$4+SUM('SPT-01'!$O$26:$O34))/2,0)*0.9</f>
        <v>3290.4</v>
      </c>
      <c r="W10" s="6">
        <f>ROUNDDOWN(('SPT-01'!$M34*'TABELA AUXILIAR'!$J$5+SUM('SPT-01'!$P$26:$P34))/2,0)*0.9</f>
        <v>4030.2000000000003</v>
      </c>
      <c r="Y10" s="1">
        <v>14.4</v>
      </c>
      <c r="Z10" s="6">
        <f>ROUNDDOWN(('SPT-01'!$M26*'TABELA AUXILIAR'!$J$3+SUM('SPT-01'!$N$18:$N26))/2,0)*0.9</f>
        <v>2276.1</v>
      </c>
      <c r="AA10" s="6">
        <f>ROUNDDOWN(('SPT-01'!$M26*'TABELA AUXILIAR'!$J$4+SUM('SPT-01'!$O$18:$O26))/2,0)*0.9</f>
        <v>2550.6</v>
      </c>
      <c r="AB10" s="6">
        <f>ROUNDDOWN(('SPT-01'!$M26*'TABELA AUXILIAR'!$J$5+SUM('SPT-01'!$P$18:$P26))/2,0)*0.9</f>
        <v>3147.3</v>
      </c>
      <c r="AD10" s="1">
        <v>9.6</v>
      </c>
      <c r="AE10" s="6">
        <f>ROUNDDOWN(('SPT-01'!$M18*'TABELA AUXILIAR'!$J$3+SUM('SPT-01'!$N$10:$N18))/2,0)*0.9</f>
        <v>1505.7</v>
      </c>
      <c r="AF10" s="6">
        <f>ROUNDDOWN(('SPT-01'!$M18*'TABELA AUXILIAR'!$J$4+SUM('SPT-01'!$O$10:$O18))/2,0)*0.9</f>
        <v>1687.5</v>
      </c>
      <c r="AG10" s="6">
        <f>ROUNDDOWN(('SPT-01'!$M18*'TABELA AUXILIAR'!$J$5+SUM('SPT-01'!$P$10:$P18))/2,0)*0.9</f>
        <v>2084.4</v>
      </c>
    </row>
    <row r="11" spans="1:33" x14ac:dyDescent="0.25">
      <c r="J11" s="1">
        <v>26.4</v>
      </c>
      <c r="K11" s="6">
        <f>ROUNDDOWN(('SPT-01'!$M46*'TABELA AUXILIAR'!$J$3+SUM('SPT-01'!$N$37:$N46))/2,0)*0.9</f>
        <v>3673.8</v>
      </c>
      <c r="L11" s="6">
        <f>ROUNDDOWN(('SPT-01'!$M46*'TABELA AUXILIAR'!$J$4+SUM('SPT-01'!$O$37:$O46))/2,0)*0.9</f>
        <v>4079.7000000000003</v>
      </c>
      <c r="M11" s="6">
        <f>ROUNDDOWN(('SPT-01'!$M46*'TABELA AUXILIAR'!$J$5+SUM('SPT-01'!$P$37:$P46))/2,0)*0.9</f>
        <v>4942.8</v>
      </c>
      <c r="N11" s="2"/>
      <c r="O11" s="1">
        <v>24.6</v>
      </c>
      <c r="P11" s="6">
        <f>ROUNDDOWN(('SPT-01'!$M43*'TABELA AUXILIAR'!$J$3+SUM('SPT-01'!$N$34:$N43))/2,0)*0.9</f>
        <v>3732.3</v>
      </c>
      <c r="Q11" s="6">
        <f>ROUNDDOWN(('SPT-01'!$M43*'TABELA AUXILIAR'!$J$4+SUM('SPT-01'!$O$34:$O43))/2,0)*0.9</f>
        <v>4153.5</v>
      </c>
      <c r="R11" s="6">
        <f>ROUNDDOWN(('SPT-01'!$M43*'TABELA AUXILIAR'!$J$5+SUM('SPT-01'!$P$34:$P43))/2,0)*0.9</f>
        <v>5054.4000000000005</v>
      </c>
      <c r="T11" s="1">
        <v>19.8</v>
      </c>
      <c r="U11" s="6">
        <f>ROUNDDOWN(('SPT-01'!$M35*'TABELA AUXILIAR'!$J$3+SUM('SPT-01'!$N$26:$N35))/2,0)*0.9</f>
        <v>3210.3</v>
      </c>
      <c r="V11" s="6">
        <f>ROUNDDOWN(('SPT-01'!$M35*'TABELA AUXILIAR'!$J$4+SUM('SPT-01'!$O$26:$O35))/2,0)*0.9</f>
        <v>3577.5</v>
      </c>
      <c r="W11" s="6">
        <f>ROUNDDOWN(('SPT-01'!$M35*'TABELA AUXILIAR'!$J$5+SUM('SPT-01'!$P$26:$P35))/2,0)*0.9</f>
        <v>4365</v>
      </c>
      <c r="Y11" s="1">
        <v>15</v>
      </c>
      <c r="Z11" s="6">
        <f>ROUNDDOWN(('SPT-01'!$M27*'TABELA AUXILIAR'!$J$3+SUM('SPT-01'!$N$18:$N27))/2,0)*0.9</f>
        <v>2107.8000000000002</v>
      </c>
      <c r="AA11" s="6">
        <f>ROUNDDOWN(('SPT-01'!$M27*'TABELA AUXILIAR'!$J$4+SUM('SPT-01'!$O$18:$O27))/2,0)*0.9</f>
        <v>2342.7000000000003</v>
      </c>
      <c r="AB11" s="6">
        <f>ROUNDDOWN(('SPT-01'!$M27*'TABELA AUXILIAR'!$J$5+SUM('SPT-01'!$P$18:$P27))/2,0)*0.9</f>
        <v>2846.7000000000003</v>
      </c>
      <c r="AD11" s="1">
        <v>10.199999999999999</v>
      </c>
      <c r="AE11" s="6">
        <f>ROUNDDOWN(('SPT-01'!$M19*'TABELA AUXILIAR'!$J$3+SUM('SPT-01'!$N$10:$N19))/2,0)*0.9</f>
        <v>1817.1000000000001</v>
      </c>
      <c r="AF11" s="6">
        <f>ROUNDDOWN(('SPT-01'!$M19*'TABELA AUXILIAR'!$J$4+SUM('SPT-01'!$O$10:$O19))/2,0)*0.9</f>
        <v>2039.4</v>
      </c>
      <c r="AG11" s="6">
        <f>ROUNDDOWN(('SPT-01'!$M19*'TABELA AUXILIAR'!$J$5+SUM('SPT-01'!$P$10:$P19))/2,0)*0.9</f>
        <v>2525.4</v>
      </c>
    </row>
    <row r="12" spans="1:33" x14ac:dyDescent="0.25">
      <c r="J12" s="1">
        <v>27</v>
      </c>
      <c r="K12" s="6">
        <f>ROUNDDOWN(('SPT-01'!$M47*'TABELA AUXILIAR'!$J$3+SUM('SPT-01'!$N$37:$N47))/2,0)*0.9</f>
        <v>4140.9000000000005</v>
      </c>
      <c r="L12" s="6">
        <f>ROUNDDOWN(('SPT-01'!$M47*'TABELA AUXILIAR'!$J$4+SUM('SPT-01'!$O$37:$O47))/2,0)*0.9</f>
        <v>4601.7</v>
      </c>
      <c r="M12" s="6">
        <f>ROUNDDOWN(('SPT-01'!$M47*'TABELA AUXILIAR'!$J$5+SUM('SPT-01'!$P$37:$P47))/2,0)*0.9</f>
        <v>5583.6</v>
      </c>
      <c r="N12" s="2"/>
      <c r="O12" s="1">
        <v>25.2</v>
      </c>
      <c r="P12" s="6">
        <f>ROUNDDOWN(('SPT-01'!$M44*'TABELA AUXILIAR'!$J$3+SUM('SPT-01'!$N$34:$N44))/2,0)*0.9</f>
        <v>4023.9</v>
      </c>
      <c r="Q12" s="6">
        <f>ROUNDDOWN(('SPT-01'!$M44*'TABELA AUXILIAR'!$J$4+SUM('SPT-01'!$O$34:$O44))/2,0)*0.9</f>
        <v>4470.3</v>
      </c>
      <c r="R12" s="6">
        <f>ROUNDDOWN(('SPT-01'!$M44*'TABELA AUXILIAR'!$J$5+SUM('SPT-01'!$P$34:$P44))/2,0)*0.9</f>
        <v>5423.4000000000005</v>
      </c>
      <c r="T12" s="1">
        <v>20.399999999999999</v>
      </c>
      <c r="U12" s="6">
        <f>ROUNDDOWN(('SPT-01'!$M36*'TABELA AUXILIAR'!$J$3+SUM('SPT-01'!$N$26:$N36))/2,0)*0.9</f>
        <v>3476.7000000000003</v>
      </c>
      <c r="V12" s="6">
        <f>ROUNDDOWN(('SPT-01'!$M36*'TABELA AUXILIAR'!$J$4+SUM('SPT-01'!$O$26:$O36))/2,0)*0.9</f>
        <v>3868.2000000000003</v>
      </c>
      <c r="W12" s="6">
        <f>ROUNDDOWN(('SPT-01'!$M36*'TABELA AUXILIAR'!$J$5+SUM('SPT-01'!$P$26:$P36))/2,0)*0.9</f>
        <v>4703.4000000000005</v>
      </c>
      <c r="Y12" s="1">
        <v>15.6</v>
      </c>
      <c r="Z12" s="6">
        <f>ROUNDDOWN(('SPT-01'!$M28*'TABELA AUXILIAR'!$J$3+SUM('SPT-01'!$N$18:$N28))/2,0)*0.9</f>
        <v>2187</v>
      </c>
      <c r="AA12" s="6">
        <f>ROUNDDOWN(('SPT-01'!$M28*'TABELA AUXILIAR'!$J$4+SUM('SPT-01'!$O$18:$O28))/2,0)*0.9</f>
        <v>2426.4</v>
      </c>
      <c r="AB12" s="6">
        <f>ROUNDDOWN(('SPT-01'!$M28*'TABELA AUXILIAR'!$J$5+SUM('SPT-01'!$P$18:$P28))/2,0)*0.9</f>
        <v>2934</v>
      </c>
      <c r="AD12" s="1">
        <v>10.8</v>
      </c>
      <c r="AE12" s="6">
        <f>ROUNDDOWN(('SPT-01'!$M20*'TABELA AUXILIAR'!$J$3+SUM('SPT-01'!$N$10:$N20))/2,0)*0.9</f>
        <v>1516.5</v>
      </c>
      <c r="AF12" s="6">
        <f>ROUNDDOWN(('SPT-01'!$M20*'TABELA AUXILIAR'!$J$4+SUM('SPT-01'!$O$10:$O20))/2,0)*0.9</f>
        <v>1682.1000000000001</v>
      </c>
      <c r="AG12" s="6">
        <f>ROUNDDOWN(('SPT-01'!$M20*'TABELA AUXILIAR'!$J$5+SUM('SPT-01'!$P$10:$P20))/2,0)*0.9</f>
        <v>2033.1000000000001</v>
      </c>
    </row>
    <row r="13" spans="1:33" x14ac:dyDescent="0.25">
      <c r="J13" s="1">
        <v>27.6</v>
      </c>
      <c r="K13" s="6">
        <f>ROUNDDOWN(('SPT-01'!$M48*'TABELA AUXILIAR'!$J$3+SUM('SPT-01'!$N$37:$N48))/2,0)*0.9</f>
        <v>4443.3</v>
      </c>
      <c r="L13" s="6">
        <f>ROUNDDOWN(('SPT-01'!$M48*'TABELA AUXILIAR'!$J$4+SUM('SPT-01'!$O$37:$O48))/2,0)*0.9</f>
        <v>4931.1000000000004</v>
      </c>
      <c r="M13" s="6">
        <f>ROUNDDOWN(('SPT-01'!$M48*'TABELA AUXILIAR'!$J$5+SUM('SPT-01'!$P$37:$P48))/2,0)*0.9</f>
        <v>5966.1</v>
      </c>
      <c r="N13" s="2"/>
      <c r="O13" s="1">
        <v>25.8</v>
      </c>
      <c r="P13" s="6">
        <f>ROUNDDOWN(('SPT-01'!$M45*'TABELA AUXILIAR'!$J$3+SUM('SPT-01'!$N$34:$N45))/2,0)*0.9</f>
        <v>4317.3</v>
      </c>
      <c r="Q13" s="6">
        <f>ROUNDDOWN(('SPT-01'!$M45*'TABELA AUXILIAR'!$J$4+SUM('SPT-01'!$O$34:$O45))/2,0)*0.9</f>
        <v>4790.7</v>
      </c>
      <c r="R13" s="6">
        <f>ROUNDDOWN(('SPT-01'!$M45*'TABELA AUXILIAR'!$J$5+SUM('SPT-01'!$P$34:$P45))/2,0)*0.9</f>
        <v>5796</v>
      </c>
      <c r="T13" s="1">
        <v>21</v>
      </c>
      <c r="U13" s="6">
        <f>ROUNDDOWN(('SPT-01'!$M37*'TABELA AUXILIAR'!$J$3+SUM('SPT-01'!$N$26:$N37))/2,0)*0.9</f>
        <v>3615.3</v>
      </c>
      <c r="V13" s="6">
        <f>ROUNDDOWN(('SPT-01'!$M37*'TABELA AUXILIAR'!$J$4+SUM('SPT-01'!$O$26:$O37))/2,0)*0.9</f>
        <v>4009.5</v>
      </c>
      <c r="W13" s="6">
        <f>ROUNDDOWN(('SPT-01'!$M37*'TABELA AUXILIAR'!$J$5+SUM('SPT-01'!$P$26:$P37))/2,0)*0.9</f>
        <v>4846.5</v>
      </c>
      <c r="Y13" s="1">
        <v>16.2</v>
      </c>
      <c r="Z13" s="6">
        <f>ROUNDDOWN(('SPT-01'!$M29*'TABELA AUXILIAR'!$J$3+SUM('SPT-01'!$N$18:$N29))/2,0)*0.9</f>
        <v>2808.9</v>
      </c>
      <c r="AA13" s="6">
        <f>ROUNDDOWN(('SPT-01'!$M29*'TABELA AUXILIAR'!$J$4+SUM('SPT-01'!$O$18:$O29))/2,0)*0.9</f>
        <v>3133.8</v>
      </c>
      <c r="AB13" s="6">
        <f>ROUNDDOWN(('SPT-01'!$M29*'TABELA AUXILIAR'!$J$5+SUM('SPT-01'!$P$18:$P29))/2,0)*0.9</f>
        <v>3833.1</v>
      </c>
      <c r="AD13" s="1">
        <v>11.4</v>
      </c>
      <c r="AE13" s="6">
        <f>ROUNDDOWN(('SPT-01'!$M21*'TABELA AUXILIAR'!$J$3+SUM('SPT-01'!$N$10:$N21))/2,0)*0.9</f>
        <v>2097.9</v>
      </c>
      <c r="AF13" s="6">
        <f>ROUNDDOWN(('SPT-01'!$M21*'TABELA AUXILIAR'!$J$4+SUM('SPT-01'!$O$10:$O21))/2,0)*0.9</f>
        <v>2348.1</v>
      </c>
      <c r="AG13" s="6">
        <f>ROUNDDOWN(('SPT-01'!$M21*'TABELA AUXILIAR'!$J$5+SUM('SPT-01'!$P$10:$P21))/2,0)*0.9</f>
        <v>2891.7000000000003</v>
      </c>
    </row>
    <row r="14" spans="1:33" x14ac:dyDescent="0.25">
      <c r="J14" s="1">
        <v>28.2</v>
      </c>
      <c r="K14" s="6">
        <f>ROUNDDOWN(('SPT-01'!$M49*'TABELA AUXILIAR'!$J$3+SUM('SPT-01'!$N$37:$N49))/2,0)*0.9</f>
        <v>4704.3</v>
      </c>
      <c r="L14" s="6">
        <f>ROUNDDOWN(('SPT-01'!$M49*'TABELA AUXILIAR'!$J$4+SUM('SPT-01'!$O$37:$O49))/2,0)*0.9</f>
        <v>5215.5</v>
      </c>
      <c r="M14" s="6">
        <f>ROUNDDOWN(('SPT-01'!$M49*'TABELA AUXILIAR'!$J$5+SUM('SPT-01'!$P$37:$P49))/2,0)*0.9</f>
        <v>6298.2</v>
      </c>
      <c r="N14" s="2"/>
      <c r="O14" s="1">
        <v>26.4</v>
      </c>
      <c r="P14" s="6">
        <f>ROUNDDOWN(('SPT-01'!$M46*'TABELA AUXILIAR'!$J$3+SUM('SPT-01'!$N$34:$N46))/2,0)*0.9</f>
        <v>4418.1000000000004</v>
      </c>
      <c r="Q14" s="6">
        <f>ROUNDDOWN(('SPT-01'!$M46*'TABELA AUXILIAR'!$J$4+SUM('SPT-01'!$O$34:$O46))/2,0)*0.9</f>
        <v>4887</v>
      </c>
      <c r="R14" s="6">
        <f>ROUNDDOWN(('SPT-01'!$M46*'TABELA AUXILIAR'!$J$5+SUM('SPT-01'!$P$34:$P46))/2,0)*0.9</f>
        <v>5875.2</v>
      </c>
      <c r="T14" s="1">
        <v>21.6</v>
      </c>
      <c r="U14" s="6">
        <f>ROUNDDOWN(('SPT-01'!$M38*'TABELA AUXILIAR'!$J$3+SUM('SPT-01'!$N$26:$N38))/2,0)*0.9</f>
        <v>4000.5</v>
      </c>
      <c r="V14" s="6">
        <f>ROUNDDOWN(('SPT-01'!$M38*'TABELA AUXILIAR'!$J$4+SUM('SPT-01'!$O$26:$O38))/2,0)*0.9</f>
        <v>4437.9000000000005</v>
      </c>
      <c r="W14" s="6">
        <f>ROUNDDOWN(('SPT-01'!$M38*'TABELA AUXILIAR'!$J$5+SUM('SPT-01'!$P$26:$P38))/2,0)*0.9</f>
        <v>5367.6</v>
      </c>
      <c r="Y14" s="1">
        <v>16.8</v>
      </c>
      <c r="Z14" s="6">
        <f>ROUNDDOWN(('SPT-01'!$M30*'TABELA AUXILIAR'!$J$3+SUM('SPT-01'!$N$18:$N30))/2,0)*0.9</f>
        <v>3056.4</v>
      </c>
      <c r="AA14" s="6">
        <f>ROUNDDOWN(('SPT-01'!$M30*'TABELA AUXILIAR'!$J$4+SUM('SPT-01'!$O$18:$O30))/2,0)*0.9</f>
        <v>3402.9</v>
      </c>
      <c r="AB14" s="6">
        <f>ROUNDDOWN(('SPT-01'!$M30*'TABELA AUXILIAR'!$J$5+SUM('SPT-01'!$P$18:$P30))/2,0)*0.9</f>
        <v>4147.2</v>
      </c>
      <c r="AD14" s="1">
        <v>12</v>
      </c>
      <c r="AE14" s="6">
        <f>ROUNDDOWN(('SPT-01'!$M22*'TABELA AUXILIAR'!$J$3+SUM('SPT-01'!$N$10:$N22))/2,0)*0.9</f>
        <v>2277.9</v>
      </c>
      <c r="AF14" s="6">
        <f>ROUNDDOWN(('SPT-01'!$M22*'TABELA AUXILIAR'!$J$4+SUM('SPT-01'!$O$10:$O22))/2,0)*0.9</f>
        <v>2545.2000000000003</v>
      </c>
      <c r="AG14" s="6">
        <f>ROUNDDOWN(('SPT-01'!$M22*'TABELA AUXILIAR'!$J$5+SUM('SPT-01'!$P$10:$P22))/2,0)*0.9</f>
        <v>3123.9</v>
      </c>
    </row>
    <row r="15" spans="1:33" x14ac:dyDescent="0.25">
      <c r="J15" s="1">
        <v>28.8</v>
      </c>
      <c r="K15" s="6">
        <f>ROUNDDOWN(('SPT-01'!$M50*'TABELA AUXILIAR'!$J$3+SUM('SPT-01'!$N$37:$N50))/2,0)*0.9</f>
        <v>4970.7</v>
      </c>
      <c r="L15" s="6">
        <f>ROUNDDOWN(('SPT-01'!$M50*'TABELA AUXILIAR'!$J$4+SUM('SPT-01'!$O$37:$O50))/2,0)*0.9</f>
        <v>5505.3</v>
      </c>
      <c r="M15" s="6">
        <f>ROUNDDOWN(('SPT-01'!$M50*'TABELA AUXILIAR'!$J$5+SUM('SPT-01'!$P$37:$P50))/2,0)*0.9</f>
        <v>6636.6</v>
      </c>
      <c r="N15" s="2"/>
      <c r="O15" s="1">
        <v>27</v>
      </c>
      <c r="P15" s="6">
        <f>ROUNDDOWN(('SPT-01'!$M47*'TABELA AUXILIAR'!$J$3+SUM('SPT-01'!$N$34:$N47))/2,0)*0.9</f>
        <v>4885.2</v>
      </c>
      <c r="Q15" s="6">
        <f>ROUNDDOWN(('SPT-01'!$M47*'TABELA AUXILIAR'!$J$4+SUM('SPT-01'!$O$34:$O47))/2,0)*0.9</f>
        <v>5409</v>
      </c>
      <c r="R15" s="6">
        <f>ROUNDDOWN(('SPT-01'!$M47*'TABELA AUXILIAR'!$J$5+SUM('SPT-01'!$P$34:$P47))/2,0)*0.9</f>
        <v>6516</v>
      </c>
      <c r="T15" s="1">
        <v>22.2</v>
      </c>
      <c r="U15" s="6">
        <f>ROUNDDOWN(('SPT-01'!$M39*'TABELA AUXILIAR'!$J$3+SUM('SPT-01'!$N$26:$N39))/2,0)*0.9</f>
        <v>4275.9000000000005</v>
      </c>
      <c r="V15" s="6">
        <f>ROUNDDOWN(('SPT-01'!$M39*'TABELA AUXILIAR'!$J$4+SUM('SPT-01'!$O$26:$O39))/2,0)*0.9</f>
        <v>4738.5</v>
      </c>
      <c r="W15" s="6">
        <f>ROUNDDOWN(('SPT-01'!$M39*'TABELA AUXILIAR'!$J$5+SUM('SPT-01'!$P$26:$P39))/2,0)*0.9</f>
        <v>5717.7</v>
      </c>
      <c r="Y15" s="1">
        <v>17.399999999999999</v>
      </c>
      <c r="Z15" s="6">
        <f>ROUNDDOWN(('SPT-01'!$M31*'TABELA AUXILIAR'!$J$3+SUM('SPT-01'!$N$18:$N31))/2,0)*0.9</f>
        <v>3306.6</v>
      </c>
      <c r="AA15" s="6">
        <f>ROUNDDOWN(('SPT-01'!$M31*'TABELA AUXILIAR'!$J$4+SUM('SPT-01'!$O$18:$O31))/2,0)*0.9</f>
        <v>3676.5</v>
      </c>
      <c r="AB15" s="6">
        <f>ROUNDDOWN(('SPT-01'!$M31*'TABELA AUXILIAR'!$J$5+SUM('SPT-01'!$P$18:$P31))/2,0)*0.9</f>
        <v>4465.8</v>
      </c>
      <c r="AD15" s="1">
        <v>12.6</v>
      </c>
      <c r="AE15" s="6">
        <f>ROUNDDOWN(('SPT-01'!$M23*'TABELA AUXILIAR'!$J$3+SUM('SPT-01'!$N$10:$N23))/2,0)*0.9</f>
        <v>2462.4</v>
      </c>
      <c r="AF15" s="6">
        <f>ROUNDDOWN(('SPT-01'!$M23*'TABELA AUXILIAR'!$J$4+SUM('SPT-01'!$O$10:$O23))/2,0)*0.9</f>
        <v>2746.8</v>
      </c>
      <c r="AG15" s="6">
        <f>ROUNDDOWN(('SPT-01'!$M23*'TABELA AUXILIAR'!$J$5+SUM('SPT-01'!$P$10:$P23))/2,0)*0.9</f>
        <v>3361.5</v>
      </c>
    </row>
    <row r="16" spans="1:33" x14ac:dyDescent="0.25">
      <c r="J16" s="1">
        <v>29.4</v>
      </c>
      <c r="K16" s="6">
        <f>ROUNDDOWN(('SPT-01'!$M51*'TABELA AUXILIAR'!$J$3+SUM('SPT-01'!$N$37:$N51))/2,0)*0.9</f>
        <v>5239.8</v>
      </c>
      <c r="L16" s="6">
        <f>ROUNDDOWN(('SPT-01'!$M51*'TABELA AUXILIAR'!$J$4+SUM('SPT-01'!$O$37:$O51))/2,0)*0.9</f>
        <v>5798.7</v>
      </c>
      <c r="M16" s="6">
        <f>ROUNDDOWN(('SPT-01'!$M51*'TABELA AUXILIAR'!$J$5+SUM('SPT-01'!$P$37:$P51))/2,0)*0.9</f>
        <v>6978.6</v>
      </c>
      <c r="N16" s="2"/>
      <c r="O16" s="1">
        <v>27.6</v>
      </c>
      <c r="P16" s="6">
        <f>ROUNDDOWN(('SPT-01'!$M48*'TABELA AUXILIAR'!$J$3+SUM('SPT-01'!$N$34:$N48))/2,0)*0.9</f>
        <v>5187.6000000000004</v>
      </c>
      <c r="Q16" s="6">
        <f>ROUNDDOWN(('SPT-01'!$M48*'TABELA AUXILIAR'!$J$4+SUM('SPT-01'!$O$34:$O48))/2,0)*0.9</f>
        <v>5738.4000000000005</v>
      </c>
      <c r="R16" s="6">
        <f>ROUNDDOWN(('SPT-01'!$M48*'TABELA AUXILIAR'!$J$5+SUM('SPT-01'!$P$34:$P48))/2,0)*0.9</f>
        <v>6898.5</v>
      </c>
      <c r="T16" s="1">
        <v>22.8</v>
      </c>
      <c r="U16" s="6">
        <f>ROUNDDOWN(('SPT-01'!$M40*'TABELA AUXILIAR'!$J$3+SUM('SPT-01'!$N$26:$N40))/2,0)*0.9</f>
        <v>4554.9000000000005</v>
      </c>
      <c r="V16" s="6">
        <f>ROUNDDOWN(('SPT-01'!$M40*'TABELA AUXILIAR'!$J$4+SUM('SPT-01'!$O$26:$O40))/2,0)*0.9</f>
        <v>5041.8</v>
      </c>
      <c r="W16" s="6">
        <f>ROUNDDOWN(('SPT-01'!$M40*'TABELA AUXILIAR'!$J$5+SUM('SPT-01'!$P$26:$P40))/2,0)*0.9</f>
        <v>6071.4000000000005</v>
      </c>
      <c r="Y16" s="1">
        <v>18</v>
      </c>
      <c r="Z16" s="6">
        <f>ROUNDDOWN(('SPT-01'!$M32*'TABELA AUXILIAR'!$J$3+SUM('SPT-01'!$N$18:$N32))/2,0)*0.9</f>
        <v>3560.4</v>
      </c>
      <c r="AA16" s="6">
        <f>ROUNDDOWN(('SPT-01'!$M32*'TABELA AUXILIAR'!$J$4+SUM('SPT-01'!$O$18:$O32))/2,0)*0.9</f>
        <v>3952.8</v>
      </c>
      <c r="AB16" s="6">
        <f>ROUNDDOWN(('SPT-01'!$M32*'TABELA AUXILIAR'!$J$5+SUM('SPT-01'!$P$18:$P32))/2,0)*0.9</f>
        <v>4788.9000000000005</v>
      </c>
      <c r="AD16" s="1">
        <v>13.2</v>
      </c>
      <c r="AE16" s="6">
        <f>ROUNDDOWN(('SPT-01'!$M24*'TABELA AUXILIAR'!$J$3+SUM('SPT-01'!$N$10:$N24))/2,0)*0.9</f>
        <v>2490.3000000000002</v>
      </c>
      <c r="AF16" s="6">
        <f>ROUNDDOWN(('SPT-01'!$M24*'TABELA AUXILIAR'!$J$4+SUM('SPT-01'!$O$10:$O24))/2,0)*0.9</f>
        <v>2768.4</v>
      </c>
      <c r="AG16" s="6">
        <f>ROUNDDOWN(('SPT-01'!$M24*'TABELA AUXILIAR'!$J$5+SUM('SPT-01'!$P$10:$P24))/2,0)*0.9</f>
        <v>3361.5</v>
      </c>
    </row>
    <row r="17" spans="10:33" x14ac:dyDescent="0.25">
      <c r="J17" s="1">
        <v>30</v>
      </c>
      <c r="K17" s="6">
        <f>ROUNDDOWN(('SPT-01'!$M52*'TABELA AUXILIAR'!$J$3+SUM('SPT-01'!$N$37:$N52))/2,0)*0.9</f>
        <v>5512.5</v>
      </c>
      <c r="L17" s="6">
        <f>ROUNDDOWN(('SPT-01'!$M52*'TABELA AUXILIAR'!$J$4+SUM('SPT-01'!$O$37:$O52))/2,0)*0.9</f>
        <v>6095.7</v>
      </c>
      <c r="M17" s="6">
        <f>ROUNDDOWN(('SPT-01'!$M52*'TABELA AUXILIAR'!$J$5+SUM('SPT-01'!$P$37:$P52))/2,0)*0.9</f>
        <v>7325.1</v>
      </c>
      <c r="N17" s="2"/>
      <c r="O17" s="1">
        <v>28.2</v>
      </c>
      <c r="P17" s="6">
        <f>ROUNDDOWN(('SPT-01'!$M49*'TABELA AUXILIAR'!$J$3+SUM('SPT-01'!$N$34:$N49))/2,0)*0.9</f>
        <v>5448.6</v>
      </c>
      <c r="Q17" s="6">
        <f>ROUNDDOWN(('SPT-01'!$M49*'TABELA AUXILIAR'!$J$4+SUM('SPT-01'!$O$34:$O49))/2,0)*0.9</f>
        <v>6022.8</v>
      </c>
      <c r="R17" s="6">
        <f>ROUNDDOWN(('SPT-01'!$M49*'TABELA AUXILIAR'!$J$5+SUM('SPT-01'!$P$34:$P49))/2,0)*0.9</f>
        <v>7230.6</v>
      </c>
      <c r="T17" s="1">
        <v>23.4</v>
      </c>
      <c r="U17" s="6">
        <f>ROUNDDOWN(('SPT-01'!$M41*'TABELA AUXILIAR'!$J$3+SUM('SPT-01'!$N$26:$N41))/2,0)*0.9</f>
        <v>4836.6000000000004</v>
      </c>
      <c r="V17" s="6">
        <f>ROUNDDOWN(('SPT-01'!$M41*'TABELA AUXILIAR'!$J$4+SUM('SPT-01'!$O$26:$O41))/2,0)*0.9</f>
        <v>5349.6</v>
      </c>
      <c r="W17" s="6">
        <f>ROUNDDOWN(('SPT-01'!$M41*'TABELA AUXILIAR'!$J$5+SUM('SPT-01'!$P$26:$P41))/2,0)*0.9</f>
        <v>6428.7</v>
      </c>
      <c r="Y17" s="1">
        <v>18.600000000000001</v>
      </c>
      <c r="Z17" s="6">
        <f>ROUNDDOWN(('SPT-01'!$M33*'TABELA AUXILIAR'!$J$3+SUM('SPT-01'!$N$18:$N33))/2,0)*0.9</f>
        <v>3817.8</v>
      </c>
      <c r="AA17" s="6">
        <f>ROUNDDOWN(('SPT-01'!$M33*'TABELA AUXILIAR'!$J$4+SUM('SPT-01'!$O$18:$O33))/2,0)*0.9</f>
        <v>4233.6000000000004</v>
      </c>
      <c r="AB17" s="6">
        <f>ROUNDDOWN(('SPT-01'!$M33*'TABELA AUXILIAR'!$J$5+SUM('SPT-01'!$P$18:$P33))/2,0)*0.9</f>
        <v>5115.6000000000004</v>
      </c>
      <c r="AD17" s="1">
        <v>13.8</v>
      </c>
      <c r="AE17" s="6">
        <f>ROUNDDOWN(('SPT-01'!$M25*'TABELA AUXILIAR'!$J$3+SUM('SPT-01'!$N$10:$N25))/2,0)*0.9</f>
        <v>2818.8</v>
      </c>
      <c r="AF17" s="6">
        <f>ROUNDDOWN(('SPT-01'!$M25*'TABELA AUXILIAR'!$J$4+SUM('SPT-01'!$O$10:$O25))/2,0)*0.9</f>
        <v>3137.4</v>
      </c>
      <c r="AG17" s="6">
        <f>ROUNDDOWN(('SPT-01'!$M25*'TABELA AUXILIAR'!$J$5+SUM('SPT-01'!$P$10:$P25))/2,0)*0.9</f>
        <v>3820.5</v>
      </c>
    </row>
    <row r="18" spans="10:33" x14ac:dyDescent="0.25">
      <c r="J18" s="1">
        <v>30.6</v>
      </c>
      <c r="K18" s="6">
        <f>ROUNDDOWN(('SPT-01'!$M53*'TABELA AUXILIAR'!$J$3+SUM('SPT-01'!$N$37:$N53))/2,0)*0.9</f>
        <v>5787.9000000000005</v>
      </c>
      <c r="L18" s="6">
        <f>ROUNDDOWN(('SPT-01'!$M53*'TABELA AUXILIAR'!$J$4+SUM('SPT-01'!$O$37:$O53))/2,0)*0.9</f>
        <v>6396.3</v>
      </c>
      <c r="M18" s="6">
        <f>ROUNDDOWN(('SPT-01'!$M53*'TABELA AUXILIAR'!$J$5+SUM('SPT-01'!$P$37:$P53))/2,0)*0.9</f>
        <v>7676.1</v>
      </c>
      <c r="N18" s="2"/>
      <c r="O18" s="1">
        <v>28.8</v>
      </c>
      <c r="P18" s="6">
        <f>ROUNDDOWN(('SPT-01'!$M50*'TABELA AUXILIAR'!$J$3+SUM('SPT-01'!$N$34:$N50))/2,0)*0.9</f>
        <v>5715</v>
      </c>
      <c r="Q18" s="6">
        <f>ROUNDDOWN(('SPT-01'!$M50*'TABELA AUXILIAR'!$J$4+SUM('SPT-01'!$O$34:$O50))/2,0)*0.9</f>
        <v>6312.6</v>
      </c>
      <c r="R18" s="6">
        <f>ROUNDDOWN(('SPT-01'!$M50*'TABELA AUXILIAR'!$J$5+SUM('SPT-01'!$P$34:$P50))/2,0)*0.9</f>
        <v>7569</v>
      </c>
      <c r="T18" s="1">
        <v>24</v>
      </c>
      <c r="U18" s="6">
        <f>ROUNDDOWN(('SPT-01'!$M42*'TABELA AUXILIAR'!$J$3+SUM('SPT-01'!$N$26:$N42))/2,0)*0.9</f>
        <v>4560.3</v>
      </c>
      <c r="V18" s="6">
        <f>ROUNDDOWN(('SPT-01'!$M42*'TABELA AUXILIAR'!$J$4+SUM('SPT-01'!$O$26:$O42))/2,0)*0.9</f>
        <v>5010.3</v>
      </c>
      <c r="W18" s="6">
        <f>ROUNDDOWN(('SPT-01'!$M42*'TABELA AUXILIAR'!$J$5+SUM('SPT-01'!$P$26:$P42))/2,0)*0.9</f>
        <v>5940.9000000000005</v>
      </c>
      <c r="Y18" s="1">
        <v>19.2</v>
      </c>
      <c r="Z18" s="6">
        <f>ROUNDDOWN(('SPT-01'!$M34*'TABELA AUXILIAR'!$J$3+SUM('SPT-01'!$N$18:$N34))/2,0)*0.9</f>
        <v>4077.9</v>
      </c>
      <c r="AA18" s="6">
        <f>ROUNDDOWN(('SPT-01'!$M34*'TABELA AUXILIAR'!$J$4+SUM('SPT-01'!$O$18:$O34))/2,0)*0.9</f>
        <v>4517.1000000000004</v>
      </c>
      <c r="AB18" s="6">
        <f>ROUNDDOWN(('SPT-01'!$M34*'TABELA AUXILIAR'!$J$5+SUM('SPT-01'!$P$18:$P34))/2,0)*0.9</f>
        <v>5445.9000000000005</v>
      </c>
      <c r="AD18" s="1">
        <v>14.4</v>
      </c>
      <c r="AE18" s="6">
        <f>ROUNDDOWN(('SPT-01'!$M26*'TABELA AUXILIAR'!$J$3+SUM('SPT-01'!$N$10:$N26))/2,0)*0.9</f>
        <v>3014.1</v>
      </c>
      <c r="AF18" s="6">
        <f>ROUNDDOWN(('SPT-01'!$M26*'TABELA AUXILIAR'!$J$4+SUM('SPT-01'!$O$10:$O26))/2,0)*0.9</f>
        <v>3351.6</v>
      </c>
      <c r="AG18" s="6">
        <f>ROUNDDOWN(('SPT-01'!$M26*'TABELA AUXILIAR'!$J$5+SUM('SPT-01'!$P$10:$P26))/2,0)*0.9</f>
        <v>4071.6</v>
      </c>
    </row>
    <row r="19" spans="10:33" x14ac:dyDescent="0.25">
      <c r="J19" s="1">
        <v>31.2</v>
      </c>
      <c r="K19" s="6">
        <f>ROUNDDOWN(('SPT-01'!$M54*'TABELA AUXILIAR'!$J$3+SUM('SPT-01'!$N$37:$N54))/2,0)*0.9</f>
        <v>5334.3</v>
      </c>
      <c r="L19" s="6">
        <f>ROUNDDOWN(('SPT-01'!$M54*'TABELA AUXILIAR'!$J$4+SUM('SPT-01'!$O$37:$O54))/2,0)*0.9</f>
        <v>5853.6</v>
      </c>
      <c r="M19" s="6">
        <f>ROUNDDOWN(('SPT-01'!$M54*'TABELA AUXILIAR'!$J$5+SUM('SPT-01'!$P$37:$P54))/2,0)*0.9</f>
        <v>6921.9000000000005</v>
      </c>
      <c r="N19" s="2"/>
      <c r="O19" s="1">
        <v>29.4</v>
      </c>
      <c r="P19" s="6">
        <f>ROUNDDOWN(('SPT-01'!$M51*'TABELA AUXILIAR'!$J$3+SUM('SPT-01'!$N$34:$N51))/2,0)*0.9</f>
        <v>5984.1</v>
      </c>
      <c r="Q19" s="6">
        <f>ROUNDDOWN(('SPT-01'!$M51*'TABELA AUXILIAR'!$J$4+SUM('SPT-01'!$O$34:$O51))/2,0)*0.9</f>
        <v>6606.9000000000005</v>
      </c>
      <c r="R19" s="6">
        <f>ROUNDDOWN(('SPT-01'!$M51*'TABELA AUXILIAR'!$J$5+SUM('SPT-01'!$P$34:$P51))/2,0)*0.9</f>
        <v>7911</v>
      </c>
      <c r="T19" s="1">
        <v>24.6</v>
      </c>
      <c r="U19" s="6">
        <f>ROUNDDOWN(('SPT-01'!$M43*'TABELA AUXILIAR'!$J$3+SUM('SPT-01'!$N$26:$N43))/2,0)*0.9</f>
        <v>5326.2</v>
      </c>
      <c r="V19" s="6">
        <f>ROUNDDOWN(('SPT-01'!$M43*'TABELA AUXILIAR'!$J$4+SUM('SPT-01'!$O$26:$O43))/2,0)*0.9</f>
        <v>5882.4000000000005</v>
      </c>
      <c r="W19" s="6">
        <f>ROUNDDOWN(('SPT-01'!$M43*'TABELA AUXILIAR'!$J$5+SUM('SPT-01'!$P$26:$P43))/2,0)*0.9</f>
        <v>7050.6</v>
      </c>
      <c r="Y19" s="1">
        <v>19.8</v>
      </c>
      <c r="Z19" s="6">
        <f>ROUNDDOWN(('SPT-01'!$M35*'TABELA AUXILIAR'!$J$3+SUM('SPT-01'!$N$18:$N35))/2,0)*0.9</f>
        <v>4340.7</v>
      </c>
      <c r="AA19" s="6">
        <f>ROUNDDOWN(('SPT-01'!$M35*'TABELA AUXILIAR'!$J$4+SUM('SPT-01'!$O$18:$O35))/2,0)*0.9</f>
        <v>4804.2</v>
      </c>
      <c r="AB19" s="6">
        <f>ROUNDDOWN(('SPT-01'!$M35*'TABELA AUXILIAR'!$J$5+SUM('SPT-01'!$P$18:$P35))/2,0)*0.9</f>
        <v>5780.7</v>
      </c>
      <c r="AD19" s="1">
        <v>15</v>
      </c>
      <c r="AE19" s="6">
        <f>ROUNDDOWN(('SPT-01'!$M27*'TABELA AUXILIAR'!$J$3+SUM('SPT-01'!$N$10:$N27))/2,0)*0.9</f>
        <v>2844.9</v>
      </c>
      <c r="AF19" s="6">
        <f>ROUNDDOWN(('SPT-01'!$M27*'TABELA AUXILIAR'!$J$4+SUM('SPT-01'!$O$10:$O27))/2,0)*0.9</f>
        <v>3143.7000000000003</v>
      </c>
      <c r="AG19" s="6">
        <f>ROUNDDOWN(('SPT-01'!$M27*'TABELA AUXILIAR'!$J$5+SUM('SPT-01'!$P$10:$P27))/2,0)*0.9</f>
        <v>3771</v>
      </c>
    </row>
    <row r="20" spans="10:33" x14ac:dyDescent="0.25">
      <c r="J20" s="1">
        <v>31.8</v>
      </c>
      <c r="K20" s="6">
        <f>ROUNDDOWN(('SPT-01'!$M55*'TABELA AUXILIAR'!$J$3+SUM('SPT-01'!$N$37:$N55))/2,0)*0.9</f>
        <v>6243.3</v>
      </c>
      <c r="L20" s="6">
        <f>ROUNDDOWN(('SPT-01'!$M55*'TABELA AUXILIAR'!$J$4+SUM('SPT-01'!$O$37:$O55))/2,0)*0.9</f>
        <v>6893.1</v>
      </c>
      <c r="M20" s="6">
        <f>ROUNDDOWN(('SPT-01'!$M55*'TABELA AUXILIAR'!$J$5+SUM('SPT-01'!$P$37:$P55))/2,0)*0.9</f>
        <v>8255.7000000000007</v>
      </c>
      <c r="N20" s="2"/>
      <c r="O20" s="1">
        <v>30</v>
      </c>
      <c r="P20" s="6">
        <f>ROUNDDOWN(('SPT-01'!$M52*'TABELA AUXILIAR'!$J$3+SUM('SPT-01'!$N$34:$N52))/2,0)*0.9</f>
        <v>6256.8</v>
      </c>
      <c r="Q20" s="6">
        <f>ROUNDDOWN(('SPT-01'!$M52*'TABELA AUXILIAR'!$J$4+SUM('SPT-01'!$O$34:$O52))/2,0)*0.9</f>
        <v>6903.9000000000005</v>
      </c>
      <c r="R20" s="6">
        <f>ROUNDDOWN(('SPT-01'!$M52*'TABELA AUXILIAR'!$J$5+SUM('SPT-01'!$P$34:$P52))/2,0)*0.9</f>
        <v>8257.5</v>
      </c>
      <c r="T20" s="1">
        <v>25.2</v>
      </c>
      <c r="U20" s="6">
        <f>ROUNDDOWN(('SPT-01'!$M44*'TABELA AUXILIAR'!$J$3+SUM('SPT-01'!$N$26:$N44))/2,0)*0.9</f>
        <v>5616.9000000000005</v>
      </c>
      <c r="V20" s="6">
        <f>ROUNDDOWN(('SPT-01'!$M44*'TABELA AUXILIAR'!$J$4+SUM('SPT-01'!$O$26:$O44))/2,0)*0.9</f>
        <v>6199.2</v>
      </c>
      <c r="W20" s="6">
        <f>ROUNDDOWN(('SPT-01'!$M44*'TABELA AUXILIAR'!$J$5+SUM('SPT-01'!$P$26:$P44))/2,0)*0.9</f>
        <v>7419.6</v>
      </c>
      <c r="Y20" s="1">
        <v>20.399999999999999</v>
      </c>
      <c r="Z20" s="6">
        <f>ROUNDDOWN(('SPT-01'!$M36*'TABELA AUXILIAR'!$J$3+SUM('SPT-01'!$N$18:$N36))/2,0)*0.9</f>
        <v>4607.1000000000004</v>
      </c>
      <c r="AA20" s="6">
        <f>ROUNDDOWN(('SPT-01'!$M36*'TABELA AUXILIAR'!$J$4+SUM('SPT-01'!$O$18:$O36))/2,0)*0.9</f>
        <v>5094</v>
      </c>
      <c r="AB20" s="6">
        <f>ROUNDDOWN(('SPT-01'!$M36*'TABELA AUXILIAR'!$J$5+SUM('SPT-01'!$P$18:$P36))/2,0)*0.9</f>
        <v>6119.1</v>
      </c>
      <c r="AD20" s="1">
        <v>15.6</v>
      </c>
      <c r="AE20" s="6">
        <f>ROUNDDOWN(('SPT-01'!$M28*'TABELA AUXILIAR'!$J$3+SUM('SPT-01'!$N$10:$N28))/2,0)*0.9</f>
        <v>2925</v>
      </c>
      <c r="AF20" s="6">
        <f>ROUNDDOWN(('SPT-01'!$M28*'TABELA AUXILIAR'!$J$4+SUM('SPT-01'!$O$10:$O28))/2,0)*0.9</f>
        <v>3226.5</v>
      </c>
      <c r="AG20" s="6">
        <f>ROUNDDOWN(('SPT-01'!$M28*'TABELA AUXILIAR'!$J$5+SUM('SPT-01'!$P$10:$P28))/2,0)*0.9</f>
        <v>3858.3</v>
      </c>
    </row>
    <row r="21" spans="10:33" x14ac:dyDescent="0.25">
      <c r="J21" s="1">
        <v>32.4</v>
      </c>
      <c r="K21" s="6">
        <f>ROUNDDOWN(('SPT-01'!$M56*'TABELA AUXILIAR'!$J$3+SUM('SPT-01'!$N$37:$N56))/2,0)*0.9</f>
        <v>6528.6</v>
      </c>
      <c r="L21" s="6">
        <f>ROUNDDOWN(('SPT-01'!$M56*'TABELA AUXILIAR'!$J$4+SUM('SPT-01'!$O$37:$O56))/2,0)*0.9</f>
        <v>7203.6</v>
      </c>
      <c r="M21" s="6">
        <f>ROUNDDOWN(('SPT-01'!$M56*'TABELA AUXILIAR'!$J$5+SUM('SPT-01'!$P$37:$P56))/2,0)*0.9</f>
        <v>8617.5</v>
      </c>
      <c r="N21" s="2"/>
      <c r="O21" s="1">
        <v>30.6</v>
      </c>
      <c r="P21" s="6">
        <f>ROUNDDOWN(('SPT-01'!$M53*'TABELA AUXILIAR'!$J$3+SUM('SPT-01'!$N$34:$N53))/2,0)*0.9</f>
        <v>6532.2</v>
      </c>
      <c r="Q21" s="6">
        <f>ROUNDDOWN(('SPT-01'!$M53*'TABELA AUXILIAR'!$J$4+SUM('SPT-01'!$O$34:$O53))/2,0)*0.9</f>
        <v>7204.5</v>
      </c>
      <c r="R21" s="6">
        <f>ROUNDDOWN(('SPT-01'!$M53*'TABELA AUXILIAR'!$J$5+SUM('SPT-01'!$P$34:$P53))/2,0)*0.9</f>
        <v>8607.6</v>
      </c>
      <c r="T21" s="1">
        <v>25.8</v>
      </c>
      <c r="U21" s="6">
        <f>ROUNDDOWN(('SPT-01'!$M45*'TABELA AUXILIAR'!$J$3+SUM('SPT-01'!$N$26:$N45))/2,0)*0.9</f>
        <v>5911.2</v>
      </c>
      <c r="V21" s="6">
        <f>ROUNDDOWN(('SPT-01'!$M45*'TABELA AUXILIAR'!$J$4+SUM('SPT-01'!$O$26:$O45))/2,0)*0.9</f>
        <v>6519.6</v>
      </c>
      <c r="W21" s="6">
        <f>ROUNDDOWN(('SPT-01'!$M45*'TABELA AUXILIAR'!$J$5+SUM('SPT-01'!$P$26:$P45))/2,0)*0.9</f>
        <v>7792.2</v>
      </c>
      <c r="Y21" s="1">
        <v>21</v>
      </c>
      <c r="Z21" s="6">
        <f>ROUNDDOWN(('SPT-01'!$M37*'TABELA AUXILIAR'!$J$3+SUM('SPT-01'!$N$18:$N37))/2,0)*0.9</f>
        <v>4745.7</v>
      </c>
      <c r="AA21" s="6">
        <f>ROUNDDOWN(('SPT-01'!$M37*'TABELA AUXILIAR'!$J$4+SUM('SPT-01'!$O$18:$O37))/2,0)*0.9</f>
        <v>5236.2</v>
      </c>
      <c r="AB21" s="6">
        <f>ROUNDDOWN(('SPT-01'!$M37*'TABELA AUXILIAR'!$J$5+SUM('SPT-01'!$P$18:$P37))/2,0)*0.9</f>
        <v>6262.2</v>
      </c>
      <c r="AD21" s="1">
        <v>16.2</v>
      </c>
      <c r="AE21" s="6">
        <f>ROUNDDOWN(('SPT-01'!$M29*'TABELA AUXILIAR'!$J$3+SUM('SPT-01'!$N$10:$N29))/2,0)*0.9</f>
        <v>3546.9</v>
      </c>
      <c r="AF21" s="6">
        <f>ROUNDDOWN(('SPT-01'!$M29*'TABELA AUXILIAR'!$J$4+SUM('SPT-01'!$O$10:$O29))/2,0)*0.9</f>
        <v>3933.9</v>
      </c>
      <c r="AG21" s="6">
        <f>ROUNDDOWN(('SPT-01'!$M29*'TABELA AUXILIAR'!$J$5+SUM('SPT-01'!$P$10:$P29))/2,0)*0.9</f>
        <v>4757.4000000000005</v>
      </c>
    </row>
    <row r="22" spans="10:33" x14ac:dyDescent="0.25">
      <c r="J22" s="1">
        <v>33</v>
      </c>
      <c r="K22" s="6">
        <f>ROUNDDOWN(('SPT-01'!$M57*'TABELA AUXILIAR'!$J$3+SUM('SPT-01'!$N$37:$N57))/2,0)*0.9</f>
        <v>6816.6</v>
      </c>
      <c r="L22" s="6">
        <f>ROUNDDOWN(('SPT-01'!$M57*'TABELA AUXILIAR'!$J$4+SUM('SPT-01'!$O$37:$O57))/2,0)*0.9</f>
        <v>7517.7</v>
      </c>
      <c r="M22" s="6">
        <f>ROUNDDOWN(('SPT-01'!$M57*'TABELA AUXILIAR'!$J$5+SUM('SPT-01'!$P$37:$P57))/2,0)*0.9</f>
        <v>8983.8000000000011</v>
      </c>
      <c r="N22" s="2"/>
      <c r="O22" s="1">
        <v>31.2</v>
      </c>
      <c r="P22" s="6">
        <f>ROUNDDOWN(('SPT-01'!$M54*'TABELA AUXILIAR'!$J$3+SUM('SPT-01'!$N$34:$N54))/2,0)*0.9</f>
        <v>6078.6</v>
      </c>
      <c r="Q22" s="6">
        <f>ROUNDDOWN(('SPT-01'!$M54*'TABELA AUXILIAR'!$J$4+SUM('SPT-01'!$O$34:$O54))/2,0)*0.9</f>
        <v>6660.9000000000005</v>
      </c>
      <c r="R22" s="6">
        <f>ROUNDDOWN(('SPT-01'!$M54*'TABELA AUXILIAR'!$J$5+SUM('SPT-01'!$P$34:$P54))/2,0)*0.9</f>
        <v>7854.3</v>
      </c>
      <c r="T22" s="1">
        <v>26.4</v>
      </c>
      <c r="U22" s="6">
        <f>ROUNDDOWN(('SPT-01'!$M46*'TABELA AUXILIAR'!$J$3+SUM('SPT-01'!$N$26:$N46))/2,0)*0.9</f>
        <v>6012</v>
      </c>
      <c r="V22" s="6">
        <f>ROUNDDOWN(('SPT-01'!$M46*'TABELA AUXILIAR'!$J$4+SUM('SPT-01'!$O$26:$O46))/2,0)*0.9</f>
        <v>6615.9000000000005</v>
      </c>
      <c r="W22" s="6">
        <f>ROUNDDOWN(('SPT-01'!$M46*'TABELA AUXILIAR'!$J$5+SUM('SPT-01'!$P$26:$P46))/2,0)*0.9</f>
        <v>7871.4000000000005</v>
      </c>
      <c r="Y22" s="1">
        <v>21.6</v>
      </c>
      <c r="Z22" s="6">
        <f>ROUNDDOWN(('SPT-01'!$M38*'TABELA AUXILIAR'!$J$3+SUM('SPT-01'!$N$18:$N38))/2,0)*0.9</f>
        <v>5130.9000000000005</v>
      </c>
      <c r="AA22" s="6">
        <f>ROUNDDOWN(('SPT-01'!$M38*'TABELA AUXILIAR'!$J$4+SUM('SPT-01'!$O$18:$O38))/2,0)*0.9</f>
        <v>5664.6</v>
      </c>
      <c r="AB22" s="6">
        <f>ROUNDDOWN(('SPT-01'!$M38*'TABELA AUXILIAR'!$J$5+SUM('SPT-01'!$P$18:$P38))/2,0)*0.9</f>
        <v>6783.3</v>
      </c>
      <c r="AD22" s="1">
        <v>16.8</v>
      </c>
      <c r="AE22" s="6">
        <f>ROUNDDOWN(('SPT-01'!$M30*'TABELA AUXILIAR'!$J$3+SUM('SPT-01'!$N$10:$N30))/2,0)*0.9</f>
        <v>3794.4</v>
      </c>
      <c r="AF22" s="6">
        <f>ROUNDDOWN(('SPT-01'!$M30*'TABELA AUXILIAR'!$J$4+SUM('SPT-01'!$O$10:$O30))/2,0)*0.9</f>
        <v>4203.9000000000005</v>
      </c>
      <c r="AG22" s="6">
        <f>ROUNDDOWN(('SPT-01'!$M30*'TABELA AUXILIAR'!$J$5+SUM('SPT-01'!$P$10:$P30))/2,0)*0.9</f>
        <v>5071.5</v>
      </c>
    </row>
    <row r="23" spans="10:33" x14ac:dyDescent="0.25">
      <c r="J23" s="1">
        <v>33.6</v>
      </c>
      <c r="K23" s="6">
        <f>ROUNDDOWN(('SPT-01'!$M58*'TABELA AUXILIAR'!$J$3+SUM('SPT-01'!$N$37:$N58))/2,0)*0.9</f>
        <v>7108.2</v>
      </c>
      <c r="L23" s="6">
        <f>ROUNDDOWN(('SPT-01'!$M58*'TABELA AUXILIAR'!$J$4+SUM('SPT-01'!$O$37:$O58))/2,0)*0.9</f>
        <v>7835.4000000000005</v>
      </c>
      <c r="M23" s="6">
        <f>ROUNDDOWN(('SPT-01'!$M58*'TABELA AUXILIAR'!$J$5+SUM('SPT-01'!$P$37:$P58))/2,0)*0.9</f>
        <v>9353.7000000000007</v>
      </c>
      <c r="N23" s="2"/>
      <c r="O23" s="1">
        <v>31.8</v>
      </c>
      <c r="P23" s="6">
        <f>ROUNDDOWN(('SPT-01'!$M55*'TABELA AUXILIAR'!$J$3+SUM('SPT-01'!$N$34:$N55))/2,0)*0.9</f>
        <v>6987.6</v>
      </c>
      <c r="Q23" s="6">
        <f>ROUNDDOWN(('SPT-01'!$M55*'TABELA AUXILIAR'!$J$4+SUM('SPT-01'!$O$34:$O55))/2,0)*0.9</f>
        <v>7700.4000000000005</v>
      </c>
      <c r="R23" s="6">
        <f>ROUNDDOWN(('SPT-01'!$M55*'TABELA AUXILIAR'!$J$5+SUM('SPT-01'!$P$34:$P55))/2,0)*0.9</f>
        <v>9187.2000000000007</v>
      </c>
      <c r="T23" s="1">
        <v>27</v>
      </c>
      <c r="U23" s="6">
        <f>ROUNDDOWN(('SPT-01'!$M47*'TABELA AUXILIAR'!$J$3+SUM('SPT-01'!$N$26:$N47))/2,0)*0.9</f>
        <v>6478.2</v>
      </c>
      <c r="V23" s="6">
        <f>ROUNDDOWN(('SPT-01'!$M47*'TABELA AUXILIAR'!$J$4+SUM('SPT-01'!$O$26:$O47))/2,0)*0.9</f>
        <v>7137.9000000000005</v>
      </c>
      <c r="W23" s="6">
        <f>ROUNDDOWN(('SPT-01'!$M47*'TABELA AUXILIAR'!$J$5+SUM('SPT-01'!$P$26:$P47))/2,0)*0.9</f>
        <v>8511.3000000000011</v>
      </c>
      <c r="Y23" s="1">
        <v>22.2</v>
      </c>
      <c r="Z23" s="6">
        <f>ROUNDDOWN(('SPT-01'!$M39*'TABELA AUXILIAR'!$J$3+SUM('SPT-01'!$N$18:$N39))/2,0)*0.9</f>
        <v>5406.3</v>
      </c>
      <c r="AA23" s="6">
        <f>ROUNDDOWN(('SPT-01'!$M39*'TABELA AUXILIAR'!$J$4+SUM('SPT-01'!$O$18:$O39))/2,0)*0.9</f>
        <v>5965.2</v>
      </c>
      <c r="AB23" s="6">
        <f>ROUNDDOWN(('SPT-01'!$M39*'TABELA AUXILIAR'!$J$5+SUM('SPT-01'!$P$18:$P39))/2,0)*0.9</f>
        <v>7133.4000000000005</v>
      </c>
      <c r="AD23" s="1">
        <v>17.399999999999999</v>
      </c>
      <c r="AE23" s="6">
        <f>ROUNDDOWN(('SPT-01'!$M31*'TABELA AUXILIAR'!$J$3+SUM('SPT-01'!$N$10:$N31))/2,0)*0.9</f>
        <v>4044.6</v>
      </c>
      <c r="AF23" s="6">
        <f>ROUNDDOWN(('SPT-01'!$M31*'TABELA AUXILIAR'!$J$4+SUM('SPT-01'!$O$10:$O31))/2,0)*0.9</f>
        <v>4476.6000000000004</v>
      </c>
      <c r="AG23" s="6">
        <f>ROUNDDOWN(('SPT-01'!$M31*'TABELA AUXILIAR'!$J$5+SUM('SPT-01'!$P$10:$P31))/2,0)*0.9</f>
        <v>5390.1</v>
      </c>
    </row>
    <row r="24" spans="10:33" x14ac:dyDescent="0.25">
      <c r="J24" s="1">
        <v>34.200000000000003</v>
      </c>
      <c r="K24" s="6">
        <f>ROUNDDOWN(('SPT-01'!$M59*'TABELA AUXILIAR'!$J$3+SUM('SPT-01'!$N$37:$N59))/2,0)*0.9</f>
        <v>7402.5</v>
      </c>
      <c r="L24" s="6">
        <f>ROUNDDOWN(('SPT-01'!$M59*'TABELA AUXILIAR'!$J$4+SUM('SPT-01'!$O$37:$O59))/2,0)*0.9</f>
        <v>8156.7</v>
      </c>
      <c r="M24" s="6">
        <f>ROUNDDOWN(('SPT-01'!$M59*'TABELA AUXILIAR'!$J$5+SUM('SPT-01'!$P$37:$P59))/2,0)*0.9</f>
        <v>9727.2000000000007</v>
      </c>
      <c r="N24" s="2"/>
      <c r="O24" s="1">
        <v>32.4</v>
      </c>
      <c r="P24" s="6">
        <f>ROUNDDOWN(('SPT-01'!$M56*'TABELA AUXILIAR'!$J$3+SUM('SPT-01'!$N$34:$N56))/2,0)*0.9</f>
        <v>7272.9000000000005</v>
      </c>
      <c r="Q24" s="6">
        <f>ROUNDDOWN(('SPT-01'!$M56*'TABELA AUXILIAR'!$J$4+SUM('SPT-01'!$O$34:$O56))/2,0)*0.9</f>
        <v>8010.9000000000005</v>
      </c>
      <c r="R24" s="6">
        <f>ROUNDDOWN(('SPT-01'!$M56*'TABELA AUXILIAR'!$J$5+SUM('SPT-01'!$P$34:$P56))/2,0)*0.9</f>
        <v>9549.9</v>
      </c>
      <c r="T24" s="1">
        <v>27.6</v>
      </c>
      <c r="U24" s="6">
        <f>ROUNDDOWN(('SPT-01'!$M48*'TABELA AUXILIAR'!$J$3+SUM('SPT-01'!$N$26:$N48))/2,0)*0.9</f>
        <v>6781.5</v>
      </c>
      <c r="V24" s="6">
        <f>ROUNDDOWN(('SPT-01'!$M48*'TABELA AUXILIAR'!$J$4+SUM('SPT-01'!$O$26:$O48))/2,0)*0.9</f>
        <v>7467.3</v>
      </c>
      <c r="W24" s="6">
        <f>ROUNDDOWN(('SPT-01'!$M48*'TABELA AUXILIAR'!$J$5+SUM('SPT-01'!$P$26:$P48))/2,0)*0.9</f>
        <v>8894.7000000000007</v>
      </c>
      <c r="Y24" s="1">
        <v>22.8</v>
      </c>
      <c r="Z24" s="6">
        <f>ROUNDDOWN(('SPT-01'!$M40*'TABELA AUXILIAR'!$J$3+SUM('SPT-01'!$N$18:$N40))/2,0)*0.9</f>
        <v>5685.3</v>
      </c>
      <c r="AA24" s="6">
        <f>ROUNDDOWN(('SPT-01'!$M40*'TABELA AUXILIAR'!$J$4+SUM('SPT-01'!$O$18:$O40))/2,0)*0.9</f>
        <v>6268.5</v>
      </c>
      <c r="AB24" s="6">
        <f>ROUNDDOWN(('SPT-01'!$M40*'TABELA AUXILIAR'!$J$5+SUM('SPT-01'!$P$18:$P40))/2,0)*0.9</f>
        <v>7487.1</v>
      </c>
      <c r="AD24" s="1">
        <v>18</v>
      </c>
      <c r="AE24" s="6">
        <f>ROUNDDOWN(('SPT-01'!$M32*'TABELA AUXILIAR'!$J$3+SUM('SPT-01'!$N$10:$N32))/2,0)*0.9</f>
        <v>4298.4000000000005</v>
      </c>
      <c r="AF24" s="6">
        <f>ROUNDDOWN(('SPT-01'!$M32*'TABELA AUXILIAR'!$J$4+SUM('SPT-01'!$O$10:$O32))/2,0)*0.9</f>
        <v>4753.8</v>
      </c>
      <c r="AG24" s="6">
        <f>ROUNDDOWN(('SPT-01'!$M32*'TABELA AUXILIAR'!$J$5+SUM('SPT-01'!$P$10:$P32))/2,0)*0.9</f>
        <v>5713.2</v>
      </c>
    </row>
    <row r="25" spans="10:33" x14ac:dyDescent="0.25">
      <c r="J25" s="1">
        <v>34.799999999999997</v>
      </c>
      <c r="K25" s="6">
        <f>ROUNDDOWN(('SPT-01'!$M60*'TABELA AUXILIAR'!$J$3+SUM('SPT-01'!$N$37:$N60))/2,0)*0.9</f>
        <v>7700.4000000000005</v>
      </c>
      <c r="L25" s="6">
        <f>ROUNDDOWN(('SPT-01'!$M60*'TABELA AUXILIAR'!$J$4+SUM('SPT-01'!$O$37:$O60))/2,0)*0.9</f>
        <v>8480.7000000000007</v>
      </c>
      <c r="M25" s="6">
        <f>ROUNDDOWN(('SPT-01'!$M60*'TABELA AUXILIAR'!$J$5+SUM('SPT-01'!$P$37:$P60))/2,0)*0.9</f>
        <v>10105.200000000001</v>
      </c>
      <c r="N25" s="2"/>
      <c r="O25" s="1">
        <v>33</v>
      </c>
      <c r="P25" s="6">
        <f>ROUNDDOWN(('SPT-01'!$M57*'TABELA AUXILIAR'!$J$3+SUM('SPT-01'!$N$34:$N57))/2,0)*0.9</f>
        <v>7560.9000000000005</v>
      </c>
      <c r="Q25" s="6">
        <f>ROUNDDOWN(('SPT-01'!$M57*'TABELA AUXILIAR'!$J$4+SUM('SPT-01'!$O$34:$O57))/2,0)*0.9</f>
        <v>8325</v>
      </c>
      <c r="R25" s="6">
        <f>ROUNDDOWN(('SPT-01'!$M57*'TABELA AUXILIAR'!$J$5+SUM('SPT-01'!$P$34:$P57))/2,0)*0.9</f>
        <v>9916.2000000000007</v>
      </c>
      <c r="T25" s="1">
        <v>28.2</v>
      </c>
      <c r="U25" s="6">
        <f>ROUNDDOWN(('SPT-01'!$M49*'TABELA AUXILIAR'!$J$3+SUM('SPT-01'!$N$26:$N49))/2,0)*0.9</f>
        <v>7042.5</v>
      </c>
      <c r="V25" s="6">
        <f>ROUNDDOWN(('SPT-01'!$M49*'TABELA AUXILIAR'!$J$4+SUM('SPT-01'!$O$26:$O49))/2,0)*0.9</f>
        <v>7751.7</v>
      </c>
      <c r="W25" s="6">
        <f>ROUNDDOWN(('SPT-01'!$M49*'TABELA AUXILIAR'!$J$5+SUM('SPT-01'!$P$26:$P49))/2,0)*0.9</f>
        <v>9226.8000000000011</v>
      </c>
      <c r="Y25" s="1">
        <v>23.4</v>
      </c>
      <c r="Z25" s="6">
        <f>ROUNDDOWN(('SPT-01'!$M41*'TABELA AUXILIAR'!$J$3+SUM('SPT-01'!$N$18:$N41))/2,0)*0.9</f>
        <v>5967</v>
      </c>
      <c r="AA25" s="6">
        <f>ROUNDDOWN(('SPT-01'!$M41*'TABELA AUXILIAR'!$J$4+SUM('SPT-01'!$O$18:$O41))/2,0)*0.9</f>
        <v>6576.3</v>
      </c>
      <c r="AB25" s="6">
        <f>ROUNDDOWN(('SPT-01'!$M41*'TABELA AUXILIAR'!$J$5+SUM('SPT-01'!$P$18:$P41))/2,0)*0.9</f>
        <v>7845.3</v>
      </c>
      <c r="AD25" s="1">
        <v>18.600000000000001</v>
      </c>
      <c r="AE25" s="6">
        <f>ROUNDDOWN(('SPT-01'!$M33*'TABELA AUXILIAR'!$J$3+SUM('SPT-01'!$N$10:$N33))/2,0)*0.9</f>
        <v>4554.9000000000005</v>
      </c>
      <c r="AF25" s="6">
        <f>ROUNDDOWN(('SPT-01'!$M33*'TABELA AUXILIAR'!$J$4+SUM('SPT-01'!$O$10:$O33))/2,0)*0.9</f>
        <v>5033.7</v>
      </c>
      <c r="AG25" s="6">
        <f>ROUNDDOWN(('SPT-01'!$M33*'TABELA AUXILIAR'!$J$5+SUM('SPT-01'!$P$10:$P33))/2,0)*0.9</f>
        <v>6039.9000000000005</v>
      </c>
    </row>
    <row r="26" spans="10:33" x14ac:dyDescent="0.25">
      <c r="J26" s="1">
        <v>35.4</v>
      </c>
      <c r="K26" s="6">
        <f>ROUNDDOWN(('SPT-01'!$M61*'TABELA AUXILIAR'!$J$3+SUM('SPT-01'!$N$37:$N61))/2,0)*0.9</f>
        <v>8001</v>
      </c>
      <c r="L26" s="6">
        <f>ROUNDDOWN(('SPT-01'!$M61*'TABELA AUXILIAR'!$J$4+SUM('SPT-01'!$O$37:$O61))/2,0)*0.9</f>
        <v>8808.3000000000011</v>
      </c>
      <c r="M26" s="6">
        <f>ROUNDDOWN(('SPT-01'!$M61*'TABELA AUXILIAR'!$J$5+SUM('SPT-01'!$P$37:$P61))/2,0)*0.9</f>
        <v>10485.9</v>
      </c>
      <c r="N26" s="2"/>
      <c r="O26" s="1">
        <v>33.6</v>
      </c>
      <c r="P26" s="6">
        <f>ROUNDDOWN(('SPT-01'!$M58*'TABELA AUXILIAR'!$J$3+SUM('SPT-01'!$N$34:$N58))/2,0)*0.9</f>
        <v>7852.5</v>
      </c>
      <c r="Q26" s="6">
        <f>ROUNDDOWN(('SPT-01'!$M58*'TABELA AUXILIAR'!$J$4+SUM('SPT-01'!$O$34:$O58))/2,0)*0.9</f>
        <v>8642.7000000000007</v>
      </c>
      <c r="R26" s="6">
        <f>ROUNDDOWN(('SPT-01'!$M58*'TABELA AUXILIAR'!$J$5+SUM('SPT-01'!$P$34:$P58))/2,0)*0.9</f>
        <v>10286.1</v>
      </c>
      <c r="T26" s="1">
        <v>28.8</v>
      </c>
      <c r="U26" s="6">
        <f>ROUNDDOWN(('SPT-01'!$M50*'TABELA AUXILIAR'!$J$3+SUM('SPT-01'!$N$26:$N50))/2,0)*0.9</f>
        <v>7308</v>
      </c>
      <c r="V26" s="6">
        <f>ROUNDDOWN(('SPT-01'!$M50*'TABELA AUXILIAR'!$J$4+SUM('SPT-01'!$O$26:$O50))/2,0)*0.9</f>
        <v>8041.5</v>
      </c>
      <c r="W26" s="6">
        <f>ROUNDDOWN(('SPT-01'!$M50*'TABELA AUXILIAR'!$J$5+SUM('SPT-01'!$P$26:$P50))/2,0)*0.9</f>
        <v>9565.2000000000007</v>
      </c>
      <c r="Y26" s="1">
        <v>24</v>
      </c>
      <c r="Z26" s="6">
        <f>ROUNDDOWN(('SPT-01'!$M42*'TABELA AUXILIAR'!$J$3+SUM('SPT-01'!$N$18:$N42))/2,0)*0.9</f>
        <v>5690.7</v>
      </c>
      <c r="AA26" s="6">
        <f>ROUNDDOWN(('SPT-01'!$M42*'TABELA AUXILIAR'!$J$4+SUM('SPT-01'!$O$18:$O42))/2,0)*0.9</f>
        <v>6237</v>
      </c>
      <c r="AB26" s="6">
        <f>ROUNDDOWN(('SPT-01'!$M42*'TABELA AUXILIAR'!$J$5+SUM('SPT-01'!$P$18:$P42))/2,0)*0.9</f>
        <v>7357.5</v>
      </c>
      <c r="AD26" s="1">
        <v>19.2</v>
      </c>
      <c r="AE26" s="6">
        <f>ROUNDDOWN(('SPT-01'!$M34*'TABELA AUXILIAR'!$J$3+SUM('SPT-01'!$N$10:$N34))/2,0)*0.9</f>
        <v>4815.9000000000005</v>
      </c>
      <c r="AF26" s="6">
        <f>ROUNDDOWN(('SPT-01'!$M34*'TABELA AUXILIAR'!$J$4+SUM('SPT-01'!$O$10:$O34))/2,0)*0.9</f>
        <v>5317.2</v>
      </c>
      <c r="AG26" s="6">
        <f>ROUNDDOWN(('SPT-01'!$M34*'TABELA AUXILIAR'!$J$5+SUM('SPT-01'!$P$10:$P34))/2,0)*0.9</f>
        <v>6370.2</v>
      </c>
    </row>
    <row r="27" spans="10:33" x14ac:dyDescent="0.25">
      <c r="J27" s="1">
        <v>36</v>
      </c>
      <c r="K27" s="6">
        <f>ROUNDDOWN(('SPT-01'!$M62*'TABELA AUXILIAR'!$J$3+SUM('SPT-01'!$N$37:$N62))/2,0)*0.9</f>
        <v>8305.2000000000007</v>
      </c>
      <c r="L27" s="6">
        <f>ROUNDDOWN(('SPT-01'!$M62*'TABELA AUXILIAR'!$J$4+SUM('SPT-01'!$O$37:$O62))/2,0)*0.9</f>
        <v>9139.5</v>
      </c>
      <c r="M27" s="6">
        <f>ROUNDDOWN(('SPT-01'!$M62*'TABELA AUXILIAR'!$J$5+SUM('SPT-01'!$P$37:$P62))/2,0)*0.9</f>
        <v>10871.1</v>
      </c>
      <c r="N27" s="2"/>
      <c r="O27" s="1">
        <v>34.200000000000003</v>
      </c>
      <c r="P27" s="6">
        <f>ROUNDDOWN(('SPT-01'!$M59*'TABELA AUXILIAR'!$J$3+SUM('SPT-01'!$N$34:$N59))/2,0)*0.9</f>
        <v>8146.8</v>
      </c>
      <c r="Q27" s="6">
        <f>ROUNDDOWN(('SPT-01'!$M59*'TABELA AUXILIAR'!$J$4+SUM('SPT-01'!$O$34:$O59))/2,0)*0.9</f>
        <v>8964</v>
      </c>
      <c r="R27" s="6">
        <f>ROUNDDOWN(('SPT-01'!$M59*'TABELA AUXILIAR'!$J$5+SUM('SPT-01'!$P$34:$P59))/2,0)*0.9</f>
        <v>10659.6</v>
      </c>
      <c r="T27" s="1">
        <v>29.4</v>
      </c>
      <c r="U27" s="6">
        <f>ROUNDDOWN(('SPT-01'!$M51*'TABELA AUXILIAR'!$J$3+SUM('SPT-01'!$N$26:$N51))/2,0)*0.9</f>
        <v>7577.1</v>
      </c>
      <c r="V27" s="6">
        <f>ROUNDDOWN(('SPT-01'!$M51*'TABELA AUXILIAR'!$J$4+SUM('SPT-01'!$O$26:$O51))/2,0)*0.9</f>
        <v>8335.8000000000011</v>
      </c>
      <c r="W27" s="6">
        <f>ROUNDDOWN(('SPT-01'!$M51*'TABELA AUXILIAR'!$J$5+SUM('SPT-01'!$P$26:$P51))/2,0)*0.9</f>
        <v>9907.2000000000007</v>
      </c>
      <c r="Y27" s="1">
        <v>24.6</v>
      </c>
      <c r="Z27" s="6">
        <f>ROUNDDOWN(('SPT-01'!$M43*'TABELA AUXILIAR'!$J$3+SUM('SPT-01'!$N$18:$N43))/2,0)*0.9</f>
        <v>6456.6</v>
      </c>
      <c r="AA27" s="6">
        <f>ROUNDDOWN(('SPT-01'!$M43*'TABELA AUXILIAR'!$J$4+SUM('SPT-01'!$O$18:$O43))/2,0)*0.9</f>
        <v>7109.1</v>
      </c>
      <c r="AB27" s="6">
        <f>ROUNDDOWN(('SPT-01'!$M43*'TABELA AUXILIAR'!$J$5+SUM('SPT-01'!$P$18:$P43))/2,0)*0.9</f>
        <v>8466.3000000000011</v>
      </c>
      <c r="AD27" s="1">
        <v>19.8</v>
      </c>
      <c r="AE27" s="6">
        <f>ROUNDDOWN(('SPT-01'!$M35*'TABELA AUXILIAR'!$J$3+SUM('SPT-01'!$N$10:$N35))/2,0)*0.9</f>
        <v>5078.7</v>
      </c>
      <c r="AF27" s="6">
        <f>ROUNDDOWN(('SPT-01'!$M35*'TABELA AUXILIAR'!$J$4+SUM('SPT-01'!$O$10:$O35))/2,0)*0.9</f>
        <v>5604.3</v>
      </c>
      <c r="AG27" s="6">
        <f>ROUNDDOWN(('SPT-01'!$M35*'TABELA AUXILIAR'!$J$5+SUM('SPT-01'!$P$10:$P35))/2,0)*0.9</f>
        <v>6705</v>
      </c>
    </row>
    <row r="28" spans="10:33" x14ac:dyDescent="0.25">
      <c r="J28" s="1">
        <v>36.6</v>
      </c>
      <c r="K28" s="6">
        <f>ROUNDDOWN(('SPT-01'!$M63*'TABELA AUXILIAR'!$J$3+SUM('SPT-01'!$N$37:$N63))/2,0)*0.9</f>
        <v>8611.2000000000007</v>
      </c>
      <c r="L28" s="6">
        <f>ROUNDDOWN(('SPT-01'!$M63*'TABELA AUXILIAR'!$J$4+SUM('SPT-01'!$O$37:$O63))/2,0)*0.9</f>
        <v>9473.4</v>
      </c>
      <c r="M28" s="6">
        <f>ROUNDDOWN(('SPT-01'!$M63*'TABELA AUXILIAR'!$J$5+SUM('SPT-01'!$P$37:$P63))/2,0)*0.9</f>
        <v>11260.800000000001</v>
      </c>
      <c r="N28" s="2"/>
      <c r="O28" s="1">
        <v>34.799999999999997</v>
      </c>
      <c r="P28" s="6">
        <f>ROUNDDOWN(('SPT-01'!$M60*'TABELA AUXILIAR'!$J$3+SUM('SPT-01'!$N$34:$N60))/2,0)*0.9</f>
        <v>8444.7000000000007</v>
      </c>
      <c r="Q28" s="6">
        <f>ROUNDDOWN(('SPT-01'!$M60*'TABELA AUXILIAR'!$J$4+SUM('SPT-01'!$O$34:$O60))/2,0)*0.9</f>
        <v>9288</v>
      </c>
      <c r="R28" s="6">
        <f>ROUNDDOWN(('SPT-01'!$M60*'TABELA AUXILIAR'!$J$5+SUM('SPT-01'!$P$34:$P60))/2,0)*0.9</f>
        <v>11036.7</v>
      </c>
      <c r="T28" s="1">
        <v>30</v>
      </c>
      <c r="U28" s="6">
        <f>ROUNDDOWN(('SPT-01'!$M52*'TABELA AUXILIAR'!$J$3+SUM('SPT-01'!$N$26:$N52))/2,0)*0.9</f>
        <v>7849.8</v>
      </c>
      <c r="V28" s="6">
        <f>ROUNDDOWN(('SPT-01'!$M52*'TABELA AUXILIAR'!$J$4+SUM('SPT-01'!$O$26:$O52))/2,0)*0.9</f>
        <v>8632.8000000000011</v>
      </c>
      <c r="W28" s="6">
        <f>ROUNDDOWN(('SPT-01'!$M52*'TABELA AUXILIAR'!$J$5+SUM('SPT-01'!$P$26:$P52))/2,0)*0.9</f>
        <v>10253.700000000001</v>
      </c>
      <c r="Y28" s="1">
        <v>25.2</v>
      </c>
      <c r="Z28" s="6">
        <f>ROUNDDOWN(('SPT-01'!$M44*'TABELA AUXILIAR'!$J$3+SUM('SPT-01'!$N$18:$N44))/2,0)*0.9</f>
        <v>6747.3</v>
      </c>
      <c r="AA28" s="6">
        <f>ROUNDDOWN(('SPT-01'!$M44*'TABELA AUXILIAR'!$J$4+SUM('SPT-01'!$O$18:$O44))/2,0)*0.9</f>
        <v>7425.9000000000005</v>
      </c>
      <c r="AB28" s="6">
        <f>ROUNDDOWN(('SPT-01'!$M44*'TABELA AUXILIAR'!$J$5+SUM('SPT-01'!$P$18:$P44))/2,0)*0.9</f>
        <v>8835.3000000000011</v>
      </c>
      <c r="AD28" s="1">
        <v>20.399999999999999</v>
      </c>
      <c r="AE28" s="6">
        <f>ROUNDDOWN(('SPT-01'!$M36*'TABELA AUXILIAR'!$J$3+SUM('SPT-01'!$N$10:$N36))/2,0)*0.9</f>
        <v>5345.1</v>
      </c>
      <c r="AF28" s="6">
        <f>ROUNDDOWN(('SPT-01'!$M36*'TABELA AUXILIAR'!$J$4+SUM('SPT-01'!$O$10:$O36))/2,0)*0.9</f>
        <v>5895</v>
      </c>
      <c r="AG28" s="6">
        <f>ROUNDDOWN(('SPT-01'!$M36*'TABELA AUXILIAR'!$J$5+SUM('SPT-01'!$P$10:$P36))/2,0)*0.9</f>
        <v>7043.4000000000005</v>
      </c>
    </row>
    <row r="29" spans="10:33" x14ac:dyDescent="0.25">
      <c r="J29" s="1">
        <v>37.200000000000003</v>
      </c>
      <c r="K29" s="6">
        <f>ROUNDDOWN(('SPT-01'!$M64*'TABELA AUXILIAR'!$J$3+SUM('SPT-01'!$N$37:$N64))/2,0)*0.9</f>
        <v>8921.7000000000007</v>
      </c>
      <c r="L29" s="6">
        <f>ROUNDDOWN(('SPT-01'!$M64*'TABELA AUXILIAR'!$J$4+SUM('SPT-01'!$O$37:$O64))/2,0)*0.9</f>
        <v>9810.9</v>
      </c>
      <c r="M29" s="6">
        <f>ROUNDDOWN(('SPT-01'!$M64*'TABELA AUXILIAR'!$J$5+SUM('SPT-01'!$P$37:$P64))/2,0)*0.9</f>
        <v>11653.2</v>
      </c>
      <c r="N29" s="2"/>
      <c r="O29" s="1">
        <v>35.4</v>
      </c>
      <c r="P29" s="6">
        <f>ROUNDDOWN(('SPT-01'!$M61*'TABELA AUXILIAR'!$J$3+SUM('SPT-01'!$N$34:$N61))/2,0)*0.9</f>
        <v>8745.3000000000011</v>
      </c>
      <c r="Q29" s="6">
        <f>ROUNDDOWN(('SPT-01'!$M61*'TABELA AUXILIAR'!$J$4+SUM('SPT-01'!$O$34:$O61))/2,0)*0.9</f>
        <v>9615.6</v>
      </c>
      <c r="R29" s="6">
        <f>ROUNDDOWN(('SPT-01'!$M61*'TABELA AUXILIAR'!$J$5+SUM('SPT-01'!$P$34:$P61))/2,0)*0.9</f>
        <v>11418.300000000001</v>
      </c>
      <c r="T29" s="1">
        <v>30.6</v>
      </c>
      <c r="U29" s="6">
        <f>ROUNDDOWN(('SPT-01'!$M53*'TABELA AUXILIAR'!$J$3+SUM('SPT-01'!$N$26:$N53))/2,0)*0.9</f>
        <v>8126.1</v>
      </c>
      <c r="V29" s="6">
        <f>ROUNDDOWN(('SPT-01'!$M53*'TABELA AUXILIAR'!$J$4+SUM('SPT-01'!$O$26:$O53))/2,0)*0.9</f>
        <v>8933.4</v>
      </c>
      <c r="W29" s="6">
        <f>ROUNDDOWN(('SPT-01'!$M53*'TABELA AUXILIAR'!$J$5+SUM('SPT-01'!$P$26:$P53))/2,0)*0.9</f>
        <v>10603.800000000001</v>
      </c>
      <c r="Y29" s="1">
        <v>25.8</v>
      </c>
      <c r="Z29" s="6">
        <f>ROUNDDOWN(('SPT-01'!$M45*'TABELA AUXILIAR'!$J$3+SUM('SPT-01'!$N$18:$N45))/2,0)*0.9</f>
        <v>7041.6</v>
      </c>
      <c r="AA29" s="6">
        <f>ROUNDDOWN(('SPT-01'!$M45*'TABELA AUXILIAR'!$J$4+SUM('SPT-01'!$O$18:$O45))/2,0)*0.9</f>
        <v>7746.3</v>
      </c>
      <c r="AB29" s="6">
        <f>ROUNDDOWN(('SPT-01'!$M45*'TABELA AUXILIAR'!$J$5+SUM('SPT-01'!$P$18:$P45))/2,0)*0.9</f>
        <v>9207.9</v>
      </c>
      <c r="AD29" s="1">
        <v>21</v>
      </c>
      <c r="AE29" s="6">
        <f>ROUNDDOWN(('SPT-01'!$M37*'TABELA AUXILIAR'!$J$3+SUM('SPT-01'!$N$10:$N37))/2,0)*0.9</f>
        <v>5483.7</v>
      </c>
      <c r="AF29" s="6">
        <f>ROUNDDOWN(('SPT-01'!$M37*'TABELA AUXILIAR'!$J$4+SUM('SPT-01'!$O$10:$O37))/2,0)*0.9</f>
        <v>6036.3</v>
      </c>
      <c r="AG29" s="6">
        <f>ROUNDDOWN(('SPT-01'!$M37*'TABELA AUXILIAR'!$J$5+SUM('SPT-01'!$P$10:$P37))/2,0)*0.9</f>
        <v>7186.5</v>
      </c>
    </row>
    <row r="30" spans="10:33" x14ac:dyDescent="0.25">
      <c r="J30" s="1">
        <v>37.799999999999997</v>
      </c>
      <c r="K30" s="6">
        <f>ROUNDDOWN(('SPT-01'!$M65*'TABELA AUXILIAR'!$J$3+SUM('SPT-01'!$N$37:$N65))/2,0)*0.9</f>
        <v>9234</v>
      </c>
      <c r="L30" s="6">
        <f>ROUNDDOWN(('SPT-01'!$M65*'TABELA AUXILIAR'!$J$4+SUM('SPT-01'!$O$37:$O65))/2,0)*0.9</f>
        <v>10151.1</v>
      </c>
      <c r="M30" s="6">
        <f>ROUNDDOWN(('SPT-01'!$M65*'TABELA AUXILIAR'!$J$5+SUM('SPT-01'!$P$37:$P65))/2,0)*0.9</f>
        <v>12050.1</v>
      </c>
      <c r="N30" s="2"/>
      <c r="O30" s="1">
        <v>36</v>
      </c>
      <c r="P30" s="6">
        <f>ROUNDDOWN(('SPT-01'!$M62*'TABELA AUXILIAR'!$J$3+SUM('SPT-01'!$N$34:$N62))/2,0)*0.9</f>
        <v>9048.6</v>
      </c>
      <c r="Q30" s="6">
        <f>ROUNDDOWN(('SPT-01'!$M62*'TABELA AUXILIAR'!$J$4+SUM('SPT-01'!$O$34:$O62))/2,0)*0.9</f>
        <v>9946.8000000000011</v>
      </c>
      <c r="R30" s="6">
        <f>ROUNDDOWN(('SPT-01'!$M62*'TABELA AUXILIAR'!$J$5+SUM('SPT-01'!$P$34:$P62))/2,0)*0.9</f>
        <v>11803.5</v>
      </c>
      <c r="T30" s="1">
        <v>31.2</v>
      </c>
      <c r="U30" s="6">
        <f>ROUNDDOWN(('SPT-01'!$M54*'TABELA AUXILIAR'!$J$3+SUM('SPT-01'!$N$26:$N54))/2,0)*0.9</f>
        <v>7672.5</v>
      </c>
      <c r="V30" s="6">
        <f>ROUNDDOWN(('SPT-01'!$M54*'TABELA AUXILIAR'!$J$4+SUM('SPT-01'!$O$26:$O54))/2,0)*0.9</f>
        <v>8390.7000000000007</v>
      </c>
      <c r="W30" s="6">
        <f>ROUNDDOWN(('SPT-01'!$M54*'TABELA AUXILIAR'!$J$5+SUM('SPT-01'!$P$26:$P54))/2,0)*0.9</f>
        <v>9849.6</v>
      </c>
      <c r="Y30" s="1">
        <v>26.4</v>
      </c>
      <c r="Z30" s="6">
        <f>ROUNDDOWN(('SPT-01'!$M46*'TABELA AUXILIAR'!$J$3+SUM('SPT-01'!$N$18:$N46))/2,0)*0.9</f>
        <v>7142.4000000000005</v>
      </c>
      <c r="AA30" s="6">
        <f>ROUNDDOWN(('SPT-01'!$M46*'TABELA AUXILIAR'!$J$4+SUM('SPT-01'!$O$18:$O46))/2,0)*0.9</f>
        <v>7842.6</v>
      </c>
      <c r="AB30" s="6">
        <f>ROUNDDOWN(('SPT-01'!$M46*'TABELA AUXILIAR'!$J$5+SUM('SPT-01'!$P$18:$P46))/2,0)*0.9</f>
        <v>9287.1</v>
      </c>
      <c r="AD30" s="1">
        <v>21.6</v>
      </c>
      <c r="AE30" s="6">
        <f>ROUNDDOWN(('SPT-01'!$M38*'TABELA AUXILIAR'!$J$3+SUM('SPT-01'!$N$10:$N38))/2,0)*0.9</f>
        <v>5868.9000000000005</v>
      </c>
      <c r="AF30" s="6">
        <f>ROUNDDOWN(('SPT-01'!$M38*'TABELA AUXILIAR'!$J$4+SUM('SPT-01'!$O$10:$O38))/2,0)*0.9</f>
        <v>6464.7</v>
      </c>
      <c r="AG30" s="6">
        <f>ROUNDDOWN(('SPT-01'!$M38*'TABELA AUXILIAR'!$J$5+SUM('SPT-01'!$P$10:$P38))/2,0)*0.9</f>
        <v>7707.6</v>
      </c>
    </row>
    <row r="31" spans="10:33" x14ac:dyDescent="0.25">
      <c r="J31" s="1">
        <v>38.4</v>
      </c>
      <c r="K31" s="6">
        <f>ROUNDDOWN(('SPT-01'!$M66*'TABELA AUXILIAR'!$J$3+SUM('SPT-01'!$N$37:$N66))/2,0)*0.9</f>
        <v>9244.8000000000011</v>
      </c>
      <c r="L31" s="6">
        <f>ROUNDDOWN(('SPT-01'!$M66*'TABELA AUXILIAR'!$J$4+SUM('SPT-01'!$O$37:$O66))/2,0)*0.9</f>
        <v>10142.1</v>
      </c>
      <c r="M31" s="6">
        <f>ROUNDDOWN(('SPT-01'!$M66*'TABELA AUXILIAR'!$J$5+SUM('SPT-01'!$P$37:$P66))/2,0)*0.9</f>
        <v>11987.1</v>
      </c>
      <c r="N31" s="2"/>
      <c r="O31" s="1">
        <v>36.6</v>
      </c>
      <c r="P31" s="6">
        <f>ROUNDDOWN(('SPT-01'!$M63*'TABELA AUXILIAR'!$J$3+SUM('SPT-01'!$N$34:$N63))/2,0)*0.9</f>
        <v>9355.5</v>
      </c>
      <c r="Q31" s="6">
        <f>ROUNDDOWN(('SPT-01'!$M63*'TABELA AUXILIAR'!$J$4+SUM('SPT-01'!$O$34:$O63))/2,0)*0.9</f>
        <v>10280.700000000001</v>
      </c>
      <c r="R31" s="6">
        <f>ROUNDDOWN(('SPT-01'!$M63*'TABELA AUXILIAR'!$J$5+SUM('SPT-01'!$P$34:$P63))/2,0)*0.9</f>
        <v>12192.300000000001</v>
      </c>
      <c r="T31" s="1">
        <v>31.8</v>
      </c>
      <c r="U31" s="6">
        <f>ROUNDDOWN(('SPT-01'!$M55*'TABELA AUXILIAR'!$J$3+SUM('SPT-01'!$N$26:$N55))/2,0)*0.9</f>
        <v>8580.6</v>
      </c>
      <c r="V31" s="6">
        <f>ROUNDDOWN(('SPT-01'!$M55*'TABELA AUXILIAR'!$J$4+SUM('SPT-01'!$O$26:$O55))/2,0)*0.9</f>
        <v>9429.3000000000011</v>
      </c>
      <c r="W31" s="6">
        <f>ROUNDDOWN(('SPT-01'!$M55*'TABELA AUXILIAR'!$J$5+SUM('SPT-01'!$P$26:$P55))/2,0)*0.9</f>
        <v>11183.4</v>
      </c>
      <c r="Y31" s="1">
        <v>27</v>
      </c>
      <c r="Z31" s="6">
        <f>ROUNDDOWN(('SPT-01'!$M47*'TABELA AUXILIAR'!$J$3+SUM('SPT-01'!$N$18:$N47))/2,0)*0.9</f>
        <v>7608.6</v>
      </c>
      <c r="AA31" s="6">
        <f>ROUNDDOWN(('SPT-01'!$M47*'TABELA AUXILIAR'!$J$4+SUM('SPT-01'!$O$18:$O47))/2,0)*0.9</f>
        <v>8364.6</v>
      </c>
      <c r="AB31" s="6">
        <f>ROUNDDOWN(('SPT-01'!$M47*'TABELA AUXILIAR'!$J$5+SUM('SPT-01'!$P$18:$P47))/2,0)*0.9</f>
        <v>9927.9</v>
      </c>
      <c r="AD31" s="1">
        <v>22.2</v>
      </c>
      <c r="AE31" s="6">
        <f>ROUNDDOWN(('SPT-01'!$M39*'TABELA AUXILIAR'!$J$3+SUM('SPT-01'!$N$10:$N39))/2,0)*0.9</f>
        <v>6144.3</v>
      </c>
      <c r="AF31" s="6">
        <f>ROUNDDOWN(('SPT-01'!$M39*'TABELA AUXILIAR'!$J$4+SUM('SPT-01'!$O$10:$O39))/2,0)*0.9</f>
        <v>6765.3</v>
      </c>
      <c r="AG31" s="6">
        <f>ROUNDDOWN(('SPT-01'!$M39*'TABELA AUXILIAR'!$J$5+SUM('SPT-01'!$P$10:$P39))/2,0)*0.9</f>
        <v>8057.7</v>
      </c>
    </row>
    <row r="32" spans="10:33" x14ac:dyDescent="0.25">
      <c r="J32" s="1">
        <v>39</v>
      </c>
      <c r="K32" s="6">
        <f>ROUNDDOWN(('SPT-01'!$M67*'TABELA AUXILIAR'!$J$3+SUM('SPT-01'!$N$37:$N67))/2,0)*0.9</f>
        <v>9824.4</v>
      </c>
      <c r="L32" s="6">
        <f>ROUNDDOWN(('SPT-01'!$M67*'TABELA AUXILIAR'!$J$4+SUM('SPT-01'!$O$37:$O67))/2,0)*0.9</f>
        <v>10794.6</v>
      </c>
      <c r="M32" s="6">
        <f>ROUNDDOWN(('SPT-01'!$M67*'TABELA AUXILIAR'!$J$5+SUM('SPT-01'!$P$37:$P67))/2,0)*0.9</f>
        <v>12798</v>
      </c>
      <c r="N32" s="2"/>
      <c r="O32" s="1">
        <v>37.200000000000003</v>
      </c>
      <c r="P32" s="6">
        <f>ROUNDDOWN(('SPT-01'!$M64*'TABELA AUXILIAR'!$J$3+SUM('SPT-01'!$N$34:$N64))/2,0)*0.9</f>
        <v>9666</v>
      </c>
      <c r="Q32" s="6">
        <f>ROUNDDOWN(('SPT-01'!$M64*'TABELA AUXILIAR'!$J$4+SUM('SPT-01'!$O$34:$O64))/2,0)*0.9</f>
        <v>10618.2</v>
      </c>
      <c r="R32" s="6">
        <f>ROUNDDOWN(('SPT-01'!$M64*'TABELA AUXILIAR'!$J$5+SUM('SPT-01'!$P$34:$P64))/2,0)*0.9</f>
        <v>12585.6</v>
      </c>
      <c r="T32" s="1">
        <v>32.4</v>
      </c>
      <c r="U32" s="6">
        <f>ROUNDDOWN(('SPT-01'!$M56*'TABELA AUXILIAR'!$J$3+SUM('SPT-01'!$N$26:$N56))/2,0)*0.9</f>
        <v>8865.9</v>
      </c>
      <c r="V32" s="6">
        <f>ROUNDDOWN(('SPT-01'!$M56*'TABELA AUXILIAR'!$J$4+SUM('SPT-01'!$O$26:$O56))/2,0)*0.9</f>
        <v>9739.8000000000011</v>
      </c>
      <c r="W32" s="6">
        <f>ROUNDDOWN(('SPT-01'!$M56*'TABELA AUXILIAR'!$J$5+SUM('SPT-01'!$P$26:$P56))/2,0)*0.9</f>
        <v>11546.1</v>
      </c>
      <c r="Y32" s="1">
        <v>27.6</v>
      </c>
      <c r="Z32" s="6">
        <f>ROUNDDOWN(('SPT-01'!$M48*'TABELA AUXILIAR'!$J$3+SUM('SPT-01'!$N$18:$N48))/2,0)*0.9</f>
        <v>7911.9000000000005</v>
      </c>
      <c r="AA32" s="6">
        <f>ROUNDDOWN(('SPT-01'!$M48*'TABELA AUXILIAR'!$J$4+SUM('SPT-01'!$O$18:$O48))/2,0)*0.9</f>
        <v>8694</v>
      </c>
      <c r="AB32" s="6">
        <f>ROUNDDOWN(('SPT-01'!$M48*'TABELA AUXILIAR'!$J$5+SUM('SPT-01'!$P$18:$P48))/2,0)*0.9</f>
        <v>10310.4</v>
      </c>
      <c r="AD32" s="1">
        <v>22.8</v>
      </c>
      <c r="AE32" s="6">
        <f>ROUNDDOWN(('SPT-01'!$M40*'TABELA AUXILIAR'!$J$3+SUM('SPT-01'!$N$10:$N40))/2,0)*0.9</f>
        <v>6423.3</v>
      </c>
      <c r="AF32" s="6">
        <f>ROUNDDOWN(('SPT-01'!$M40*'TABELA AUXILIAR'!$J$4+SUM('SPT-01'!$O$10:$O40))/2,0)*0.9</f>
        <v>7069.5</v>
      </c>
      <c r="AG32" s="6">
        <f>ROUNDDOWN(('SPT-01'!$M40*'TABELA AUXILIAR'!$J$5+SUM('SPT-01'!$P$10:$P40))/2,0)*0.9</f>
        <v>8411.4</v>
      </c>
    </row>
    <row r="33" spans="10:33" x14ac:dyDescent="0.25">
      <c r="J33" s="1">
        <v>39.6</v>
      </c>
      <c r="K33" s="6">
        <f>ROUNDDOWN(('SPT-01'!$M68*'TABELA AUXILIAR'!$J$3+SUM('SPT-01'!$N$37:$N68))/2,0)*0.9</f>
        <v>10145.700000000001</v>
      </c>
      <c r="L33" s="6">
        <f>ROUNDDOWN(('SPT-01'!$M68*'TABELA AUXILIAR'!$J$4+SUM('SPT-01'!$O$37:$O68))/2,0)*0.9</f>
        <v>11144.7</v>
      </c>
      <c r="M33" s="6">
        <f>ROUNDDOWN(('SPT-01'!$M68*'TABELA AUXILIAR'!$J$5+SUM('SPT-01'!$P$37:$P68))/2,0)*0.9</f>
        <v>13205.7</v>
      </c>
      <c r="N33" s="2"/>
      <c r="O33" s="1">
        <v>37.799999999999997</v>
      </c>
      <c r="P33" s="6">
        <f>ROUNDDOWN(('SPT-01'!$M65*'TABELA AUXILIAR'!$J$3+SUM('SPT-01'!$N$34:$N65))/2,0)*0.9</f>
        <v>9978.3000000000011</v>
      </c>
      <c r="Q33" s="6">
        <f>ROUNDDOWN(('SPT-01'!$M65*'TABELA AUXILIAR'!$J$4+SUM('SPT-01'!$O$34:$O65))/2,0)*0.9</f>
        <v>10959.300000000001</v>
      </c>
      <c r="R33" s="6">
        <f>ROUNDDOWN(('SPT-01'!$M65*'TABELA AUXILIAR'!$J$5+SUM('SPT-01'!$P$34:$P65))/2,0)*0.9</f>
        <v>12981.6</v>
      </c>
      <c r="T33" s="1">
        <v>33</v>
      </c>
      <c r="U33" s="6">
        <f>ROUNDDOWN(('SPT-01'!$M57*'TABELA AUXILIAR'!$J$3+SUM('SPT-01'!$N$26:$N57))/2,0)*0.9</f>
        <v>9153.9</v>
      </c>
      <c r="V33" s="6">
        <f>ROUNDDOWN(('SPT-01'!$M57*'TABELA AUXILIAR'!$J$4+SUM('SPT-01'!$O$26:$O57))/2,0)*0.9</f>
        <v>10054.800000000001</v>
      </c>
      <c r="W33" s="6">
        <f>ROUNDDOWN(('SPT-01'!$M57*'TABELA AUXILIAR'!$J$5+SUM('SPT-01'!$P$26:$P57))/2,0)*0.9</f>
        <v>11911.5</v>
      </c>
      <c r="Y33" s="1">
        <v>28.2</v>
      </c>
      <c r="Z33" s="6">
        <f>ROUNDDOWN(('SPT-01'!$M49*'TABELA AUXILIAR'!$J$3+SUM('SPT-01'!$N$18:$N49))/2,0)*0.9</f>
        <v>8172.9000000000005</v>
      </c>
      <c r="AA33" s="6">
        <f>ROUNDDOWN(('SPT-01'!$M49*'TABELA AUXILIAR'!$J$4+SUM('SPT-01'!$O$18:$O49))/2,0)*0.9</f>
        <v>8978.4</v>
      </c>
      <c r="AB33" s="6">
        <f>ROUNDDOWN(('SPT-01'!$M49*'TABELA AUXILIAR'!$J$5+SUM('SPT-01'!$P$18:$P49))/2,0)*0.9</f>
        <v>10642.5</v>
      </c>
      <c r="AD33" s="1">
        <v>23.4</v>
      </c>
      <c r="AE33" s="6">
        <f>ROUNDDOWN(('SPT-01'!$M41*'TABELA AUXILIAR'!$J$3+SUM('SPT-01'!$N$10:$N41))/2,0)*0.9</f>
        <v>6705</v>
      </c>
      <c r="AF33" s="6">
        <f>ROUNDDOWN(('SPT-01'!$M41*'TABELA AUXILIAR'!$J$4+SUM('SPT-01'!$O$10:$O41))/2,0)*0.9</f>
        <v>7376.4000000000005</v>
      </c>
      <c r="AG33" s="6">
        <f>ROUNDDOWN(('SPT-01'!$M41*'TABELA AUXILIAR'!$J$5+SUM('SPT-01'!$P$10:$P41))/2,0)*0.9</f>
        <v>8769.6</v>
      </c>
    </row>
    <row r="34" spans="10:33" x14ac:dyDescent="0.25">
      <c r="J34" s="1">
        <v>40.200000000000003</v>
      </c>
      <c r="K34" s="6">
        <f>ROUNDDOWN(('SPT-01'!$M69*'TABELA AUXILIAR'!$J$3+SUM('SPT-01'!$N$37:$N69))/2,0)*0.9</f>
        <v>10470.6</v>
      </c>
      <c r="L34" s="6">
        <f>ROUNDDOWN(('SPT-01'!$M69*'TABELA AUXILIAR'!$J$4+SUM('SPT-01'!$O$37:$O69))/2,0)*0.9</f>
        <v>11498.4</v>
      </c>
      <c r="M34" s="6">
        <f>ROUNDDOWN(('SPT-01'!$M69*'TABELA AUXILIAR'!$J$5+SUM('SPT-01'!$P$37:$P69))/2,0)*0.9</f>
        <v>13617</v>
      </c>
      <c r="N34" s="2"/>
      <c r="O34" s="1">
        <v>38.4</v>
      </c>
      <c r="P34" s="6">
        <f>ROUNDDOWN(('SPT-01'!$M66*'TABELA AUXILIAR'!$J$3+SUM('SPT-01'!$N$34:$N66))/2,0)*0.9</f>
        <v>9989.1</v>
      </c>
      <c r="Q34" s="6">
        <f>ROUNDDOWN(('SPT-01'!$M66*'TABELA AUXILIAR'!$J$4+SUM('SPT-01'!$O$34:$O66))/2,0)*0.9</f>
        <v>10949.4</v>
      </c>
      <c r="R34" s="6">
        <f>ROUNDDOWN(('SPT-01'!$M66*'TABELA AUXILIAR'!$J$5+SUM('SPT-01'!$P$34:$P66))/2,0)*0.9</f>
        <v>12919.5</v>
      </c>
      <c r="T34" s="1">
        <v>33.6</v>
      </c>
      <c r="U34" s="6">
        <f>ROUNDDOWN(('SPT-01'!$M58*'TABELA AUXILIAR'!$J$3+SUM('SPT-01'!$N$26:$N58))/2,0)*0.9</f>
        <v>9445.5</v>
      </c>
      <c r="V34" s="6">
        <f>ROUNDDOWN(('SPT-01'!$M58*'TABELA AUXILIAR'!$J$4+SUM('SPT-01'!$O$26:$O58))/2,0)*0.9</f>
        <v>10371.6</v>
      </c>
      <c r="W34" s="6">
        <f>ROUNDDOWN(('SPT-01'!$M58*'TABELA AUXILIAR'!$J$5+SUM('SPT-01'!$P$26:$P58))/2,0)*0.9</f>
        <v>12281.4</v>
      </c>
      <c r="Y34" s="1">
        <v>28.8</v>
      </c>
      <c r="Z34" s="6">
        <f>ROUNDDOWN(('SPT-01'!$M50*'TABELA AUXILIAR'!$J$3+SUM('SPT-01'!$N$18:$N50))/2,0)*0.9</f>
        <v>8438.4</v>
      </c>
      <c r="AA34" s="6">
        <f>ROUNDDOWN(('SPT-01'!$M50*'TABELA AUXILIAR'!$J$4+SUM('SPT-01'!$O$18:$O50))/2,0)*0.9</f>
        <v>9268.2000000000007</v>
      </c>
      <c r="AB34" s="6">
        <f>ROUNDDOWN(('SPT-01'!$M50*'TABELA AUXILIAR'!$J$5+SUM('SPT-01'!$P$18:$P50))/2,0)*0.9</f>
        <v>10980.9</v>
      </c>
      <c r="AD34" s="1">
        <v>24</v>
      </c>
      <c r="AE34" s="6">
        <f>ROUNDDOWN(('SPT-01'!$M42*'TABELA AUXILIAR'!$J$3+SUM('SPT-01'!$N$10:$N42))/2,0)*0.9</f>
        <v>6428.7</v>
      </c>
      <c r="AF34" s="6">
        <f>ROUNDDOWN(('SPT-01'!$M42*'TABELA AUXILIAR'!$J$4+SUM('SPT-01'!$O$10:$O42))/2,0)*0.9</f>
        <v>7038</v>
      </c>
      <c r="AG34" s="6">
        <f>ROUNDDOWN(('SPT-01'!$M42*'TABELA AUXILIAR'!$J$5+SUM('SPT-01'!$P$10:$P42))/2,0)*0.9</f>
        <v>8281.8000000000011</v>
      </c>
    </row>
    <row r="35" spans="10:33" x14ac:dyDescent="0.25">
      <c r="J35" s="1">
        <v>40.799999999999997</v>
      </c>
      <c r="K35" s="6">
        <f>ROUNDDOWN(('SPT-01'!$M70*'TABELA AUXILIAR'!$J$3+SUM('SPT-01'!$N$37:$N70))/2,0)*0.9</f>
        <v>10128.6</v>
      </c>
      <c r="L35" s="6">
        <f>ROUNDDOWN(('SPT-01'!$M70*'TABELA AUXILIAR'!$J$4+SUM('SPT-01'!$O$37:$O70))/2,0)*0.9</f>
        <v>11076.300000000001</v>
      </c>
      <c r="M35" s="6">
        <f>ROUNDDOWN(('SPT-01'!$M70*'TABELA AUXILIAR'!$J$5+SUM('SPT-01'!$P$37:$P70))/2,0)*0.9</f>
        <v>13004.1</v>
      </c>
      <c r="N35" s="2"/>
      <c r="O35" s="1">
        <v>39</v>
      </c>
      <c r="P35" s="6">
        <f>ROUNDDOWN(('SPT-01'!$M67*'TABELA AUXILIAR'!$J$3+SUM('SPT-01'!$N$34:$N67))/2,0)*0.9</f>
        <v>10568.7</v>
      </c>
      <c r="Q35" s="6">
        <f>ROUNDDOWN(('SPT-01'!$M67*'TABELA AUXILIAR'!$J$4+SUM('SPT-01'!$O$34:$O67))/2,0)*0.9</f>
        <v>11601.9</v>
      </c>
      <c r="R35" s="6">
        <f>ROUNDDOWN(('SPT-01'!$M67*'TABELA AUXILIAR'!$J$5+SUM('SPT-01'!$P$34:$P67))/2,0)*0.9</f>
        <v>13730.4</v>
      </c>
      <c r="T35" s="1">
        <v>34.200000000000003</v>
      </c>
      <c r="U35" s="6">
        <f>ROUNDDOWN(('SPT-01'!$M59*'TABELA AUXILIAR'!$J$3+SUM('SPT-01'!$N$26:$N59))/2,0)*0.9</f>
        <v>9740.7000000000007</v>
      </c>
      <c r="V35" s="6">
        <f>ROUNDDOWN(('SPT-01'!$M59*'TABELA AUXILIAR'!$J$4+SUM('SPT-01'!$O$26:$O59))/2,0)*0.9</f>
        <v>10692.9</v>
      </c>
      <c r="W35" s="6">
        <f>ROUNDDOWN(('SPT-01'!$M59*'TABELA AUXILIAR'!$J$5+SUM('SPT-01'!$P$26:$P59))/2,0)*0.9</f>
        <v>12655.800000000001</v>
      </c>
      <c r="Y35" s="1">
        <v>29.4</v>
      </c>
      <c r="Z35" s="6">
        <f>ROUNDDOWN(('SPT-01'!$M51*'TABELA AUXILIAR'!$J$3+SUM('SPT-01'!$N$18:$N51))/2,0)*0.9</f>
        <v>8707.5</v>
      </c>
      <c r="AA35" s="6">
        <f>ROUNDDOWN(('SPT-01'!$M51*'TABELA AUXILIAR'!$J$4+SUM('SPT-01'!$O$18:$O51))/2,0)*0.9</f>
        <v>9562.5</v>
      </c>
      <c r="AB35" s="6">
        <f>ROUNDDOWN(('SPT-01'!$M51*'TABELA AUXILIAR'!$J$5+SUM('SPT-01'!$P$18:$P51))/2,0)*0.9</f>
        <v>11322.9</v>
      </c>
      <c r="AD35" s="1">
        <v>24.6</v>
      </c>
      <c r="AE35" s="6">
        <f>ROUNDDOWN(('SPT-01'!$M43*'TABELA AUXILIAR'!$J$3+SUM('SPT-01'!$N$10:$N43))/2,0)*0.9</f>
        <v>7194.6</v>
      </c>
      <c r="AF35" s="6">
        <f>ROUNDDOWN(('SPT-01'!$M43*'TABELA AUXILIAR'!$J$4+SUM('SPT-01'!$O$10:$O43))/2,0)*0.9</f>
        <v>7910.1</v>
      </c>
      <c r="AG35" s="6">
        <f>ROUNDDOWN(('SPT-01'!$M43*'TABELA AUXILIAR'!$J$5+SUM('SPT-01'!$P$10:$P43))/2,0)*0.9</f>
        <v>9390.6</v>
      </c>
    </row>
    <row r="36" spans="10:33" x14ac:dyDescent="0.25">
      <c r="J36" s="1">
        <v>41.4</v>
      </c>
      <c r="K36" s="6">
        <f>ROUNDDOWN(('SPT-01'!$M71*'TABELA AUXILIAR'!$J$3+SUM('SPT-01'!$N$37:$N71))/2,0)*0.9</f>
        <v>10324.800000000001</v>
      </c>
      <c r="L36" s="6">
        <f>ROUNDDOWN(('SPT-01'!$M71*'TABELA AUXILIAR'!$J$4+SUM('SPT-01'!$O$37:$O71))/2,0)*0.9</f>
        <v>11285.1</v>
      </c>
      <c r="M36" s="6">
        <f>ROUNDDOWN(('SPT-01'!$M71*'TABELA AUXILIAR'!$J$5+SUM('SPT-01'!$P$37:$P71))/2,0)*0.9</f>
        <v>13234.5</v>
      </c>
      <c r="N36" s="2"/>
      <c r="O36" s="1">
        <v>39.6</v>
      </c>
      <c r="P36" s="6">
        <f>ROUNDDOWN(('SPT-01'!$M68*'TABELA AUXILIAR'!$J$3+SUM('SPT-01'!$N$34:$N68))/2,0)*0.9</f>
        <v>10890</v>
      </c>
      <c r="Q36" s="6">
        <f>ROUNDDOWN(('SPT-01'!$M68*'TABELA AUXILIAR'!$J$4+SUM('SPT-01'!$O$34:$O68))/2,0)*0.9</f>
        <v>11952</v>
      </c>
      <c r="R36" s="6">
        <f>ROUNDDOWN(('SPT-01'!$M68*'TABELA AUXILIAR'!$J$5+SUM('SPT-01'!$P$34:$P68))/2,0)*0.9</f>
        <v>14137.2</v>
      </c>
      <c r="T36" s="1">
        <v>34.799999999999997</v>
      </c>
      <c r="U36" s="6">
        <f>ROUNDDOWN(('SPT-01'!$M60*'TABELA AUXILIAR'!$J$3+SUM('SPT-01'!$N$26:$N60))/2,0)*0.9</f>
        <v>10037.700000000001</v>
      </c>
      <c r="V36" s="6">
        <f>ROUNDDOWN(('SPT-01'!$M60*'TABELA AUXILIAR'!$J$4+SUM('SPT-01'!$O$26:$O60))/2,0)*0.9</f>
        <v>11016.9</v>
      </c>
      <c r="W36" s="6">
        <f>ROUNDDOWN(('SPT-01'!$M60*'TABELA AUXILIAR'!$J$5+SUM('SPT-01'!$P$26:$P60))/2,0)*0.9</f>
        <v>13032.9</v>
      </c>
      <c r="Y36" s="1">
        <v>30</v>
      </c>
      <c r="Z36" s="6">
        <f>ROUNDDOWN(('SPT-01'!$M52*'TABELA AUXILIAR'!$J$3+SUM('SPT-01'!$N$18:$N52))/2,0)*0.9</f>
        <v>8980.2000000000007</v>
      </c>
      <c r="AA36" s="6">
        <f>ROUNDDOWN(('SPT-01'!$M52*'TABELA AUXILIAR'!$J$4+SUM('SPT-01'!$O$18:$O52))/2,0)*0.9</f>
        <v>9859.5</v>
      </c>
      <c r="AB36" s="6">
        <f>ROUNDDOWN(('SPT-01'!$M52*'TABELA AUXILIAR'!$J$5+SUM('SPT-01'!$P$18:$P52))/2,0)*0.9</f>
        <v>11669.4</v>
      </c>
      <c r="AD36" s="1">
        <v>25.2</v>
      </c>
      <c r="AE36" s="6">
        <f>ROUNDDOWN(('SPT-01'!$M44*'TABELA AUXILIAR'!$J$3+SUM('SPT-01'!$N$10:$N44))/2,0)*0.9</f>
        <v>7485.3</v>
      </c>
      <c r="AF36" s="6">
        <f>ROUNDDOWN(('SPT-01'!$M44*'TABELA AUXILIAR'!$J$4+SUM('SPT-01'!$O$10:$O44))/2,0)*0.9</f>
        <v>8226.9</v>
      </c>
      <c r="AG36" s="6">
        <f>ROUNDDOWN(('SPT-01'!$M44*'TABELA AUXILIAR'!$J$5+SUM('SPT-01'!$P$10:$P44))/2,0)*0.9</f>
        <v>9759.6</v>
      </c>
    </row>
    <row r="37" spans="10:33" x14ac:dyDescent="0.25">
      <c r="J37" s="1">
        <v>42</v>
      </c>
      <c r="K37" s="6">
        <f>ROUNDDOWN(('SPT-01'!$M72*'TABELA AUXILIAR'!$J$3+SUM('SPT-01'!$N$37:$N72))/2,0)*0.9</f>
        <v>11382.300000000001</v>
      </c>
      <c r="L37" s="6">
        <f>ROUNDDOWN(('SPT-01'!$M72*'TABELA AUXILIAR'!$J$4+SUM('SPT-01'!$O$37:$O72))/2,0)*0.9</f>
        <v>12490.2</v>
      </c>
      <c r="M37" s="6">
        <f>ROUNDDOWN(('SPT-01'!$M72*'TABELA AUXILIAR'!$J$5+SUM('SPT-01'!$P$37:$P72))/2,0)*0.9</f>
        <v>14769.9</v>
      </c>
      <c r="N37" s="2"/>
      <c r="O37" s="1">
        <v>40.200000000000003</v>
      </c>
      <c r="P37" s="6">
        <f>ROUNDDOWN(('SPT-01'!$M69*'TABELA AUXILIAR'!$J$3+SUM('SPT-01'!$N$34:$N69))/2,0)*0.9</f>
        <v>11214.9</v>
      </c>
      <c r="Q37" s="6">
        <f>ROUNDDOWN(('SPT-01'!$M69*'TABELA AUXILIAR'!$J$4+SUM('SPT-01'!$O$34:$O69))/2,0)*0.9</f>
        <v>12305.7</v>
      </c>
      <c r="R37" s="6">
        <f>ROUNDDOWN(('SPT-01'!$M69*'TABELA AUXILIAR'!$J$5+SUM('SPT-01'!$P$34:$P69))/2,0)*0.9</f>
        <v>14548.5</v>
      </c>
      <c r="T37" s="1">
        <v>35.4</v>
      </c>
      <c r="U37" s="6">
        <f>ROUNDDOWN(('SPT-01'!$M61*'TABELA AUXILIAR'!$J$3+SUM('SPT-01'!$N$26:$N61))/2,0)*0.9</f>
        <v>10338.300000000001</v>
      </c>
      <c r="V37" s="6">
        <f>ROUNDDOWN(('SPT-01'!$M61*'TABELA AUXILIAR'!$J$4+SUM('SPT-01'!$O$26:$O61))/2,0)*0.9</f>
        <v>11344.5</v>
      </c>
      <c r="W37" s="6">
        <f>ROUNDDOWN(('SPT-01'!$M61*'TABELA AUXILIAR'!$J$5+SUM('SPT-01'!$P$26:$P61))/2,0)*0.9</f>
        <v>13414.5</v>
      </c>
      <c r="Y37" s="1">
        <v>30.6</v>
      </c>
      <c r="Z37" s="6">
        <f>ROUNDDOWN(('SPT-01'!$M53*'TABELA AUXILIAR'!$J$3+SUM('SPT-01'!$N$18:$N53))/2,0)*0.9</f>
        <v>9256.5</v>
      </c>
      <c r="AA37" s="6">
        <f>ROUNDDOWN(('SPT-01'!$M53*'TABELA AUXILIAR'!$J$4+SUM('SPT-01'!$O$18:$O53))/2,0)*0.9</f>
        <v>10160.1</v>
      </c>
      <c r="AB37" s="6">
        <f>ROUNDDOWN(('SPT-01'!$M53*'TABELA AUXILIAR'!$J$5+SUM('SPT-01'!$P$18:$P53))/2,0)*0.9</f>
        <v>12019.5</v>
      </c>
      <c r="AD37" s="1">
        <v>25.8</v>
      </c>
      <c r="AE37" s="6">
        <f>ROUNDDOWN(('SPT-01'!$M45*'TABELA AUXILIAR'!$J$3+SUM('SPT-01'!$N$10:$N45))/2,0)*0.9</f>
        <v>7778.7</v>
      </c>
      <c r="AF37" s="6">
        <f>ROUNDDOWN(('SPT-01'!$M45*'TABELA AUXILIAR'!$J$4+SUM('SPT-01'!$O$10:$O45))/2,0)*0.9</f>
        <v>8546.4</v>
      </c>
      <c r="AG37" s="6">
        <f>ROUNDDOWN(('SPT-01'!$M45*'TABELA AUXILIAR'!$J$5+SUM('SPT-01'!$P$10:$P45))/2,0)*0.9</f>
        <v>10132.200000000001</v>
      </c>
    </row>
    <row r="38" spans="10:33" x14ac:dyDescent="0.25">
      <c r="J38" s="1">
        <v>42.6</v>
      </c>
      <c r="K38" s="6">
        <f>ROUNDDOWN(('SPT-01'!$M73*'TABELA AUXILIAR'!$J$3+SUM('SPT-01'!$N$37:$N73))/2,0)*0.9</f>
        <v>11763.9</v>
      </c>
      <c r="L38" s="6">
        <f>ROUNDDOWN(('SPT-01'!$M73*'TABELA AUXILIAR'!$J$4+SUM('SPT-01'!$O$37:$O73))/2,0)*0.9</f>
        <v>12905.1</v>
      </c>
      <c r="M38" s="6">
        <f>ROUNDDOWN(('SPT-01'!$M73*'TABELA AUXILIAR'!$J$5+SUM('SPT-01'!$P$37:$P73))/2,0)*0.9</f>
        <v>15251.4</v>
      </c>
      <c r="N38" s="2"/>
      <c r="O38" s="1">
        <v>40.799999999999997</v>
      </c>
      <c r="P38" s="6">
        <f>ROUNDDOWN(('SPT-01'!$M70*'TABELA AUXILIAR'!$J$3+SUM('SPT-01'!$N$34:$N70))/2,0)*0.9</f>
        <v>10872.9</v>
      </c>
      <c r="Q38" s="6">
        <f>ROUNDDOWN(('SPT-01'!$M70*'TABELA AUXILIAR'!$J$4+SUM('SPT-01'!$O$34:$O70))/2,0)*0.9</f>
        <v>11884.5</v>
      </c>
      <c r="R38" s="6">
        <f>ROUNDDOWN(('SPT-01'!$M70*'TABELA AUXILIAR'!$J$5+SUM('SPT-01'!$P$34:$P70))/2,0)*0.9</f>
        <v>13936.5</v>
      </c>
      <c r="T38" s="1">
        <v>36</v>
      </c>
      <c r="U38" s="6">
        <f>ROUNDDOWN(('SPT-01'!$M62*'TABELA AUXILIAR'!$J$3+SUM('SPT-01'!$N$26:$N62))/2,0)*0.9</f>
        <v>10642.5</v>
      </c>
      <c r="V38" s="6">
        <f>ROUNDDOWN(('SPT-01'!$M62*'TABELA AUXILIAR'!$J$4+SUM('SPT-01'!$O$26:$O62))/2,0)*0.9</f>
        <v>11675.7</v>
      </c>
      <c r="W38" s="6">
        <f>ROUNDDOWN(('SPT-01'!$M62*'TABELA AUXILIAR'!$J$5+SUM('SPT-01'!$P$26:$P62))/2,0)*0.9</f>
        <v>13799.7</v>
      </c>
      <c r="Y38" s="1">
        <v>31.2</v>
      </c>
      <c r="Z38" s="6">
        <f>ROUNDDOWN(('SPT-01'!$M54*'TABELA AUXILIAR'!$J$3+SUM('SPT-01'!$N$18:$N54))/2,0)*0.9</f>
        <v>8802.9</v>
      </c>
      <c r="AA38" s="6">
        <f>ROUNDDOWN(('SPT-01'!$M54*'TABELA AUXILIAR'!$J$4+SUM('SPT-01'!$O$18:$O54))/2,0)*0.9</f>
        <v>9616.5</v>
      </c>
      <c r="AB38" s="6">
        <f>ROUNDDOWN(('SPT-01'!$M54*'TABELA AUXILIAR'!$J$5+SUM('SPT-01'!$P$18:$P54))/2,0)*0.9</f>
        <v>11266.2</v>
      </c>
      <c r="AD38" s="1">
        <v>26.4</v>
      </c>
      <c r="AE38" s="6">
        <f>ROUNDDOWN(('SPT-01'!$M46*'TABELA AUXILIAR'!$J$3+SUM('SPT-01'!$N$10:$N46))/2,0)*0.9</f>
        <v>7879.5</v>
      </c>
      <c r="AF38" s="6">
        <f>ROUNDDOWN(('SPT-01'!$M46*'TABELA AUXILIAR'!$J$4+SUM('SPT-01'!$O$10:$O46))/2,0)*0.9</f>
        <v>8643.6</v>
      </c>
      <c r="AG38" s="6">
        <f>ROUNDDOWN(('SPT-01'!$M46*'TABELA AUXILIAR'!$J$5+SUM('SPT-01'!$P$10:$P46))/2,0)*0.9</f>
        <v>10211.4</v>
      </c>
    </row>
    <row r="39" spans="10:33" x14ac:dyDescent="0.25">
      <c r="J39" s="1">
        <v>43.2</v>
      </c>
      <c r="K39" s="6">
        <f>ROUNDDOWN(('SPT-01'!$M74*'TABELA AUXILIAR'!$J$3+SUM('SPT-01'!$N$37:$N74))/2,0)*0.9</f>
        <v>11301.300000000001</v>
      </c>
      <c r="L39" s="6">
        <f>ROUNDDOWN(('SPT-01'!$M74*'TABELA AUXILIAR'!$J$4+SUM('SPT-01'!$O$37:$O74))/2,0)*0.9</f>
        <v>12343.5</v>
      </c>
      <c r="M39" s="6">
        <f>ROUNDDOWN(('SPT-01'!$M74*'TABELA AUXILIAR'!$J$5+SUM('SPT-01'!$P$37:$P74))/2,0)*0.9</f>
        <v>14454</v>
      </c>
      <c r="N39" s="2"/>
      <c r="O39" s="1">
        <v>41.4</v>
      </c>
      <c r="P39" s="6">
        <f>ROUNDDOWN(('SPT-01'!$M71*'TABELA AUXILIAR'!$J$3+SUM('SPT-01'!$N$34:$N71))/2,0)*0.9</f>
        <v>11069.1</v>
      </c>
      <c r="Q39" s="6">
        <f>ROUNDDOWN(('SPT-01'!$M71*'TABELA AUXILIAR'!$J$4+SUM('SPT-01'!$O$34:$O71))/2,0)*0.9</f>
        <v>12093.300000000001</v>
      </c>
      <c r="R39" s="6">
        <f>ROUNDDOWN(('SPT-01'!$M71*'TABELA AUXILIAR'!$J$5+SUM('SPT-01'!$P$34:$P71))/2,0)*0.9</f>
        <v>14166.9</v>
      </c>
      <c r="T39" s="1">
        <v>36.6</v>
      </c>
      <c r="U39" s="6">
        <f>ROUNDDOWN(('SPT-01'!$M63*'TABELA AUXILIAR'!$J$3+SUM('SPT-01'!$N$26:$N63))/2,0)*0.9</f>
        <v>10949.4</v>
      </c>
      <c r="V39" s="6">
        <f>ROUNDDOWN(('SPT-01'!$M63*'TABELA AUXILIAR'!$J$4+SUM('SPT-01'!$O$26:$O63))/2,0)*0.9</f>
        <v>12009.6</v>
      </c>
      <c r="W39" s="6">
        <f>ROUNDDOWN(('SPT-01'!$M63*'TABELA AUXILIAR'!$J$5+SUM('SPT-01'!$P$26:$P63))/2,0)*0.9</f>
        <v>14188.5</v>
      </c>
      <c r="Y39" s="1">
        <v>31.8</v>
      </c>
      <c r="Z39" s="6">
        <f>ROUNDDOWN(('SPT-01'!$M55*'TABELA AUXILIAR'!$J$3+SUM('SPT-01'!$N$18:$N55))/2,0)*0.9</f>
        <v>9711</v>
      </c>
      <c r="AA39" s="6">
        <f>ROUNDDOWN(('SPT-01'!$M55*'TABELA AUXILIAR'!$J$4+SUM('SPT-01'!$O$18:$O55))/2,0)*0.9</f>
        <v>10656</v>
      </c>
      <c r="AB39" s="6">
        <f>ROUNDDOWN(('SPT-01'!$M55*'TABELA AUXILIAR'!$J$5+SUM('SPT-01'!$P$18:$P55))/2,0)*0.9</f>
        <v>12600</v>
      </c>
      <c r="AD39" s="1">
        <v>27</v>
      </c>
      <c r="AE39" s="6">
        <f>ROUNDDOWN(('SPT-01'!$M47*'TABELA AUXILIAR'!$J$3+SUM('SPT-01'!$N$10:$N47))/2,0)*0.9</f>
        <v>8346.6</v>
      </c>
      <c r="AF39" s="6">
        <f>ROUNDDOWN(('SPT-01'!$M47*'TABELA AUXILIAR'!$J$4+SUM('SPT-01'!$O$10:$O47))/2,0)*0.9</f>
        <v>9164.7000000000007</v>
      </c>
      <c r="AG39" s="6">
        <f>ROUNDDOWN(('SPT-01'!$M47*'TABELA AUXILIAR'!$J$5+SUM('SPT-01'!$P$10:$P47))/2,0)*0.9</f>
        <v>10852.2</v>
      </c>
    </row>
    <row r="40" spans="10:33" x14ac:dyDescent="0.25">
      <c r="J40" s="1">
        <v>43.8</v>
      </c>
      <c r="K40" s="6">
        <f>ROUNDDOWN(('SPT-01'!$M75*'TABELA AUXILIAR'!$J$3+SUM('SPT-01'!$N$37:$N75))/2,0)*0.9</f>
        <v>11668.5</v>
      </c>
      <c r="L40" s="6">
        <f>ROUNDDOWN(('SPT-01'!$M75*'TABELA AUXILIAR'!$J$4+SUM('SPT-01'!$O$37:$O75))/2,0)*0.9</f>
        <v>12750.300000000001</v>
      </c>
      <c r="M40" s="6">
        <f>ROUNDDOWN(('SPT-01'!$M75*'TABELA AUXILIAR'!$J$5+SUM('SPT-01'!$P$37:$P75))/2,0)*0.9</f>
        <v>14944.5</v>
      </c>
      <c r="N40" s="2"/>
      <c r="O40" s="1">
        <v>42</v>
      </c>
      <c r="P40" s="6">
        <f>ROUNDDOWN(('SPT-01'!$M72*'TABELA AUXILIAR'!$J$3+SUM('SPT-01'!$N$34:$N72))/2,0)*0.9</f>
        <v>12126.6</v>
      </c>
      <c r="Q40" s="6">
        <f>ROUNDDOWN(('SPT-01'!$M72*'TABELA AUXILIAR'!$J$4+SUM('SPT-01'!$O$34:$O72))/2,0)*0.9</f>
        <v>13298.4</v>
      </c>
      <c r="R40" s="6">
        <f>ROUNDDOWN(('SPT-01'!$M72*'TABELA AUXILIAR'!$J$5+SUM('SPT-01'!$P$34:$P72))/2,0)*0.9</f>
        <v>15702.300000000001</v>
      </c>
      <c r="T40" s="1">
        <v>37.200000000000003</v>
      </c>
      <c r="U40" s="6">
        <f>ROUNDDOWN(('SPT-01'!$M64*'TABELA AUXILIAR'!$J$3+SUM('SPT-01'!$N$26:$N64))/2,0)*0.9</f>
        <v>11259</v>
      </c>
      <c r="V40" s="6">
        <f>ROUNDDOWN(('SPT-01'!$M64*'TABELA AUXILIAR'!$J$4+SUM('SPT-01'!$O$26:$O64))/2,0)*0.9</f>
        <v>12347.1</v>
      </c>
      <c r="W40" s="6">
        <f>ROUNDDOWN(('SPT-01'!$M64*'TABELA AUXILIAR'!$J$5+SUM('SPT-01'!$P$26:$P64))/2,0)*0.9</f>
        <v>14581.800000000001</v>
      </c>
      <c r="Y40" s="1">
        <v>32.4</v>
      </c>
      <c r="Z40" s="6">
        <f>ROUNDDOWN(('SPT-01'!$M56*'TABELA AUXILIAR'!$J$3+SUM('SPT-01'!$N$18:$N56))/2,0)*0.9</f>
        <v>9996.3000000000011</v>
      </c>
      <c r="AA40" s="6">
        <f>ROUNDDOWN(('SPT-01'!$M56*'TABELA AUXILIAR'!$J$4+SUM('SPT-01'!$O$18:$O56))/2,0)*0.9</f>
        <v>10966.5</v>
      </c>
      <c r="AB40" s="6">
        <f>ROUNDDOWN(('SPT-01'!$M56*'TABELA AUXILIAR'!$J$5+SUM('SPT-01'!$P$18:$P56))/2,0)*0.9</f>
        <v>12961.800000000001</v>
      </c>
      <c r="AD40" s="1">
        <v>27.6</v>
      </c>
      <c r="AE40" s="6">
        <f>ROUNDDOWN(('SPT-01'!$M48*'TABELA AUXILIAR'!$J$3+SUM('SPT-01'!$N$10:$N48))/2,0)*0.9</f>
        <v>8649</v>
      </c>
      <c r="AF40" s="6">
        <f>ROUNDDOWN(('SPT-01'!$M48*'TABELA AUXILIAR'!$J$4+SUM('SPT-01'!$O$10:$O48))/2,0)*0.9</f>
        <v>9494.1</v>
      </c>
      <c r="AG40" s="6">
        <f>ROUNDDOWN(('SPT-01'!$M48*'TABELA AUXILIAR'!$J$5+SUM('SPT-01'!$P$10:$P48))/2,0)*0.9</f>
        <v>11234.7</v>
      </c>
    </row>
    <row r="41" spans="10:33" x14ac:dyDescent="0.25">
      <c r="J41" s="1">
        <v>44.4</v>
      </c>
      <c r="K41" s="6">
        <f>ROUNDDOWN(('SPT-01'!$M76*'TABELA AUXILIAR'!$J$3+SUM('SPT-01'!$N$37:$N76))/2,0)*0.9</f>
        <v>11907.9</v>
      </c>
      <c r="L41" s="6">
        <f>ROUNDDOWN(('SPT-01'!$M76*'TABELA AUXILIAR'!$J$4+SUM('SPT-01'!$O$37:$O76))/2,0)*0.9</f>
        <v>13008.6</v>
      </c>
      <c r="M41" s="6">
        <f>ROUNDDOWN(('SPT-01'!$M76*'TABELA AUXILIAR'!$J$5+SUM('SPT-01'!$P$37:$P76))/2,0)*0.9</f>
        <v>15237.9</v>
      </c>
      <c r="N41" s="2"/>
      <c r="O41" s="1">
        <v>42.6</v>
      </c>
      <c r="P41" s="6">
        <f>ROUNDDOWN(('SPT-01'!$M73*'TABELA AUXILIAR'!$J$3+SUM('SPT-01'!$N$34:$N73))/2,0)*0.9</f>
        <v>12508.2</v>
      </c>
      <c r="Q41" s="6">
        <f>ROUNDDOWN(('SPT-01'!$M73*'TABELA AUXILIAR'!$J$4+SUM('SPT-01'!$O$34:$O73))/2,0)*0.9</f>
        <v>13713.300000000001</v>
      </c>
      <c r="R41" s="6">
        <f>ROUNDDOWN(('SPT-01'!$M73*'TABELA AUXILIAR'!$J$5+SUM('SPT-01'!$P$34:$P73))/2,0)*0.9</f>
        <v>16183.800000000001</v>
      </c>
      <c r="T41" s="1">
        <v>37.799999999999997</v>
      </c>
      <c r="U41" s="6">
        <f>ROUNDDOWN(('SPT-01'!$M65*'TABELA AUXILIAR'!$J$3+SUM('SPT-01'!$N$26:$N65))/2,0)*0.9</f>
        <v>11572.2</v>
      </c>
      <c r="V41" s="6">
        <f>ROUNDDOWN(('SPT-01'!$M65*'TABELA AUXILIAR'!$J$4+SUM('SPT-01'!$O$26:$O65))/2,0)*0.9</f>
        <v>12688.2</v>
      </c>
      <c r="W41" s="6">
        <f>ROUNDDOWN(('SPT-01'!$M65*'TABELA AUXILIAR'!$J$5+SUM('SPT-01'!$P$26:$P65))/2,0)*0.9</f>
        <v>14977.800000000001</v>
      </c>
      <c r="Y41" s="1">
        <v>33</v>
      </c>
      <c r="Z41" s="6">
        <f>ROUNDDOWN(('SPT-01'!$M57*'TABELA AUXILIAR'!$J$3+SUM('SPT-01'!$N$18:$N57))/2,0)*0.9</f>
        <v>10284.300000000001</v>
      </c>
      <c r="AA41" s="6">
        <f>ROUNDDOWN(('SPT-01'!$M57*'TABELA AUXILIAR'!$J$4+SUM('SPT-01'!$O$18:$O57))/2,0)*0.9</f>
        <v>11280.6</v>
      </c>
      <c r="AB41" s="6">
        <f>ROUNDDOWN(('SPT-01'!$M57*'TABELA AUXILIAR'!$J$5+SUM('SPT-01'!$P$18:$P57))/2,0)*0.9</f>
        <v>13328.1</v>
      </c>
      <c r="AD41" s="1">
        <v>28.2</v>
      </c>
      <c r="AE41" s="6">
        <f>ROUNDDOWN(('SPT-01'!$M49*'TABELA AUXILIAR'!$J$3+SUM('SPT-01'!$N$10:$N49))/2,0)*0.9</f>
        <v>8910.9</v>
      </c>
      <c r="AF41" s="6">
        <f>ROUNDDOWN(('SPT-01'!$M49*'TABELA AUXILIAR'!$J$4+SUM('SPT-01'!$O$10:$O49))/2,0)*0.9</f>
        <v>9779.4</v>
      </c>
      <c r="AG41" s="6">
        <f>ROUNDDOWN(('SPT-01'!$M49*'TABELA AUXILIAR'!$J$5+SUM('SPT-01'!$P$10:$P49))/2,0)*0.9</f>
        <v>11566.800000000001</v>
      </c>
    </row>
    <row r="42" spans="10:33" x14ac:dyDescent="0.25">
      <c r="J42" s="1">
        <v>45</v>
      </c>
      <c r="K42" s="6">
        <f>ROUNDDOWN(('SPT-01'!$M77*'TABELA AUXILIAR'!$J$3+SUM('SPT-01'!$N$37:$N77))/2,0)*0.9</f>
        <v>12180.6</v>
      </c>
      <c r="L42" s="6">
        <f>ROUNDDOWN(('SPT-01'!$M77*'TABELA AUXILIAR'!$J$4+SUM('SPT-01'!$O$37:$O77))/2,0)*0.9</f>
        <v>13305.6</v>
      </c>
      <c r="M42" s="6">
        <f>ROUNDDOWN(('SPT-01'!$M77*'TABELA AUXILIAR'!$J$5+SUM('SPT-01'!$P$37:$P77))/2,0)*0.9</f>
        <v>15581.7</v>
      </c>
      <c r="N42" s="2"/>
      <c r="O42" s="1">
        <v>43.2</v>
      </c>
      <c r="P42" s="6">
        <f>ROUNDDOWN(('SPT-01'!$M74*'TABELA AUXILIAR'!$J$3+SUM('SPT-01'!$N$34:$N74))/2,0)*0.9</f>
        <v>12044.7</v>
      </c>
      <c r="Q42" s="6">
        <f>ROUNDDOWN(('SPT-01'!$M74*'TABELA AUXILIAR'!$J$4+SUM('SPT-01'!$O$34:$O74))/2,0)*0.9</f>
        <v>13151.7</v>
      </c>
      <c r="R42" s="6">
        <f>ROUNDDOWN(('SPT-01'!$M74*'TABELA AUXILIAR'!$J$5+SUM('SPT-01'!$P$34:$P74))/2,0)*0.9</f>
        <v>15386.4</v>
      </c>
      <c r="T42" s="1">
        <v>38.4</v>
      </c>
      <c r="U42" s="6">
        <f>ROUNDDOWN(('SPT-01'!$M66*'TABELA AUXILIAR'!$J$3+SUM('SPT-01'!$N$26:$N66))/2,0)*0.9</f>
        <v>11582.1</v>
      </c>
      <c r="V42" s="6">
        <f>ROUNDDOWN(('SPT-01'!$M66*'TABELA AUXILIAR'!$J$4+SUM('SPT-01'!$O$26:$O66))/2,0)*0.9</f>
        <v>12678.300000000001</v>
      </c>
      <c r="W42" s="6">
        <f>ROUNDDOWN(('SPT-01'!$M66*'TABELA AUXILIAR'!$J$5+SUM('SPT-01'!$P$26:$P66))/2,0)*0.9</f>
        <v>14915.7</v>
      </c>
      <c r="Y42" s="1">
        <v>33.6</v>
      </c>
      <c r="Z42" s="6">
        <f>ROUNDDOWN(('SPT-01'!$M58*'TABELA AUXILIAR'!$J$3+SUM('SPT-01'!$N$18:$N58))/2,0)*0.9</f>
        <v>10575.9</v>
      </c>
      <c r="AA42" s="6">
        <f>ROUNDDOWN(('SPT-01'!$M58*'TABELA AUXILIAR'!$J$4+SUM('SPT-01'!$O$18:$O58))/2,0)*0.9</f>
        <v>11598.300000000001</v>
      </c>
      <c r="AB42" s="6">
        <f>ROUNDDOWN(('SPT-01'!$M58*'TABELA AUXILIAR'!$J$5+SUM('SPT-01'!$P$18:$P58))/2,0)*0.9</f>
        <v>13698</v>
      </c>
      <c r="AD42" s="1">
        <v>28.8</v>
      </c>
      <c r="AE42" s="6">
        <f>ROUNDDOWN(('SPT-01'!$M50*'TABELA AUXILIAR'!$J$3+SUM('SPT-01'!$N$10:$N50))/2,0)*0.9</f>
        <v>9176.4</v>
      </c>
      <c r="AF42" s="6">
        <f>ROUNDDOWN(('SPT-01'!$M50*'TABELA AUXILIAR'!$J$4+SUM('SPT-01'!$O$10:$O50))/2,0)*0.9</f>
        <v>10069.200000000001</v>
      </c>
      <c r="AG42" s="6">
        <f>ROUNDDOWN(('SPT-01'!$M50*'TABELA AUXILIAR'!$J$5+SUM('SPT-01'!$P$10:$P50))/2,0)*0.9</f>
        <v>11905.2</v>
      </c>
    </row>
    <row r="43" spans="10:33" x14ac:dyDescent="0.25">
      <c r="J43" s="1">
        <v>45.6</v>
      </c>
      <c r="K43" s="6">
        <f>ROUNDDOWN(('SPT-01'!$M78*'TABELA AUXILIAR'!$J$3+SUM('SPT-01'!$N$37:$N78))/2,0)*0.9</f>
        <v>12455.1</v>
      </c>
      <c r="L43" s="6">
        <f>ROUNDDOWN(('SPT-01'!$M78*'TABELA AUXILIAR'!$J$4+SUM('SPT-01'!$O$37:$O78))/2,0)*0.9</f>
        <v>13603.5</v>
      </c>
      <c r="M43" s="6">
        <f>ROUNDDOWN(('SPT-01'!$M78*'TABELA AUXILIAR'!$J$5+SUM('SPT-01'!$P$37:$P78))/2,0)*0.9</f>
        <v>15927.300000000001</v>
      </c>
      <c r="N43" s="2"/>
      <c r="O43" s="1">
        <v>43.8</v>
      </c>
      <c r="P43" s="6">
        <f>ROUNDDOWN(('SPT-01'!$M75*'TABELA AUXILIAR'!$J$3+SUM('SPT-01'!$N$34:$N75))/2,0)*0.9</f>
        <v>12412.800000000001</v>
      </c>
      <c r="Q43" s="6">
        <f>ROUNDDOWN(('SPT-01'!$M75*'TABELA AUXILIAR'!$J$4+SUM('SPT-01'!$O$34:$O75))/2,0)*0.9</f>
        <v>13558.5</v>
      </c>
      <c r="R43" s="6">
        <f>ROUNDDOWN(('SPT-01'!$M75*'TABELA AUXILIAR'!$J$5+SUM('SPT-01'!$P$34:$P75))/2,0)*0.9</f>
        <v>15876.9</v>
      </c>
      <c r="T43" s="1">
        <v>39</v>
      </c>
      <c r="U43" s="6">
        <f>ROUNDDOWN(('SPT-01'!$M67*'TABELA AUXILIAR'!$J$3+SUM('SPT-01'!$N$26:$N67))/2,0)*0.9</f>
        <v>12161.7</v>
      </c>
      <c r="V43" s="6">
        <f>ROUNDDOWN(('SPT-01'!$M67*'TABELA AUXILIAR'!$J$4+SUM('SPT-01'!$O$26:$O67))/2,0)*0.9</f>
        <v>13330.800000000001</v>
      </c>
      <c r="W43" s="6">
        <f>ROUNDDOWN(('SPT-01'!$M67*'TABELA AUXILIAR'!$J$5+SUM('SPT-01'!$P$26:$P67))/2,0)*0.9</f>
        <v>15725.7</v>
      </c>
      <c r="Y43" s="1">
        <v>34.200000000000003</v>
      </c>
      <c r="Z43" s="6">
        <f>ROUNDDOWN(('SPT-01'!$M59*'TABELA AUXILIAR'!$J$3+SUM('SPT-01'!$N$18:$N59))/2,0)*0.9</f>
        <v>10870.2</v>
      </c>
      <c r="AA43" s="6">
        <f>ROUNDDOWN(('SPT-01'!$M59*'TABELA AUXILIAR'!$J$4+SUM('SPT-01'!$O$18:$O59))/2,0)*0.9</f>
        <v>11919.6</v>
      </c>
      <c r="AB43" s="6">
        <f>ROUNDDOWN(('SPT-01'!$M59*'TABELA AUXILIAR'!$J$5+SUM('SPT-01'!$P$18:$P59))/2,0)*0.9</f>
        <v>14071.5</v>
      </c>
      <c r="AD43" s="1">
        <v>29.4</v>
      </c>
      <c r="AE43" s="6">
        <f>ROUNDDOWN(('SPT-01'!$M51*'TABELA AUXILIAR'!$J$3+SUM('SPT-01'!$N$10:$N51))/2,0)*0.9</f>
        <v>9445.5</v>
      </c>
      <c r="AF43" s="6">
        <f>ROUNDDOWN(('SPT-01'!$M51*'TABELA AUXILIAR'!$J$4+SUM('SPT-01'!$O$10:$O51))/2,0)*0.9</f>
        <v>10362.6</v>
      </c>
      <c r="AG43" s="6">
        <f>ROUNDDOWN(('SPT-01'!$M51*'TABELA AUXILIAR'!$J$5+SUM('SPT-01'!$P$10:$P51))/2,0)*0.9</f>
        <v>12247.2</v>
      </c>
    </row>
    <row r="44" spans="10:33" x14ac:dyDescent="0.25">
      <c r="J44" s="1">
        <v>46.2</v>
      </c>
      <c r="K44" s="6">
        <f>ROUNDDOWN(('SPT-01'!$M79*'TABELA AUXILIAR'!$J$3+SUM('SPT-01'!$N$37:$N79))/2,0)*0.9</f>
        <v>12730.5</v>
      </c>
      <c r="L44" s="6">
        <f>ROUNDDOWN(('SPT-01'!$M79*'TABELA AUXILIAR'!$J$4+SUM('SPT-01'!$O$37:$O79))/2,0)*0.9</f>
        <v>13903.2</v>
      </c>
      <c r="M44" s="6">
        <f>ROUNDDOWN(('SPT-01'!$M79*'TABELA AUXILIAR'!$J$5+SUM('SPT-01'!$P$37:$P79))/2,0)*0.9</f>
        <v>16274.7</v>
      </c>
      <c r="N44" s="2"/>
      <c r="O44" s="8">
        <v>44.4</v>
      </c>
      <c r="P44" s="6">
        <f>ROUNDDOWN(('SPT-01'!$M76*'TABELA AUXILIAR'!$J$3+SUM('SPT-01'!$N$34:$N76))/2,0)*0.9</f>
        <v>12652.2</v>
      </c>
      <c r="Q44" s="6">
        <f>ROUNDDOWN(('SPT-01'!$M76*'TABELA AUXILIAR'!$J$4+SUM('SPT-01'!$O$34:$O76))/2,0)*0.9</f>
        <v>13816.800000000001</v>
      </c>
      <c r="R44" s="6">
        <f>ROUNDDOWN(('SPT-01'!$M76*'TABELA AUXILIAR'!$J$5+SUM('SPT-01'!$P$34:$P76))/2,0)*0.9</f>
        <v>16170.300000000001</v>
      </c>
      <c r="T44" s="1">
        <v>39.6</v>
      </c>
      <c r="U44" s="6">
        <f>ROUNDDOWN(('SPT-01'!$M68*'TABELA AUXILIAR'!$J$3+SUM('SPT-01'!$N$26:$N68))/2,0)*0.9</f>
        <v>12483.9</v>
      </c>
      <c r="V44" s="6">
        <f>ROUNDDOWN(('SPT-01'!$M68*'TABELA AUXILIAR'!$J$4+SUM('SPT-01'!$O$26:$O68))/2,0)*0.9</f>
        <v>13680.9</v>
      </c>
      <c r="W44" s="6">
        <f>ROUNDDOWN(('SPT-01'!$M68*'TABELA AUXILIAR'!$J$5+SUM('SPT-01'!$P$26:$P68))/2,0)*0.9</f>
        <v>16133.4</v>
      </c>
      <c r="Y44" s="1">
        <v>34.799999999999997</v>
      </c>
      <c r="Z44" s="6">
        <f>ROUNDDOWN(('SPT-01'!$M60*'TABELA AUXILIAR'!$J$3+SUM('SPT-01'!$N$18:$N60))/2,0)*0.9</f>
        <v>11168.1</v>
      </c>
      <c r="AA44" s="6">
        <f>ROUNDDOWN(('SPT-01'!$M60*'TABELA AUXILIAR'!$J$4+SUM('SPT-01'!$O$18:$O60))/2,0)*0.9</f>
        <v>12243.6</v>
      </c>
      <c r="AB44" s="6">
        <f>ROUNDDOWN(('SPT-01'!$M60*'TABELA AUXILIAR'!$J$5+SUM('SPT-01'!$P$18:$P60))/2,0)*0.9</f>
        <v>14448.6</v>
      </c>
      <c r="AD44" s="1">
        <v>30</v>
      </c>
      <c r="AE44" s="6">
        <f>ROUNDDOWN(('SPT-01'!$M52*'TABELA AUXILIAR'!$J$3+SUM('SPT-01'!$N$10:$N52))/2,0)*0.9</f>
        <v>9718.2000000000007</v>
      </c>
      <c r="AF44" s="6">
        <f>ROUNDDOWN(('SPT-01'!$M52*'TABELA AUXILIAR'!$J$4+SUM('SPT-01'!$O$10:$O52))/2,0)*0.9</f>
        <v>10659.6</v>
      </c>
      <c r="AG44" s="6">
        <f>ROUNDDOWN(('SPT-01'!$M52*'TABELA AUXILIAR'!$J$5+SUM('SPT-01'!$P$10:$P52))/2,0)*0.9</f>
        <v>12593.7</v>
      </c>
    </row>
    <row r="45" spans="10:33" x14ac:dyDescent="0.25">
      <c r="J45" s="1">
        <v>46.8</v>
      </c>
      <c r="K45" s="6">
        <f>ROUNDDOWN(('SPT-01'!$M80*'TABELA AUXILIAR'!$J$3+SUM('SPT-01'!$N$37:$N80))/2,0)*0.9</f>
        <v>13008.6</v>
      </c>
      <c r="L45" s="6">
        <f>ROUNDDOWN(('SPT-01'!$M80*'TABELA AUXILIAR'!$J$4+SUM('SPT-01'!$O$37:$O80))/2,0)*0.9</f>
        <v>14205.6</v>
      </c>
      <c r="M45" s="6">
        <f>ROUNDDOWN(('SPT-01'!$M80*'TABELA AUXILIAR'!$J$5+SUM('SPT-01'!$P$37:$P80))/2,0)*0.9</f>
        <v>16624.8</v>
      </c>
      <c r="N45" s="2"/>
      <c r="O45" s="8">
        <v>45</v>
      </c>
      <c r="P45" s="6">
        <f>ROUNDDOWN(('SPT-01'!$M77*'TABELA AUXILIAR'!$J$3+SUM('SPT-01'!$N$34:$N77))/2,0)*0.9</f>
        <v>12924.9</v>
      </c>
      <c r="Q45" s="6">
        <f>ROUNDDOWN(('SPT-01'!$M77*'TABELA AUXILIAR'!$J$4+SUM('SPT-01'!$O$34:$O77))/2,0)*0.9</f>
        <v>14112.9</v>
      </c>
      <c r="R45" s="6">
        <f>ROUNDDOWN(('SPT-01'!$M77*'TABELA AUXILIAR'!$J$5+SUM('SPT-01'!$P$34:$P77))/2,0)*0.9</f>
        <v>16513.2</v>
      </c>
      <c r="T45" s="1">
        <v>40.200000000000003</v>
      </c>
      <c r="U45" s="6">
        <f>ROUNDDOWN(('SPT-01'!$M69*'TABELA AUXILIAR'!$J$3+SUM('SPT-01'!$N$26:$N69))/2,0)*0.9</f>
        <v>12808.800000000001</v>
      </c>
      <c r="V45" s="6">
        <f>ROUNDDOWN(('SPT-01'!$M69*'TABELA AUXILIAR'!$J$4+SUM('SPT-01'!$O$26:$O69))/2,0)*0.9</f>
        <v>14034.6</v>
      </c>
      <c r="W45" s="6">
        <f>ROUNDDOWN(('SPT-01'!$M69*'TABELA AUXILIAR'!$J$5+SUM('SPT-01'!$P$26:$P69))/2,0)*0.9</f>
        <v>16544.7</v>
      </c>
      <c r="Y45" s="1">
        <v>35.4</v>
      </c>
      <c r="Z45" s="6">
        <f>ROUNDDOWN(('SPT-01'!$M61*'TABELA AUXILIAR'!$J$3+SUM('SPT-01'!$N$18:$N61))/2,0)*0.9</f>
        <v>11468.7</v>
      </c>
      <c r="AA45" s="6">
        <f>ROUNDDOWN(('SPT-01'!$M61*'TABELA AUXILIAR'!$J$4+SUM('SPT-01'!$O$18:$O61))/2,0)*0.9</f>
        <v>12571.2</v>
      </c>
      <c r="AB45" s="6">
        <f>ROUNDDOWN(('SPT-01'!$M61*'TABELA AUXILIAR'!$J$5+SUM('SPT-01'!$P$18:$P61))/2,0)*0.9</f>
        <v>14830.2</v>
      </c>
      <c r="AD45" s="1">
        <v>30.6</v>
      </c>
      <c r="AE45" s="6">
        <f>ROUNDDOWN(('SPT-01'!$M53*'TABELA AUXILIAR'!$J$3+SUM('SPT-01'!$N$10:$N53))/2,0)*0.9</f>
        <v>9993.6</v>
      </c>
      <c r="AF45" s="6">
        <f>ROUNDDOWN(('SPT-01'!$M53*'TABELA AUXILIAR'!$J$4+SUM('SPT-01'!$O$10:$O53))/2,0)*0.9</f>
        <v>10960.2</v>
      </c>
      <c r="AG45" s="6">
        <f>ROUNDDOWN(('SPT-01'!$M53*'TABELA AUXILIAR'!$J$5+SUM('SPT-01'!$P$10:$P53))/2,0)*0.9</f>
        <v>12943.800000000001</v>
      </c>
    </row>
    <row r="46" spans="10:33" x14ac:dyDescent="0.25">
      <c r="J46" s="1">
        <v>47.4</v>
      </c>
      <c r="K46" s="6">
        <f>ROUNDDOWN(('SPT-01'!$M81*'TABELA AUXILIAR'!$J$3+SUM('SPT-01'!$N$37:$N81))/2,0)*0.9</f>
        <v>13287.6</v>
      </c>
      <c r="L46" s="6">
        <f>ROUNDDOWN(('SPT-01'!$M81*'TABELA AUXILIAR'!$J$4+SUM('SPT-01'!$O$37:$O81))/2,0)*0.9</f>
        <v>14508.9</v>
      </c>
      <c r="M46" s="6">
        <f>ROUNDDOWN(('SPT-01'!$M81*'TABELA AUXILIAR'!$J$5+SUM('SPT-01'!$P$37:$P81))/2,0)*0.9</f>
        <v>16976.7</v>
      </c>
      <c r="N46" s="2"/>
      <c r="O46" s="8">
        <v>45.6</v>
      </c>
      <c r="P46" s="6">
        <f>ROUNDDOWN(('SPT-01'!$M78*'TABELA AUXILIAR'!$J$3+SUM('SPT-01'!$N$34:$N78))/2,0)*0.9</f>
        <v>13199.4</v>
      </c>
      <c r="Q46" s="6">
        <f>ROUNDDOWN(('SPT-01'!$M78*'TABELA AUXILIAR'!$J$4+SUM('SPT-01'!$O$34:$O78))/2,0)*0.9</f>
        <v>14410.800000000001</v>
      </c>
      <c r="R46" s="6">
        <f>ROUNDDOWN(('SPT-01'!$M78*'TABELA AUXILIAR'!$J$5+SUM('SPT-01'!$P$34:$P78))/2,0)*0.9</f>
        <v>16858.8</v>
      </c>
      <c r="T46" s="1">
        <v>40.799999999999997</v>
      </c>
      <c r="U46" s="6">
        <f>ROUNDDOWN(('SPT-01'!$M70*'TABELA AUXILIAR'!$J$3+SUM('SPT-01'!$N$26:$N70))/2,0)*0.9</f>
        <v>12465.9</v>
      </c>
      <c r="V46" s="6">
        <f>ROUNDDOWN(('SPT-01'!$M70*'TABELA AUXILIAR'!$J$4+SUM('SPT-01'!$O$26:$O70))/2,0)*0.9</f>
        <v>13613.4</v>
      </c>
      <c r="W46" s="6">
        <f>ROUNDDOWN(('SPT-01'!$M70*'TABELA AUXILIAR'!$J$5+SUM('SPT-01'!$P$26:$P70))/2,0)*0.9</f>
        <v>15932.7</v>
      </c>
      <c r="Y46" s="1">
        <v>36</v>
      </c>
      <c r="Z46" s="6">
        <f>ROUNDDOWN(('SPT-01'!$M62*'TABELA AUXILIAR'!$J$3+SUM('SPT-01'!$N$18:$N62))/2,0)*0.9</f>
        <v>11772.9</v>
      </c>
      <c r="AA46" s="6">
        <f>ROUNDDOWN(('SPT-01'!$M62*'TABELA AUXILIAR'!$J$4+SUM('SPT-01'!$O$18:$O62))/2,0)*0.9</f>
        <v>12902.4</v>
      </c>
      <c r="AB46" s="6">
        <f>ROUNDDOWN(('SPT-01'!$M62*'TABELA AUXILIAR'!$J$5+SUM('SPT-01'!$P$18:$P62))/2,0)*0.9</f>
        <v>15215.4</v>
      </c>
      <c r="AD46" s="1">
        <v>31.2</v>
      </c>
      <c r="AE46" s="6">
        <f>ROUNDDOWN(('SPT-01'!$M54*'TABELA AUXILIAR'!$J$3+SUM('SPT-01'!$N$10:$N54))/2,0)*0.9</f>
        <v>9540.9</v>
      </c>
      <c r="AF46" s="6">
        <f>ROUNDDOWN(('SPT-01'!$M54*'TABELA AUXILIAR'!$J$4+SUM('SPT-01'!$O$10:$O54))/2,0)*0.9</f>
        <v>10417.5</v>
      </c>
      <c r="AG46" s="6">
        <f>ROUNDDOWN(('SPT-01'!$M54*'TABELA AUXILIAR'!$J$5+SUM('SPT-01'!$P$10:$P54))/2,0)*0.9</f>
        <v>12190.5</v>
      </c>
    </row>
    <row r="47" spans="10:33" x14ac:dyDescent="0.25">
      <c r="J47" s="1">
        <v>48</v>
      </c>
      <c r="K47" s="6">
        <f>ROUNDDOWN(('SPT-01'!$M82*'TABELA AUXILIAR'!$J$3+SUM('SPT-01'!$N$37:$N82))/2,0)*0.9</f>
        <v>13569.300000000001</v>
      </c>
      <c r="L47" s="6">
        <f>ROUNDDOWN(('SPT-01'!$M82*'TABELA AUXILIAR'!$J$4+SUM('SPT-01'!$O$37:$O82))/2,0)*0.9</f>
        <v>14814.9</v>
      </c>
      <c r="M47" s="6">
        <f>ROUNDDOWN(('SPT-01'!$M82*'TABELA AUXILIAR'!$J$5+SUM('SPT-01'!$P$37:$P82))/2,0)*0.9</f>
        <v>17331.3</v>
      </c>
      <c r="N47" s="2"/>
      <c r="O47" s="8">
        <v>46.2</v>
      </c>
      <c r="P47" s="6">
        <f>ROUNDDOWN(('SPT-01'!$M79*'TABELA AUXILIAR'!$J$3+SUM('SPT-01'!$N$34:$N79))/2,0)*0.9</f>
        <v>13474.800000000001</v>
      </c>
      <c r="Q47" s="6">
        <f>ROUNDDOWN(('SPT-01'!$M79*'TABELA AUXILIAR'!$J$4+SUM('SPT-01'!$O$34:$O79))/2,0)*0.9</f>
        <v>14711.4</v>
      </c>
      <c r="R47" s="6">
        <f>ROUNDDOWN(('SPT-01'!$M79*'TABELA AUXILIAR'!$J$5+SUM('SPT-01'!$P$34:$P79))/2,0)*0.9</f>
        <v>17207.100000000002</v>
      </c>
      <c r="T47" s="1">
        <v>41.4</v>
      </c>
      <c r="U47" s="6">
        <f>ROUNDDOWN(('SPT-01'!$M71*'TABELA AUXILIAR'!$J$3+SUM('SPT-01'!$N$26:$N71))/2,0)*0.9</f>
        <v>12662.1</v>
      </c>
      <c r="V47" s="6">
        <f>ROUNDDOWN(('SPT-01'!$M71*'TABELA AUXILIAR'!$J$4+SUM('SPT-01'!$O$26:$O71))/2,0)*0.9</f>
        <v>13822.2</v>
      </c>
      <c r="W47" s="6">
        <f>ROUNDDOWN(('SPT-01'!$M71*'TABELA AUXILIAR'!$J$5+SUM('SPT-01'!$P$26:$P71))/2,0)*0.9</f>
        <v>16163.1</v>
      </c>
      <c r="Y47" s="1">
        <v>36.6</v>
      </c>
      <c r="Z47" s="6">
        <f>ROUNDDOWN(('SPT-01'!$M63*'TABELA AUXILIAR'!$J$3+SUM('SPT-01'!$N$18:$N63))/2,0)*0.9</f>
        <v>12079.800000000001</v>
      </c>
      <c r="AA47" s="6">
        <f>ROUNDDOWN(('SPT-01'!$M63*'TABELA AUXILIAR'!$J$4+SUM('SPT-01'!$O$18:$O63))/2,0)*0.9</f>
        <v>13236.300000000001</v>
      </c>
      <c r="AB47" s="6">
        <f>ROUNDDOWN(('SPT-01'!$M63*'TABELA AUXILIAR'!$J$5+SUM('SPT-01'!$P$18:$P63))/2,0)*0.9</f>
        <v>15604.2</v>
      </c>
      <c r="AD47" s="1">
        <v>31.8</v>
      </c>
      <c r="AE47" s="6">
        <f>ROUNDDOWN(('SPT-01'!$M55*'TABELA AUXILIAR'!$J$3+SUM('SPT-01'!$N$10:$N55))/2,0)*0.9</f>
        <v>10449</v>
      </c>
      <c r="AF47" s="6">
        <f>ROUNDDOWN(('SPT-01'!$M55*'TABELA AUXILIAR'!$J$4+SUM('SPT-01'!$O$10:$O55))/2,0)*0.9</f>
        <v>11457</v>
      </c>
      <c r="AG47" s="6">
        <f>ROUNDDOWN(('SPT-01'!$M55*'TABELA AUXILIAR'!$J$5+SUM('SPT-01'!$P$10:$P55))/2,0)*0.9</f>
        <v>13524.300000000001</v>
      </c>
    </row>
    <row r="48" spans="10:33" x14ac:dyDescent="0.25">
      <c r="J48" s="1">
        <v>48.6</v>
      </c>
      <c r="K48" s="6">
        <f>ROUNDDOWN(('SPT-01'!$M83*'TABELA AUXILIAR'!$J$3+SUM('SPT-01'!$N$37:$N83))/2,0)*0.9</f>
        <v>13851.9</v>
      </c>
      <c r="L48" s="6">
        <f>ROUNDDOWN(('SPT-01'!$M83*'TABELA AUXILIAR'!$J$4+SUM('SPT-01'!$O$37:$O83))/2,0)*0.9</f>
        <v>15121.800000000001</v>
      </c>
      <c r="M48" s="6">
        <f>ROUNDDOWN(('SPT-01'!$M83*'TABELA AUXILIAR'!$J$5+SUM('SPT-01'!$P$37:$P83))/2,0)*0.9</f>
        <v>17687.7</v>
      </c>
      <c r="N48" s="2"/>
      <c r="O48" s="8">
        <v>46.8</v>
      </c>
      <c r="P48" s="6">
        <f>ROUNDDOWN(('SPT-01'!$M80*'TABELA AUXILIAR'!$J$3+SUM('SPT-01'!$N$34:$N80))/2,0)*0.9</f>
        <v>13752.9</v>
      </c>
      <c r="Q48" s="6">
        <f>ROUNDDOWN(('SPT-01'!$M80*'TABELA AUXILIAR'!$J$4+SUM('SPT-01'!$O$34:$O80))/2,0)*0.9</f>
        <v>15012.9</v>
      </c>
      <c r="R48" s="6">
        <f>ROUNDDOWN(('SPT-01'!$M80*'TABELA AUXILIAR'!$J$5+SUM('SPT-01'!$P$34:$P80))/2,0)*0.9</f>
        <v>17557.2</v>
      </c>
      <c r="T48" s="1">
        <v>42</v>
      </c>
      <c r="U48" s="6">
        <f>ROUNDDOWN(('SPT-01'!$M72*'TABELA AUXILIAR'!$J$3+SUM('SPT-01'!$N$26:$N72))/2,0)*0.9</f>
        <v>13719.6</v>
      </c>
      <c r="V48" s="6">
        <f>ROUNDDOWN(('SPT-01'!$M72*'TABELA AUXILIAR'!$J$4+SUM('SPT-01'!$O$26:$O72))/2,0)*0.9</f>
        <v>15027.300000000001</v>
      </c>
      <c r="W48" s="6">
        <f>ROUNDDOWN(('SPT-01'!$M72*'TABELA AUXILIAR'!$J$5+SUM('SPT-01'!$P$26:$P72))/2,0)*0.9</f>
        <v>17697.600000000002</v>
      </c>
      <c r="Y48" s="1">
        <v>37.200000000000003</v>
      </c>
      <c r="Z48" s="6">
        <f>ROUNDDOWN(('SPT-01'!$M64*'TABELA AUXILIAR'!$J$3+SUM('SPT-01'!$N$18:$N64))/2,0)*0.9</f>
        <v>12389.4</v>
      </c>
      <c r="AA48" s="6">
        <f>ROUNDDOWN(('SPT-01'!$M64*'TABELA AUXILIAR'!$J$4+SUM('SPT-01'!$O$18:$O64))/2,0)*0.9</f>
        <v>13573.800000000001</v>
      </c>
      <c r="AB48" s="6">
        <f>ROUNDDOWN(('SPT-01'!$M64*'TABELA AUXILIAR'!$J$5+SUM('SPT-01'!$P$18:$P64))/2,0)*0.9</f>
        <v>15997.5</v>
      </c>
      <c r="AD48" s="1">
        <v>32.4</v>
      </c>
      <c r="AE48" s="6">
        <f>ROUNDDOWN(('SPT-01'!$M56*'TABELA AUXILIAR'!$J$3+SUM('SPT-01'!$N$10:$N56))/2,0)*0.9</f>
        <v>10734.300000000001</v>
      </c>
      <c r="AF48" s="6">
        <f>ROUNDDOWN(('SPT-01'!$M56*'TABELA AUXILIAR'!$J$4+SUM('SPT-01'!$O$10:$O56))/2,0)*0.9</f>
        <v>11767.5</v>
      </c>
      <c r="AG48" s="6">
        <f>ROUNDDOWN(('SPT-01'!$M56*'TABELA AUXILIAR'!$J$5+SUM('SPT-01'!$P$10:$P56))/2,0)*0.9</f>
        <v>13886.1</v>
      </c>
    </row>
    <row r="49" spans="10:33" x14ac:dyDescent="0.25">
      <c r="J49" s="1">
        <v>49.199999999999903</v>
      </c>
      <c r="K49" s="6">
        <f>ROUNDDOWN(('SPT-01'!$M84*'TABELA AUXILIAR'!$J$3+SUM('SPT-01'!$N$37:$N84))/2,0)*0.9</f>
        <v>14136.300000000001</v>
      </c>
      <c r="L49" s="6">
        <f>ROUNDDOWN(('SPT-01'!$M84*'TABELA AUXILIAR'!$J$4+SUM('SPT-01'!$O$37:$O84))/2,0)*0.9</f>
        <v>15431.4</v>
      </c>
      <c r="M49" s="6">
        <f>ROUNDDOWN(('SPT-01'!$M84*'TABELA AUXILIAR'!$J$5+SUM('SPT-01'!$P$37:$P84))/2,0)*0.9</f>
        <v>18045.900000000001</v>
      </c>
      <c r="N49" s="2"/>
      <c r="O49" s="8">
        <v>47.4</v>
      </c>
      <c r="P49" s="6">
        <f>ROUNDDOWN(('SPT-01'!$M81*'TABELA AUXILIAR'!$J$3+SUM('SPT-01'!$N$34:$N81))/2,0)*0.9</f>
        <v>14031.9</v>
      </c>
      <c r="Q49" s="6">
        <f>ROUNDDOWN(('SPT-01'!$M81*'TABELA AUXILIAR'!$J$4+SUM('SPT-01'!$O$34:$O81))/2,0)*0.9</f>
        <v>15316.2</v>
      </c>
      <c r="R49" s="6">
        <f>ROUNDDOWN(('SPT-01'!$M81*'TABELA AUXILIAR'!$J$5+SUM('SPT-01'!$P$34:$P81))/2,0)*0.9</f>
        <v>17909.100000000002</v>
      </c>
      <c r="T49" s="1">
        <v>42.6</v>
      </c>
      <c r="U49" s="6">
        <f>ROUNDDOWN(('SPT-01'!$M73*'TABELA AUXILIAR'!$J$3+SUM('SPT-01'!$N$26:$N73))/2,0)*0.9</f>
        <v>14101.2</v>
      </c>
      <c r="V49" s="6">
        <f>ROUNDDOWN(('SPT-01'!$M73*'TABELA AUXILIAR'!$J$4+SUM('SPT-01'!$O$26:$O73))/2,0)*0.9</f>
        <v>15442.2</v>
      </c>
      <c r="W49" s="6">
        <f>ROUNDDOWN(('SPT-01'!$M73*'TABELA AUXILIAR'!$J$5+SUM('SPT-01'!$P$26:$P73))/2,0)*0.9</f>
        <v>18179.100000000002</v>
      </c>
      <c r="Y49" s="1">
        <v>37.799999999999997</v>
      </c>
      <c r="Z49" s="6">
        <f>ROUNDDOWN(('SPT-01'!$M65*'TABELA AUXILIAR'!$J$3+SUM('SPT-01'!$N$18:$N65))/2,0)*0.9</f>
        <v>12702.6</v>
      </c>
      <c r="AA49" s="6">
        <f>ROUNDDOWN(('SPT-01'!$M65*'TABELA AUXILIAR'!$J$4+SUM('SPT-01'!$O$18:$O65))/2,0)*0.9</f>
        <v>13914.9</v>
      </c>
      <c r="AB49" s="6">
        <f>ROUNDDOWN(('SPT-01'!$M65*'TABELA AUXILIAR'!$J$5+SUM('SPT-01'!$P$18:$P65))/2,0)*0.9</f>
        <v>16393.5</v>
      </c>
      <c r="AD49" s="1">
        <v>33</v>
      </c>
      <c r="AE49" s="6">
        <f>ROUNDDOWN(('SPT-01'!$M57*'TABELA AUXILIAR'!$J$3+SUM('SPT-01'!$N$10:$N57))/2,0)*0.9</f>
        <v>11022.300000000001</v>
      </c>
      <c r="AF49" s="6">
        <f>ROUNDDOWN(('SPT-01'!$M57*'TABELA AUXILIAR'!$J$4+SUM('SPT-01'!$O$10:$O57))/2,0)*0.9</f>
        <v>12081.6</v>
      </c>
      <c r="AG49" s="6">
        <f>ROUNDDOWN(('SPT-01'!$M57*'TABELA AUXILIAR'!$J$5+SUM('SPT-01'!$P$10:$P57))/2,0)*0.9</f>
        <v>14252.4</v>
      </c>
    </row>
    <row r="50" spans="10:33" x14ac:dyDescent="0.25">
      <c r="J50" s="1">
        <v>49.799999999999898</v>
      </c>
      <c r="K50" s="6">
        <f>ROUNDDOWN(('SPT-01'!$M85*'TABELA AUXILIAR'!$J$3+SUM('SPT-01'!$N$37:$N85))/2,0)*0.9</f>
        <v>14422.5</v>
      </c>
      <c r="L50" s="6">
        <f>ROUNDDOWN(('SPT-01'!$M85*'TABELA AUXILIAR'!$J$4+SUM('SPT-01'!$O$37:$O85))/2,0)*0.9</f>
        <v>15742.800000000001</v>
      </c>
      <c r="M50" s="6">
        <f>ROUNDDOWN(('SPT-01'!$M85*'TABELA AUXILIAR'!$J$5+SUM('SPT-01'!$P$37:$P85))/2,0)*0.9</f>
        <v>18406.8</v>
      </c>
      <c r="N50" s="2"/>
      <c r="O50" s="8">
        <v>48</v>
      </c>
      <c r="P50" s="6">
        <f>ROUNDDOWN(('SPT-01'!$M82*'TABELA AUXILIAR'!$J$3+SUM('SPT-01'!$N$34:$N82))/2,0)*0.9</f>
        <v>14313.6</v>
      </c>
      <c r="Q50" s="6">
        <f>ROUNDDOWN(('SPT-01'!$M82*'TABELA AUXILIAR'!$J$4+SUM('SPT-01'!$O$34:$O82))/2,0)*0.9</f>
        <v>15622.2</v>
      </c>
      <c r="R50" s="6">
        <f>ROUNDDOWN(('SPT-01'!$M82*'TABELA AUXILIAR'!$J$5+SUM('SPT-01'!$P$34:$P82))/2,0)*0.9</f>
        <v>18262.8</v>
      </c>
      <c r="T50" s="1">
        <v>43.2</v>
      </c>
      <c r="U50" s="6">
        <f>ROUNDDOWN(('SPT-01'!$M74*'TABELA AUXILIAR'!$J$3+SUM('SPT-01'!$N$26:$N74))/2,0)*0.9</f>
        <v>13638.6</v>
      </c>
      <c r="V50" s="6">
        <f>ROUNDDOWN(('SPT-01'!$M74*'TABELA AUXILIAR'!$J$4+SUM('SPT-01'!$O$26:$O74))/2,0)*0.9</f>
        <v>14880.6</v>
      </c>
      <c r="W50" s="6">
        <f>ROUNDDOWN(('SPT-01'!$M74*'TABELA AUXILIAR'!$J$5+SUM('SPT-01'!$P$26:$P74))/2,0)*0.9</f>
        <v>17382.600000000002</v>
      </c>
      <c r="Y50" s="1">
        <v>38.4</v>
      </c>
      <c r="Z50" s="6">
        <f>ROUNDDOWN(('SPT-01'!$M66*'TABELA AUXILIAR'!$J$3+SUM('SPT-01'!$N$18:$N66))/2,0)*0.9</f>
        <v>12712.5</v>
      </c>
      <c r="AA50" s="6">
        <f>ROUNDDOWN(('SPT-01'!$M66*'TABELA AUXILIAR'!$J$4+SUM('SPT-01'!$O$18:$O66))/2,0)*0.9</f>
        <v>13905</v>
      </c>
      <c r="AB50" s="6">
        <f>ROUNDDOWN(('SPT-01'!$M66*'TABELA AUXILIAR'!$J$5+SUM('SPT-01'!$P$18:$P66))/2,0)*0.9</f>
        <v>16331.4</v>
      </c>
      <c r="AD50" s="1">
        <v>33.6</v>
      </c>
      <c r="AE50" s="6">
        <f>ROUNDDOWN(('SPT-01'!$M58*'TABELA AUXILIAR'!$J$3+SUM('SPT-01'!$N$10:$N58))/2,0)*0.9</f>
        <v>11313.9</v>
      </c>
      <c r="AF50" s="6">
        <f>ROUNDDOWN(('SPT-01'!$M58*'TABELA AUXILIAR'!$J$4+SUM('SPT-01'!$O$10:$O58))/2,0)*0.9</f>
        <v>12399.300000000001</v>
      </c>
      <c r="AG50" s="6">
        <f>ROUNDDOWN(('SPT-01'!$M58*'TABELA AUXILIAR'!$J$5+SUM('SPT-01'!$P$10:$P58))/2,0)*0.9</f>
        <v>14622.300000000001</v>
      </c>
    </row>
    <row r="51" spans="10:33" x14ac:dyDescent="0.25">
      <c r="J51" s="1">
        <v>50.399999999999899</v>
      </c>
      <c r="K51" s="6">
        <f>ROUNDDOWN(('SPT-01'!$M86*'TABELA AUXILIAR'!$J$3+SUM('SPT-01'!$N$37:$N86))/2,0)*0.9</f>
        <v>14710.5</v>
      </c>
      <c r="L51" s="6">
        <f>ROUNDDOWN(('SPT-01'!$M86*'TABELA AUXILIAR'!$J$4+SUM('SPT-01'!$O$37:$O86))/2,0)*0.9</f>
        <v>16055.1</v>
      </c>
      <c r="M51" s="6">
        <f>ROUNDDOWN(('SPT-01'!$M86*'TABELA AUXILIAR'!$J$5+SUM('SPT-01'!$P$37:$P86))/2,0)*0.9</f>
        <v>18768.600000000002</v>
      </c>
      <c r="N51" s="2"/>
      <c r="O51" s="8">
        <v>48.6</v>
      </c>
      <c r="P51" s="6">
        <f>ROUNDDOWN(('SPT-01'!$M83*'TABELA AUXILIAR'!$J$3+SUM('SPT-01'!$N$34:$N83))/2,0)*0.9</f>
        <v>14596.2</v>
      </c>
      <c r="Q51" s="6">
        <f>ROUNDDOWN(('SPT-01'!$M83*'TABELA AUXILIAR'!$J$4+SUM('SPT-01'!$O$34:$O83))/2,0)*0.9</f>
        <v>15930</v>
      </c>
      <c r="R51" s="6">
        <f>ROUNDDOWN(('SPT-01'!$M83*'TABELA AUXILIAR'!$J$5+SUM('SPT-01'!$P$34:$P83))/2,0)*0.9</f>
        <v>18619.2</v>
      </c>
      <c r="T51" s="1">
        <v>43.8</v>
      </c>
      <c r="U51" s="6">
        <f>ROUNDDOWN(('SPT-01'!$M75*'TABELA AUXILIAR'!$J$3+SUM('SPT-01'!$N$26:$N75))/2,0)*0.9</f>
        <v>14005.800000000001</v>
      </c>
      <c r="V51" s="6">
        <f>ROUNDDOWN(('SPT-01'!$M75*'TABELA AUXILIAR'!$J$4+SUM('SPT-01'!$O$26:$O75))/2,0)*0.9</f>
        <v>15287.4</v>
      </c>
      <c r="W51" s="6">
        <f>ROUNDDOWN(('SPT-01'!$M75*'TABELA AUXILIAR'!$J$5+SUM('SPT-01'!$P$26:$P75))/2,0)*0.9</f>
        <v>17873.100000000002</v>
      </c>
      <c r="Y51" s="1">
        <v>39</v>
      </c>
      <c r="Z51" s="6">
        <f>ROUNDDOWN(('SPT-01'!$M67*'TABELA AUXILIAR'!$J$3+SUM('SPT-01'!$N$18:$N67))/2,0)*0.9</f>
        <v>13292.1</v>
      </c>
      <c r="AA51" s="6">
        <f>ROUNDDOWN(('SPT-01'!$M67*'TABELA AUXILIAR'!$J$4+SUM('SPT-01'!$O$18:$O67))/2,0)*0.9</f>
        <v>14557.5</v>
      </c>
      <c r="AB51" s="6">
        <f>ROUNDDOWN(('SPT-01'!$M67*'TABELA AUXILIAR'!$J$5+SUM('SPT-01'!$P$18:$P67))/2,0)*0.9</f>
        <v>17142.3</v>
      </c>
      <c r="AD51" s="1">
        <v>34.200000000000003</v>
      </c>
      <c r="AE51" s="6">
        <f>ROUNDDOWN(('SPT-01'!$M59*'TABELA AUXILIAR'!$J$3+SUM('SPT-01'!$N$10:$N59))/2,0)*0.9</f>
        <v>11608.2</v>
      </c>
      <c r="AF51" s="6">
        <f>ROUNDDOWN(('SPT-01'!$M59*'TABELA AUXILIAR'!$J$4+SUM('SPT-01'!$O$10:$O59))/2,0)*0.9</f>
        <v>12720.6</v>
      </c>
      <c r="AG51" s="6">
        <f>ROUNDDOWN(('SPT-01'!$M59*'TABELA AUXILIAR'!$J$5+SUM('SPT-01'!$P$10:$P59))/2,0)*0.9</f>
        <v>14995.800000000001</v>
      </c>
    </row>
    <row r="52" spans="10:33" x14ac:dyDescent="0.25">
      <c r="J52" s="1">
        <v>50.999999999999901</v>
      </c>
      <c r="K52" s="6">
        <f>ROUNDDOWN(('SPT-01'!$M87*'TABELA AUXILIAR'!$J$3+SUM('SPT-01'!$N$37:$N87))/2,0)*0.9</f>
        <v>15000.300000000001</v>
      </c>
      <c r="L52" s="6">
        <f>ROUNDDOWN(('SPT-01'!$M87*'TABELA AUXILIAR'!$J$4+SUM('SPT-01'!$O$37:$O87))/2,0)*0.9</f>
        <v>16370.1</v>
      </c>
      <c r="M52" s="6">
        <f>ROUNDDOWN(('SPT-01'!$M87*'TABELA AUXILIAR'!$J$5+SUM('SPT-01'!$P$37:$P87))/2,0)*0.9</f>
        <v>19134</v>
      </c>
      <c r="N52" s="2"/>
      <c r="O52" s="8">
        <v>49.199999999999903</v>
      </c>
      <c r="P52" s="6">
        <f>ROUNDDOWN(('SPT-01'!$M84*'TABELA AUXILIAR'!$J$3+SUM('SPT-01'!$N$34:$N84))/2,0)*0.9</f>
        <v>14880.6</v>
      </c>
      <c r="Q52" s="6">
        <f>ROUNDDOWN(('SPT-01'!$M84*'TABELA AUXILIAR'!$J$4+SUM('SPT-01'!$O$34:$O84))/2,0)*0.9</f>
        <v>16238.7</v>
      </c>
      <c r="R52" s="6">
        <f>ROUNDDOWN(('SPT-01'!$M84*'TABELA AUXILIAR'!$J$5+SUM('SPT-01'!$P$34:$P84))/2,0)*0.9</f>
        <v>18978.3</v>
      </c>
      <c r="T52" s="8">
        <v>44.4</v>
      </c>
      <c r="U52" s="6">
        <f>ROUNDDOWN(('SPT-01'!$M76*'TABELA AUXILIAR'!$J$3+SUM('SPT-01'!$N$26:$N76))/2,0)*0.9</f>
        <v>14246.1</v>
      </c>
      <c r="V52" s="6">
        <f>ROUNDDOWN(('SPT-01'!$M76*'TABELA AUXILIAR'!$J$4+SUM('SPT-01'!$O$26:$O76))/2,0)*0.9</f>
        <v>15545.7</v>
      </c>
      <c r="W52" s="6">
        <f>ROUNDDOWN(('SPT-01'!$M76*'TABELA AUXILIAR'!$J$5+SUM('SPT-01'!$P$26:$P76))/2,0)*0.9</f>
        <v>18166.5</v>
      </c>
      <c r="Y52" s="1">
        <v>39.6</v>
      </c>
      <c r="Z52" s="6">
        <f>ROUNDDOWN(('SPT-01'!$M68*'TABELA AUXILIAR'!$J$3+SUM('SPT-01'!$N$18:$N68))/2,0)*0.9</f>
        <v>13614.300000000001</v>
      </c>
      <c r="AA52" s="6">
        <f>ROUNDDOWN(('SPT-01'!$M68*'TABELA AUXILIAR'!$J$4+SUM('SPT-01'!$O$18:$O68))/2,0)*0.9</f>
        <v>14907.6</v>
      </c>
      <c r="AB52" s="6">
        <f>ROUNDDOWN(('SPT-01'!$M68*'TABELA AUXILIAR'!$J$5+SUM('SPT-01'!$P$18:$P68))/2,0)*0.9</f>
        <v>17549.100000000002</v>
      </c>
      <c r="AD52" s="1">
        <v>34.799999999999997</v>
      </c>
      <c r="AE52" s="6">
        <f>ROUNDDOWN(('SPT-01'!$M60*'TABELA AUXILIAR'!$J$3+SUM('SPT-01'!$N$10:$N60))/2,0)*0.9</f>
        <v>11906.1</v>
      </c>
      <c r="AF52" s="6">
        <f>ROUNDDOWN(('SPT-01'!$M60*'TABELA AUXILIAR'!$J$4+SUM('SPT-01'!$O$10:$O60))/2,0)*0.9</f>
        <v>13044.6</v>
      </c>
      <c r="AG52" s="6">
        <f>ROUNDDOWN(('SPT-01'!$M60*'TABELA AUXILIAR'!$J$5+SUM('SPT-01'!$P$10:$P60))/2,0)*0.9</f>
        <v>15372.9</v>
      </c>
    </row>
    <row r="53" spans="10:33" x14ac:dyDescent="0.25">
      <c r="J53" s="1">
        <v>51.599999999999902</v>
      </c>
      <c r="K53" s="6">
        <f>ROUNDDOWN(('SPT-01'!$M88*'TABELA AUXILIAR'!$J$3+SUM('SPT-01'!$N$37:$N88))/2,0)*0.9</f>
        <v>15291</v>
      </c>
      <c r="L53" s="6">
        <f>ROUNDDOWN(('SPT-01'!$M88*'TABELA AUXILIAR'!$J$4+SUM('SPT-01'!$O$37:$O88))/2,0)*0.9</f>
        <v>16686.900000000001</v>
      </c>
      <c r="M53" s="6">
        <f>ROUNDDOWN(('SPT-01'!$M88*'TABELA AUXILIAR'!$J$5+SUM('SPT-01'!$P$37:$P88))/2,0)*0.9</f>
        <v>19500.3</v>
      </c>
      <c r="N53" s="2"/>
      <c r="O53" s="8">
        <v>49.799999999999898</v>
      </c>
      <c r="P53" s="6">
        <f>ROUNDDOWN(('SPT-01'!$M85*'TABELA AUXILIAR'!$J$3+SUM('SPT-01'!$N$34:$N85))/2,0)*0.9</f>
        <v>15166.800000000001</v>
      </c>
      <c r="Q53" s="6">
        <f>ROUNDDOWN(('SPT-01'!$M85*'TABELA AUXILIAR'!$J$4+SUM('SPT-01'!$O$34:$O85))/2,0)*0.9</f>
        <v>16550.100000000002</v>
      </c>
      <c r="R53" s="6">
        <f>ROUNDDOWN(('SPT-01'!$M85*'TABELA AUXILIAR'!$J$5+SUM('SPT-01'!$P$34:$P85))/2,0)*0.9</f>
        <v>19338.3</v>
      </c>
      <c r="T53" s="8">
        <v>45</v>
      </c>
      <c r="U53" s="6">
        <f>ROUNDDOWN(('SPT-01'!$M77*'TABELA AUXILIAR'!$J$3+SUM('SPT-01'!$N$26:$N77))/2,0)*0.9</f>
        <v>14517.9</v>
      </c>
      <c r="V53" s="6">
        <f>ROUNDDOWN(('SPT-01'!$M77*'TABELA AUXILIAR'!$J$4+SUM('SPT-01'!$O$26:$O77))/2,0)*0.9</f>
        <v>15841.800000000001</v>
      </c>
      <c r="W53" s="6">
        <f>ROUNDDOWN(('SPT-01'!$M77*'TABELA AUXILIAR'!$J$5+SUM('SPT-01'!$P$26:$P77))/2,0)*0.9</f>
        <v>18509.400000000001</v>
      </c>
      <c r="Y53" s="1">
        <v>40.200000000000003</v>
      </c>
      <c r="Z53" s="6">
        <f>ROUNDDOWN(('SPT-01'!$M69*'TABELA AUXILIAR'!$J$3+SUM('SPT-01'!$N$18:$N69))/2,0)*0.9</f>
        <v>13938.300000000001</v>
      </c>
      <c r="AA53" s="6">
        <f>ROUNDDOWN(('SPT-01'!$M69*'TABELA AUXILIAR'!$J$4+SUM('SPT-01'!$O$18:$O69))/2,0)*0.9</f>
        <v>15261.300000000001</v>
      </c>
      <c r="AB53" s="6">
        <f>ROUNDDOWN(('SPT-01'!$M69*'TABELA AUXILIAR'!$J$5+SUM('SPT-01'!$P$18:$P69))/2,0)*0.9</f>
        <v>17960.400000000001</v>
      </c>
      <c r="AD53" s="1">
        <v>35.4</v>
      </c>
      <c r="AE53" s="6">
        <f>ROUNDDOWN(('SPT-01'!$M61*'TABELA AUXILIAR'!$J$3+SUM('SPT-01'!$N$10:$N61))/2,0)*0.9</f>
        <v>12206.7</v>
      </c>
      <c r="AF53" s="6">
        <f>ROUNDDOWN(('SPT-01'!$M61*'TABELA AUXILIAR'!$J$4+SUM('SPT-01'!$O$10:$O61))/2,0)*0.9</f>
        <v>13372.2</v>
      </c>
      <c r="AG53" s="6">
        <f>ROUNDDOWN(('SPT-01'!$M61*'TABELA AUXILIAR'!$J$5+SUM('SPT-01'!$P$10:$P61))/2,0)*0.9</f>
        <v>15754.5</v>
      </c>
    </row>
    <row r="54" spans="10:33" x14ac:dyDescent="0.25">
      <c r="J54" s="1">
        <v>52.199999999999903</v>
      </c>
      <c r="K54" s="6">
        <f>ROUNDDOWN(('SPT-01'!$M89*'TABELA AUXILIAR'!$J$3+SUM('SPT-01'!$N$37:$N89))/2,0)*0.9</f>
        <v>15584.4</v>
      </c>
      <c r="L54" s="6">
        <f>ROUNDDOWN(('SPT-01'!$M89*'TABELA AUXILIAR'!$J$4+SUM('SPT-01'!$O$37:$O89))/2,0)*0.9</f>
        <v>17005.5</v>
      </c>
      <c r="M54" s="6">
        <f>ROUNDDOWN(('SPT-01'!$M89*'TABELA AUXILIAR'!$J$5+SUM('SPT-01'!$P$37:$P89))/2,0)*0.9</f>
        <v>19869.3</v>
      </c>
      <c r="N54" s="2"/>
      <c r="O54" s="8">
        <v>50.399999999999899</v>
      </c>
      <c r="P54" s="6">
        <f>ROUNDDOWN(('SPT-01'!$M86*'TABELA AUXILIAR'!$J$3+SUM('SPT-01'!$N$34:$N86))/2,0)*0.9</f>
        <v>15454.800000000001</v>
      </c>
      <c r="Q54" s="6">
        <f>ROUNDDOWN(('SPT-01'!$M86*'TABELA AUXILIAR'!$J$4+SUM('SPT-01'!$O$34:$O86))/2,0)*0.9</f>
        <v>16863.3</v>
      </c>
      <c r="R54" s="6">
        <f>ROUNDDOWN(('SPT-01'!$M86*'TABELA AUXILIAR'!$J$5+SUM('SPT-01'!$P$34:$P86))/2,0)*0.9</f>
        <v>19701</v>
      </c>
      <c r="T54" s="8">
        <v>45.6</v>
      </c>
      <c r="U54" s="6">
        <f>ROUNDDOWN(('SPT-01'!$M78*'TABELA AUXILIAR'!$J$3+SUM('SPT-01'!$N$26:$N78))/2,0)*0.9</f>
        <v>14792.4</v>
      </c>
      <c r="V54" s="6">
        <f>ROUNDDOWN(('SPT-01'!$M78*'TABELA AUXILIAR'!$J$4+SUM('SPT-01'!$O$26:$O78))/2,0)*0.9</f>
        <v>16139.7</v>
      </c>
      <c r="W54" s="6">
        <f>ROUNDDOWN(('SPT-01'!$M78*'TABELA AUXILIAR'!$J$5+SUM('SPT-01'!$P$26:$P78))/2,0)*0.9</f>
        <v>18855</v>
      </c>
      <c r="Y54" s="1">
        <v>40.799999999999997</v>
      </c>
      <c r="Z54" s="6">
        <f>ROUNDDOWN(('SPT-01'!$M70*'TABELA AUXILIAR'!$J$3+SUM('SPT-01'!$N$18:$N70))/2,0)*0.9</f>
        <v>13596.300000000001</v>
      </c>
      <c r="AA54" s="6">
        <f>ROUNDDOWN(('SPT-01'!$M70*'TABELA AUXILIAR'!$J$4+SUM('SPT-01'!$O$18:$O70))/2,0)*0.9</f>
        <v>14840.1</v>
      </c>
      <c r="AB54" s="6">
        <f>ROUNDDOWN(('SPT-01'!$M70*'TABELA AUXILIAR'!$J$5+SUM('SPT-01'!$P$18:$P70))/2,0)*0.9</f>
        <v>17348.400000000001</v>
      </c>
      <c r="AD54" s="1">
        <v>36</v>
      </c>
      <c r="AE54" s="6">
        <f>ROUNDDOWN(('SPT-01'!$M62*'TABELA AUXILIAR'!$J$3+SUM('SPT-01'!$N$10:$N62))/2,0)*0.9</f>
        <v>12510.9</v>
      </c>
      <c r="AF54" s="6">
        <f>ROUNDDOWN(('SPT-01'!$M62*'TABELA AUXILIAR'!$J$4+SUM('SPT-01'!$O$10:$O62))/2,0)*0.9</f>
        <v>13703.4</v>
      </c>
      <c r="AG54" s="6">
        <f>ROUNDDOWN(('SPT-01'!$M62*'TABELA AUXILIAR'!$J$5+SUM('SPT-01'!$P$10:$P62))/2,0)*0.9</f>
        <v>16139.7</v>
      </c>
    </row>
    <row r="55" spans="10:33" x14ac:dyDescent="0.25">
      <c r="J55" s="1">
        <v>52.799999999999898</v>
      </c>
      <c r="K55" s="6">
        <f>ROUNDDOWN(('SPT-01'!$M90*'TABELA AUXILIAR'!$J$3+SUM('SPT-01'!$N$37:$N90))/2,0)*0.9</f>
        <v>15878.7</v>
      </c>
      <c r="L55" s="6">
        <f>ROUNDDOWN(('SPT-01'!$M90*'TABELA AUXILIAR'!$J$4+SUM('SPT-01'!$O$37:$O90))/2,0)*0.9</f>
        <v>17325</v>
      </c>
      <c r="M55" s="6">
        <f>ROUNDDOWN(('SPT-01'!$M90*'TABELA AUXILIAR'!$J$5+SUM('SPT-01'!$P$37:$P90))/2,0)*0.9</f>
        <v>20241</v>
      </c>
      <c r="N55" s="2"/>
      <c r="O55" s="8">
        <v>50.999999999999901</v>
      </c>
      <c r="P55" s="6">
        <f>ROUNDDOWN(('SPT-01'!$M87*'TABELA AUXILIAR'!$J$3+SUM('SPT-01'!$N$34:$N87))/2,0)*0.9</f>
        <v>15744.6</v>
      </c>
      <c r="Q55" s="6">
        <f>ROUNDDOWN(('SPT-01'!$M87*'TABELA AUXILIAR'!$J$4+SUM('SPT-01'!$O$34:$O87))/2,0)*0.9</f>
        <v>17177.400000000001</v>
      </c>
      <c r="R55" s="6">
        <f>ROUNDDOWN(('SPT-01'!$M87*'TABELA AUXILIAR'!$J$5+SUM('SPT-01'!$P$34:$P87))/2,0)*0.9</f>
        <v>20066.400000000001</v>
      </c>
      <c r="T55" s="8">
        <v>46.2</v>
      </c>
      <c r="U55" s="6">
        <f>ROUNDDOWN(('SPT-01'!$M79*'TABELA AUXILIAR'!$J$3+SUM('SPT-01'!$N$26:$N79))/2,0)*0.9</f>
        <v>15068.7</v>
      </c>
      <c r="V55" s="6">
        <f>ROUNDDOWN(('SPT-01'!$M79*'TABELA AUXILIAR'!$J$4+SUM('SPT-01'!$O$26:$O79))/2,0)*0.9</f>
        <v>16440.3</v>
      </c>
      <c r="W55" s="6">
        <f>ROUNDDOWN(('SPT-01'!$M79*'TABELA AUXILIAR'!$J$5+SUM('SPT-01'!$P$26:$P79))/2,0)*0.9</f>
        <v>19203.3</v>
      </c>
      <c r="Y55" s="1">
        <v>41.4</v>
      </c>
      <c r="Z55" s="6">
        <f>ROUNDDOWN(('SPT-01'!$M71*'TABELA AUXILIAR'!$J$3+SUM('SPT-01'!$N$18:$N71))/2,0)*0.9</f>
        <v>13792.5</v>
      </c>
      <c r="AA55" s="6">
        <f>ROUNDDOWN(('SPT-01'!$M71*'TABELA AUXILIAR'!$J$4+SUM('SPT-01'!$O$18:$O71))/2,0)*0.9</f>
        <v>15048.9</v>
      </c>
      <c r="AB55" s="6">
        <f>ROUNDDOWN(('SPT-01'!$M71*'TABELA AUXILIAR'!$J$5+SUM('SPT-01'!$P$18:$P71))/2,0)*0.9</f>
        <v>17578.8</v>
      </c>
      <c r="AD55" s="1">
        <v>36.6</v>
      </c>
      <c r="AE55" s="6">
        <f>ROUNDDOWN(('SPT-01'!$M63*'TABELA AUXILIAR'!$J$3+SUM('SPT-01'!$N$10:$N63))/2,0)*0.9</f>
        <v>12817.800000000001</v>
      </c>
      <c r="AF55" s="6">
        <f>ROUNDDOWN(('SPT-01'!$M63*'TABELA AUXILIAR'!$J$4+SUM('SPT-01'!$O$10:$O63))/2,0)*0.9</f>
        <v>14037.300000000001</v>
      </c>
      <c r="AG55" s="6">
        <f>ROUNDDOWN(('SPT-01'!$M63*'TABELA AUXILIAR'!$J$5+SUM('SPT-01'!$P$10:$P63))/2,0)*0.9</f>
        <v>16528.5</v>
      </c>
    </row>
    <row r="56" spans="10:33" x14ac:dyDescent="0.25">
      <c r="J56" s="1">
        <v>53.399999999999899</v>
      </c>
      <c r="K56" s="6">
        <f>ROUNDDOWN(('SPT-01'!$M91*'TABELA AUXILIAR'!$J$3+SUM('SPT-01'!$N$37:$N91))/2,0)*0.9</f>
        <v>16174.800000000001</v>
      </c>
      <c r="L56" s="6">
        <f>ROUNDDOWN(('SPT-01'!$M91*'TABELA AUXILIAR'!$J$4+SUM('SPT-01'!$O$37:$O91))/2,0)*0.9</f>
        <v>17647.2</v>
      </c>
      <c r="M56" s="6">
        <f>ROUNDDOWN(('SPT-01'!$M91*'TABELA AUXILIAR'!$J$5+SUM('SPT-01'!$P$37:$P91))/2,0)*0.9</f>
        <v>20613.600000000002</v>
      </c>
      <c r="N56" s="2"/>
      <c r="O56" s="8">
        <v>51.599999999999902</v>
      </c>
      <c r="P56" s="6">
        <f>ROUNDDOWN(('SPT-01'!$M88*'TABELA AUXILIAR'!$J$3+SUM('SPT-01'!$N$34:$N88))/2,0)*0.9</f>
        <v>16035.300000000001</v>
      </c>
      <c r="Q56" s="6">
        <f>ROUNDDOWN(('SPT-01'!$M88*'TABELA AUXILIAR'!$J$4+SUM('SPT-01'!$O$34:$O88))/2,0)*0.9</f>
        <v>17494.2</v>
      </c>
      <c r="R56" s="6">
        <f>ROUNDDOWN(('SPT-01'!$M88*'TABELA AUXILIAR'!$J$5+SUM('SPT-01'!$P$34:$P88))/2,0)*0.9</f>
        <v>20432.7</v>
      </c>
      <c r="T56" s="8">
        <v>46.8</v>
      </c>
      <c r="U56" s="6">
        <f>ROUNDDOWN(('SPT-01'!$M80*'TABELA AUXILIAR'!$J$3+SUM('SPT-01'!$N$26:$N80))/2,0)*0.9</f>
        <v>15345.9</v>
      </c>
      <c r="V56" s="6">
        <f>ROUNDDOWN(('SPT-01'!$M80*'TABELA AUXILIAR'!$J$4+SUM('SPT-01'!$O$26:$O80))/2,0)*0.9</f>
        <v>16741.8</v>
      </c>
      <c r="W56" s="6">
        <f>ROUNDDOWN(('SPT-01'!$M80*'TABELA AUXILIAR'!$J$5+SUM('SPT-01'!$P$26:$P80))/2,0)*0.9</f>
        <v>19552.5</v>
      </c>
      <c r="Y56" s="1">
        <v>42</v>
      </c>
      <c r="Z56" s="6">
        <f>ROUNDDOWN(('SPT-01'!$M72*'TABELA AUXILIAR'!$J$3+SUM('SPT-01'!$N$18:$N72))/2,0)*0.9</f>
        <v>14850</v>
      </c>
      <c r="AA56" s="6">
        <f>ROUNDDOWN(('SPT-01'!$M72*'TABELA AUXILIAR'!$J$4+SUM('SPT-01'!$O$18:$O72))/2,0)*0.9</f>
        <v>16253.1</v>
      </c>
      <c r="AB56" s="6">
        <f>ROUNDDOWN(('SPT-01'!$M72*'TABELA AUXILIAR'!$J$5+SUM('SPT-01'!$P$18:$P72))/2,0)*0.9</f>
        <v>19114.2</v>
      </c>
      <c r="AD56" s="1">
        <v>37.200000000000003</v>
      </c>
      <c r="AE56" s="6">
        <f>ROUNDDOWN(('SPT-01'!$M64*'TABELA AUXILIAR'!$J$3+SUM('SPT-01'!$N$10:$N64))/2,0)*0.9</f>
        <v>13127.4</v>
      </c>
      <c r="AF56" s="6">
        <f>ROUNDDOWN(('SPT-01'!$M64*'TABELA AUXILIAR'!$J$4+SUM('SPT-01'!$O$10:$O64))/2,0)*0.9</f>
        <v>14374.800000000001</v>
      </c>
      <c r="AG56" s="6">
        <f>ROUNDDOWN(('SPT-01'!$M64*'TABELA AUXILIAR'!$J$5+SUM('SPT-01'!$P$10:$P64))/2,0)*0.9</f>
        <v>16921.8</v>
      </c>
    </row>
    <row r="57" spans="10:33" x14ac:dyDescent="0.25">
      <c r="J57" s="1">
        <v>53.999999999999901</v>
      </c>
      <c r="K57" s="6">
        <f>ROUNDDOWN(('SPT-01'!$M92*'TABELA AUXILIAR'!$J$3+SUM('SPT-01'!$N$37:$N92))/2,0)*0.9</f>
        <v>16472.7</v>
      </c>
      <c r="L57" s="6">
        <f>ROUNDDOWN(('SPT-01'!$M92*'TABELA AUXILIAR'!$J$4+SUM('SPT-01'!$O$37:$O92))/2,0)*0.9</f>
        <v>17971.2</v>
      </c>
      <c r="M57" s="6">
        <f>ROUNDDOWN(('SPT-01'!$M92*'TABELA AUXILIAR'!$J$5+SUM('SPT-01'!$P$37:$P92))/2,0)*0.9</f>
        <v>20988.9</v>
      </c>
      <c r="N57" s="2"/>
      <c r="O57" s="8">
        <v>52.199999999999903</v>
      </c>
      <c r="P57" s="6">
        <f>ROUNDDOWN(('SPT-01'!$M89*'TABELA AUXILIAR'!$J$3+SUM('SPT-01'!$N$34:$N89))/2,0)*0.9</f>
        <v>16328.7</v>
      </c>
      <c r="Q57" s="6">
        <f>ROUNDDOWN(('SPT-01'!$M89*'TABELA AUXILIAR'!$J$4+SUM('SPT-01'!$O$34:$O89))/2,0)*0.9</f>
        <v>17812.8</v>
      </c>
      <c r="R57" s="6">
        <f>ROUNDDOWN(('SPT-01'!$M89*'TABELA AUXILIAR'!$J$5+SUM('SPT-01'!$P$34:$P89))/2,0)*0.9</f>
        <v>20801.7</v>
      </c>
      <c r="T57" s="8">
        <v>47.4</v>
      </c>
      <c r="U57" s="6">
        <f>ROUNDDOWN(('SPT-01'!$M81*'TABELA AUXILIAR'!$J$3+SUM('SPT-01'!$N$26:$N81))/2,0)*0.9</f>
        <v>15625.800000000001</v>
      </c>
      <c r="V57" s="6">
        <f>ROUNDDOWN(('SPT-01'!$M81*'TABELA AUXILIAR'!$J$4+SUM('SPT-01'!$O$26:$O81))/2,0)*0.9</f>
        <v>17046</v>
      </c>
      <c r="W57" s="6">
        <f>ROUNDDOWN(('SPT-01'!$M81*'TABELA AUXILIAR'!$J$5+SUM('SPT-01'!$P$26:$P81))/2,0)*0.9</f>
        <v>19905.3</v>
      </c>
      <c r="Y57" s="1">
        <v>42.6</v>
      </c>
      <c r="Z57" s="6">
        <f>ROUNDDOWN(('SPT-01'!$M73*'TABELA AUXILIAR'!$J$3+SUM('SPT-01'!$N$18:$N73))/2,0)*0.9</f>
        <v>15231.6</v>
      </c>
      <c r="AA57" s="6">
        <f>ROUNDDOWN(('SPT-01'!$M73*'TABELA AUXILIAR'!$J$4+SUM('SPT-01'!$O$18:$O73))/2,0)*0.9</f>
        <v>16668.900000000001</v>
      </c>
      <c r="AB57" s="6">
        <f>ROUNDDOWN(('SPT-01'!$M73*'TABELA AUXILIAR'!$J$5+SUM('SPT-01'!$P$18:$P73))/2,0)*0.9</f>
        <v>19595.7</v>
      </c>
      <c r="AD57" s="1">
        <v>37.799999999999997</v>
      </c>
      <c r="AE57" s="6">
        <f>ROUNDDOWN(('SPT-01'!$M65*'TABELA AUXILIAR'!$J$3+SUM('SPT-01'!$N$10:$N65))/2,0)*0.9</f>
        <v>13439.7</v>
      </c>
      <c r="AF57" s="6">
        <f>ROUNDDOWN(('SPT-01'!$M65*'TABELA AUXILIAR'!$J$4+SUM('SPT-01'!$O$10:$O65))/2,0)*0.9</f>
        <v>14715</v>
      </c>
      <c r="AG57" s="6">
        <f>ROUNDDOWN(('SPT-01'!$M65*'TABELA AUXILIAR'!$J$5+SUM('SPT-01'!$P$10:$P65))/2,0)*0.9</f>
        <v>17317.8</v>
      </c>
    </row>
    <row r="58" spans="10:33" x14ac:dyDescent="0.25">
      <c r="J58" s="1">
        <v>54.599999999999902</v>
      </c>
      <c r="K58" s="6">
        <f>ROUNDDOWN(('SPT-01'!$M93*'TABELA AUXILIAR'!$J$3+SUM('SPT-01'!$N$37:$N93))/2,0)*0.9</f>
        <v>16772.400000000001</v>
      </c>
      <c r="L58" s="6">
        <f>ROUNDDOWN(('SPT-01'!$M93*'TABELA AUXILIAR'!$J$4+SUM('SPT-01'!$O$37:$O93))/2,0)*0.9</f>
        <v>18297</v>
      </c>
      <c r="M58" s="6">
        <f>ROUNDDOWN(('SPT-01'!$M93*'TABELA AUXILIAR'!$J$5+SUM('SPT-01'!$P$37:$P93))/2,0)*0.9</f>
        <v>21366</v>
      </c>
      <c r="N58" s="2"/>
      <c r="O58" s="8">
        <v>52.799999999999898</v>
      </c>
      <c r="P58" s="6">
        <f>ROUNDDOWN(('SPT-01'!$M90*'TABELA AUXILIAR'!$J$3+SUM('SPT-01'!$N$34:$N90))/2,0)*0.9</f>
        <v>16623</v>
      </c>
      <c r="Q58" s="6">
        <f>ROUNDDOWN(('SPT-01'!$M90*'TABELA AUXILIAR'!$J$4+SUM('SPT-01'!$O$34:$O90))/2,0)*0.9</f>
        <v>18133.2</v>
      </c>
      <c r="R58" s="6">
        <f>ROUNDDOWN(('SPT-01'!$M90*'TABELA AUXILIAR'!$J$5+SUM('SPT-01'!$P$34:$P90))/2,0)*0.9</f>
        <v>21172.5</v>
      </c>
      <c r="T58" s="8">
        <v>48</v>
      </c>
      <c r="U58" s="6">
        <f>ROUNDDOWN(('SPT-01'!$M82*'TABELA AUXILIAR'!$J$3+SUM('SPT-01'!$N$26:$N82))/2,0)*0.9</f>
        <v>15906.6</v>
      </c>
      <c r="V58" s="6">
        <f>ROUNDDOWN(('SPT-01'!$M82*'TABELA AUXILIAR'!$J$4+SUM('SPT-01'!$O$26:$O82))/2,0)*0.9</f>
        <v>17351.100000000002</v>
      </c>
      <c r="W58" s="6">
        <f>ROUNDDOWN(('SPT-01'!$M82*'TABELA AUXILIAR'!$J$5+SUM('SPT-01'!$P$26:$P82))/2,0)*0.9</f>
        <v>20259</v>
      </c>
      <c r="Y58" s="1">
        <v>43.2</v>
      </c>
      <c r="Z58" s="6">
        <f>ROUNDDOWN(('SPT-01'!$M74*'TABELA AUXILIAR'!$J$3+SUM('SPT-01'!$N$18:$N74))/2,0)*0.9</f>
        <v>14769</v>
      </c>
      <c r="AA58" s="6">
        <f>ROUNDDOWN(('SPT-01'!$M74*'TABELA AUXILIAR'!$J$4+SUM('SPT-01'!$O$18:$O74))/2,0)*0.9</f>
        <v>16107.300000000001</v>
      </c>
      <c r="AB58" s="6">
        <f>ROUNDDOWN(('SPT-01'!$M74*'TABELA AUXILIAR'!$J$5+SUM('SPT-01'!$P$18:$P74))/2,0)*0.9</f>
        <v>18798.3</v>
      </c>
      <c r="AD58" s="1">
        <v>38.4</v>
      </c>
      <c r="AE58" s="6">
        <f>ROUNDDOWN(('SPT-01'!$M66*'TABELA AUXILIAR'!$J$3+SUM('SPT-01'!$N$10:$N66))/2,0)*0.9</f>
        <v>13450.5</v>
      </c>
      <c r="AF58" s="6">
        <f>ROUNDDOWN(('SPT-01'!$M66*'TABELA AUXILIAR'!$J$4+SUM('SPT-01'!$O$10:$O66))/2,0)*0.9</f>
        <v>14706</v>
      </c>
      <c r="AG58" s="6">
        <f>ROUNDDOWN(('SPT-01'!$M66*'TABELA AUXILIAR'!$J$5+SUM('SPT-01'!$P$10:$P66))/2,0)*0.9</f>
        <v>17255.7</v>
      </c>
    </row>
    <row r="59" spans="10:33" x14ac:dyDescent="0.25">
      <c r="J59" s="1">
        <v>55.199999999999903</v>
      </c>
      <c r="K59" s="6">
        <f>ROUNDDOWN(('SPT-01'!$M94*'TABELA AUXILIAR'!$J$3+SUM('SPT-01'!$N$37:$N94))/2,0)*0.9</f>
        <v>17073</v>
      </c>
      <c r="L59" s="6">
        <f>ROUNDDOWN(('SPT-01'!$M94*'TABELA AUXILIAR'!$J$4+SUM('SPT-01'!$O$37:$O94))/2,0)*0.9</f>
        <v>18623.7</v>
      </c>
      <c r="M59" s="6">
        <f>ROUNDDOWN(('SPT-01'!$M94*'TABELA AUXILIAR'!$J$5+SUM('SPT-01'!$P$37:$P94))/2,0)*0.9</f>
        <v>21744.9</v>
      </c>
      <c r="N59" s="2"/>
      <c r="O59" s="8">
        <v>53.399999999999899</v>
      </c>
      <c r="P59" s="6">
        <f>ROUNDDOWN(('SPT-01'!$M91*'TABELA AUXILIAR'!$J$3+SUM('SPT-01'!$N$34:$N91))/2,0)*0.9</f>
        <v>16919.100000000002</v>
      </c>
      <c r="Q59" s="6">
        <f>ROUNDDOWN(('SPT-01'!$M91*'TABELA AUXILIAR'!$J$4+SUM('SPT-01'!$O$34:$O91))/2,0)*0.9</f>
        <v>18454.5</v>
      </c>
      <c r="R59" s="6">
        <f>ROUNDDOWN(('SPT-01'!$M91*'TABELA AUXILIAR'!$J$5+SUM('SPT-01'!$P$34:$P91))/2,0)*0.9</f>
        <v>21546</v>
      </c>
      <c r="T59" s="8">
        <v>48.6</v>
      </c>
      <c r="U59" s="6">
        <f>ROUNDDOWN(('SPT-01'!$M83*'TABELA AUXILIAR'!$J$3+SUM('SPT-01'!$N$26:$N83))/2,0)*0.9</f>
        <v>16189.2</v>
      </c>
      <c r="V59" s="6">
        <f>ROUNDDOWN(('SPT-01'!$M83*'TABELA AUXILIAR'!$J$4+SUM('SPT-01'!$O$26:$O83))/2,0)*0.9</f>
        <v>17658.900000000001</v>
      </c>
      <c r="W59" s="6">
        <f>ROUNDDOWN(('SPT-01'!$M83*'TABELA AUXILIAR'!$J$5+SUM('SPT-01'!$P$26:$P83))/2,0)*0.9</f>
        <v>20615.400000000001</v>
      </c>
      <c r="Y59" s="1">
        <v>43.8</v>
      </c>
      <c r="Z59" s="6">
        <f>ROUNDDOWN(('SPT-01'!$M75*'TABELA AUXILIAR'!$J$3+SUM('SPT-01'!$N$18:$N75))/2,0)*0.9</f>
        <v>15136.2</v>
      </c>
      <c r="AA59" s="6">
        <f>ROUNDDOWN(('SPT-01'!$M75*'TABELA AUXILIAR'!$J$4+SUM('SPT-01'!$O$18:$O75))/2,0)*0.9</f>
        <v>16514.100000000002</v>
      </c>
      <c r="AB59" s="6">
        <f>ROUNDDOWN(('SPT-01'!$M75*'TABELA AUXILIAR'!$J$5+SUM('SPT-01'!$P$18:$P75))/2,0)*0.9</f>
        <v>19288.8</v>
      </c>
      <c r="AD59" s="1">
        <v>39</v>
      </c>
      <c r="AE59" s="6">
        <f>ROUNDDOWN(('SPT-01'!$M67*'TABELA AUXILIAR'!$J$3+SUM('SPT-01'!$N$10:$N67))/2,0)*0.9</f>
        <v>14030.1</v>
      </c>
      <c r="AF59" s="6">
        <f>ROUNDDOWN(('SPT-01'!$M67*'TABELA AUXILIAR'!$J$4+SUM('SPT-01'!$O$10:$O67))/2,0)*0.9</f>
        <v>15357.6</v>
      </c>
      <c r="AG59" s="6">
        <f>ROUNDDOWN(('SPT-01'!$M67*'TABELA AUXILIAR'!$J$5+SUM('SPT-01'!$P$10:$P67))/2,0)*0.9</f>
        <v>18066.600000000002</v>
      </c>
    </row>
    <row r="60" spans="10:33" x14ac:dyDescent="0.25">
      <c r="J60" s="1">
        <v>55.799999999999898</v>
      </c>
      <c r="K60" s="6">
        <f>ROUNDDOWN(('SPT-01'!$M95*'TABELA AUXILIAR'!$J$3+SUM('SPT-01'!$N$37:$N95))/2,0)*0.9</f>
        <v>17376.3</v>
      </c>
      <c r="L60" s="6">
        <f>ROUNDDOWN(('SPT-01'!$M95*'TABELA AUXILIAR'!$J$4+SUM('SPT-01'!$O$37:$O95))/2,0)*0.9</f>
        <v>18953.100000000002</v>
      </c>
      <c r="M60" s="6">
        <f>ROUNDDOWN(('SPT-01'!$M95*'TABELA AUXILIAR'!$J$5+SUM('SPT-01'!$P$37:$P95))/2,0)*0.9</f>
        <v>22126.5</v>
      </c>
      <c r="N60" s="2"/>
      <c r="O60" s="8">
        <v>53.999999999999901</v>
      </c>
      <c r="P60" s="6">
        <f>ROUNDDOWN(('SPT-01'!$M92*'TABELA AUXILIAR'!$J$3+SUM('SPT-01'!$N$34:$N92))/2,0)*0.9</f>
        <v>17217</v>
      </c>
      <c r="Q60" s="6">
        <f>ROUNDDOWN(('SPT-01'!$M92*'TABELA AUXILIAR'!$J$4+SUM('SPT-01'!$O$34:$O92))/2,0)*0.9</f>
        <v>18778.5</v>
      </c>
      <c r="R60" s="6">
        <f>ROUNDDOWN(('SPT-01'!$M92*'TABELA AUXILIAR'!$J$5+SUM('SPT-01'!$P$34:$P92))/2,0)*0.9</f>
        <v>21921.3</v>
      </c>
      <c r="T60" s="8">
        <v>49.199999999999903</v>
      </c>
      <c r="U60" s="6">
        <f>ROUNDDOWN(('SPT-01'!$M84*'TABELA AUXILIAR'!$J$3+SUM('SPT-01'!$N$26:$N84))/2,0)*0.9</f>
        <v>16473.600000000002</v>
      </c>
      <c r="V60" s="6">
        <f>ROUNDDOWN(('SPT-01'!$M84*'TABELA AUXILIAR'!$J$4+SUM('SPT-01'!$O$26:$O84))/2,0)*0.9</f>
        <v>17967.600000000002</v>
      </c>
      <c r="W60" s="6">
        <f>ROUNDDOWN(('SPT-01'!$M84*'TABELA AUXILIAR'!$J$5+SUM('SPT-01'!$P$26:$P84))/2,0)*0.9</f>
        <v>20973.600000000002</v>
      </c>
      <c r="Y60" s="8">
        <v>44.4</v>
      </c>
      <c r="Z60" s="6">
        <f>ROUNDDOWN(('SPT-01'!$M76*'TABELA AUXILIAR'!$J$3+SUM('SPT-01'!$N$18:$N76))/2,0)*0.9</f>
        <v>15376.5</v>
      </c>
      <c r="AA60" s="6">
        <f>ROUNDDOWN(('SPT-01'!$M76*'TABELA AUXILIAR'!$J$4+SUM('SPT-01'!$O$18:$O76))/2,0)*0.9</f>
        <v>16772.400000000001</v>
      </c>
      <c r="AB60" s="6">
        <f>ROUNDDOWN(('SPT-01'!$M76*'TABELA AUXILIAR'!$J$5+SUM('SPT-01'!$P$18:$P76))/2,0)*0.9</f>
        <v>19582.2</v>
      </c>
      <c r="AD60" s="1">
        <v>39.6</v>
      </c>
      <c r="AE60" s="6">
        <f>ROUNDDOWN(('SPT-01'!$M68*'TABELA AUXILIAR'!$J$3+SUM('SPT-01'!$N$10:$N68))/2,0)*0.9</f>
        <v>14352.300000000001</v>
      </c>
      <c r="AF60" s="6">
        <f>ROUNDDOWN(('SPT-01'!$M68*'TABELA AUXILIAR'!$J$4+SUM('SPT-01'!$O$10:$O68))/2,0)*0.9</f>
        <v>15708.6</v>
      </c>
      <c r="AG60" s="6">
        <f>ROUNDDOWN(('SPT-01'!$M68*'TABELA AUXILIAR'!$J$5+SUM('SPT-01'!$P$10:$P68))/2,0)*0.9</f>
        <v>18473.400000000001</v>
      </c>
    </row>
    <row r="61" spans="10:33" x14ac:dyDescent="0.25">
      <c r="J61" s="1">
        <v>56.399999999999899</v>
      </c>
      <c r="K61" s="6">
        <f>ROUNDDOWN(('SPT-01'!$M96*'TABELA AUXILIAR'!$J$3+SUM('SPT-01'!$N$37:$N96))/2,0)*0.9</f>
        <v>17680.5</v>
      </c>
      <c r="L61" s="6">
        <f>ROUNDDOWN(('SPT-01'!$M96*'TABELA AUXILIAR'!$J$4+SUM('SPT-01'!$O$37:$O96))/2,0)*0.9</f>
        <v>19283.400000000001</v>
      </c>
      <c r="M61" s="6">
        <f>ROUNDDOWN(('SPT-01'!$M96*'TABELA AUXILIAR'!$J$5+SUM('SPT-01'!$P$37:$P96))/2,0)*0.9</f>
        <v>22509.9</v>
      </c>
      <c r="N61" s="2"/>
      <c r="O61" s="8">
        <v>54.599999999999902</v>
      </c>
      <c r="P61" s="6">
        <f>ROUNDDOWN(('SPT-01'!$M93*'TABELA AUXILIAR'!$J$3+SUM('SPT-01'!$N$34:$N93))/2,0)*0.9</f>
        <v>17516.7</v>
      </c>
      <c r="Q61" s="6">
        <f>ROUNDDOWN(('SPT-01'!$M93*'TABELA AUXILIAR'!$J$4+SUM('SPT-01'!$O$34:$O93))/2,0)*0.9</f>
        <v>19104.3</v>
      </c>
      <c r="R61" s="6">
        <f>ROUNDDOWN(('SPT-01'!$M93*'TABELA AUXILIAR'!$J$5+SUM('SPT-01'!$P$34:$P93))/2,0)*0.9</f>
        <v>22298.400000000001</v>
      </c>
      <c r="T61" s="8">
        <v>49.799999999999898</v>
      </c>
      <c r="U61" s="6">
        <f>ROUNDDOWN(('SPT-01'!$M85*'TABELA AUXILIAR'!$J$3+SUM('SPT-01'!$N$26:$N85))/2,0)*0.9</f>
        <v>16759.8</v>
      </c>
      <c r="V61" s="6">
        <f>ROUNDDOWN(('SPT-01'!$M85*'TABELA AUXILIAR'!$J$4+SUM('SPT-01'!$O$26:$O85))/2,0)*0.9</f>
        <v>18279</v>
      </c>
      <c r="W61" s="6">
        <f>ROUNDDOWN(('SPT-01'!$M85*'TABELA AUXILIAR'!$J$5+SUM('SPT-01'!$P$26:$P85))/2,0)*0.9</f>
        <v>21334.5</v>
      </c>
      <c r="Y61" s="8">
        <v>45</v>
      </c>
      <c r="Z61" s="6">
        <f>ROUNDDOWN(('SPT-01'!$M77*'TABELA AUXILIAR'!$J$3+SUM('SPT-01'!$N$18:$N77))/2,0)*0.9</f>
        <v>15648.300000000001</v>
      </c>
      <c r="AA61" s="6">
        <f>ROUNDDOWN(('SPT-01'!$M77*'TABELA AUXILIAR'!$J$4+SUM('SPT-01'!$O$18:$O77))/2,0)*0.9</f>
        <v>17068.5</v>
      </c>
      <c r="AB61" s="6">
        <f>ROUNDDOWN(('SPT-01'!$M77*'TABELA AUXILIAR'!$J$5+SUM('SPT-01'!$P$18:$P77))/2,0)*0.9</f>
        <v>19925.100000000002</v>
      </c>
      <c r="AD61" s="1">
        <v>40.200000000000003</v>
      </c>
      <c r="AE61" s="6">
        <f>ROUNDDOWN(('SPT-01'!$M69*'TABELA AUXILIAR'!$J$3+SUM('SPT-01'!$N$10:$N69))/2,0)*0.9</f>
        <v>14676.300000000001</v>
      </c>
      <c r="AF61" s="6">
        <f>ROUNDDOWN(('SPT-01'!$M69*'TABELA AUXILIAR'!$J$4+SUM('SPT-01'!$O$10:$O69))/2,0)*0.9</f>
        <v>16062.300000000001</v>
      </c>
      <c r="AG61" s="6">
        <f>ROUNDDOWN(('SPT-01'!$M69*'TABELA AUXILIAR'!$J$5+SUM('SPT-01'!$P$10:$P69))/2,0)*0.9</f>
        <v>18884.7</v>
      </c>
    </row>
    <row r="62" spans="10:33" x14ac:dyDescent="0.25">
      <c r="J62" s="1">
        <v>56.999999999999901</v>
      </c>
      <c r="K62" s="6">
        <f>ROUNDDOWN(('SPT-01'!$M97*'TABELA AUXILIAR'!$J$3+SUM('SPT-01'!$N$37:$N97))/2,0)*0.9</f>
        <v>17986.5</v>
      </c>
      <c r="L62" s="6">
        <f>ROUNDDOWN(('SPT-01'!$M97*'TABELA AUXILIAR'!$J$4+SUM('SPT-01'!$O$37:$O97))/2,0)*0.9</f>
        <v>19616.400000000001</v>
      </c>
      <c r="M62" s="6">
        <f>ROUNDDOWN(('SPT-01'!$M97*'TABELA AUXILIAR'!$J$5+SUM('SPT-01'!$P$37:$P97))/2,0)*0.9</f>
        <v>22895.100000000002</v>
      </c>
      <c r="N62" s="2"/>
      <c r="O62" s="8">
        <v>55.199999999999903</v>
      </c>
      <c r="P62" s="6">
        <f>ROUNDDOWN(('SPT-01'!$M94*'TABELA AUXILIAR'!$J$3+SUM('SPT-01'!$N$34:$N94))/2,0)*0.9</f>
        <v>17817.3</v>
      </c>
      <c r="Q62" s="6">
        <f>ROUNDDOWN(('SPT-01'!$M94*'TABELA AUXILIAR'!$J$4+SUM('SPT-01'!$O$34:$O94))/2,0)*0.9</f>
        <v>19431.900000000001</v>
      </c>
      <c r="R62" s="6">
        <f>ROUNDDOWN(('SPT-01'!$M94*'TABELA AUXILIAR'!$J$5+SUM('SPT-01'!$P$34:$P94))/2,0)*0.9</f>
        <v>22677.3</v>
      </c>
      <c r="T62" s="8">
        <v>50.399999999999899</v>
      </c>
      <c r="U62" s="6">
        <f>ROUNDDOWN(('SPT-01'!$M86*'TABELA AUXILIAR'!$J$3+SUM('SPT-01'!$N$26:$N86))/2,0)*0.9</f>
        <v>17047.8</v>
      </c>
      <c r="V62" s="6">
        <f>ROUNDDOWN(('SPT-01'!$M86*'TABELA AUXILIAR'!$J$4+SUM('SPT-01'!$O$26:$O86))/2,0)*0.9</f>
        <v>18592.2</v>
      </c>
      <c r="W62" s="6">
        <f>ROUNDDOWN(('SPT-01'!$M86*'TABELA AUXILIAR'!$J$5+SUM('SPT-01'!$P$26:$P86))/2,0)*0.9</f>
        <v>21697.200000000001</v>
      </c>
      <c r="Y62" s="8">
        <v>45.6</v>
      </c>
      <c r="Z62" s="6">
        <f>ROUNDDOWN(('SPT-01'!$M78*'TABELA AUXILIAR'!$J$3+SUM('SPT-01'!$N$18:$N78))/2,0)*0.9</f>
        <v>15922.800000000001</v>
      </c>
      <c r="AA62" s="6">
        <f>ROUNDDOWN(('SPT-01'!$M78*'TABELA AUXILIAR'!$J$4+SUM('SPT-01'!$O$18:$O78))/2,0)*0.9</f>
        <v>17366.400000000001</v>
      </c>
      <c r="AB62" s="6">
        <f>ROUNDDOWN(('SPT-01'!$M78*'TABELA AUXILIAR'!$J$5+SUM('SPT-01'!$P$18:$P78))/2,0)*0.9</f>
        <v>20270.7</v>
      </c>
      <c r="AD62" s="1">
        <v>40.799999999999997</v>
      </c>
      <c r="AE62" s="6">
        <f>ROUNDDOWN(('SPT-01'!$M70*'TABELA AUXILIAR'!$J$3+SUM('SPT-01'!$N$10:$N70))/2,0)*0.9</f>
        <v>14334.300000000001</v>
      </c>
      <c r="AF62" s="6">
        <f>ROUNDDOWN(('SPT-01'!$M70*'TABELA AUXILIAR'!$J$4+SUM('SPT-01'!$O$10:$O70))/2,0)*0.9</f>
        <v>15640.2</v>
      </c>
      <c r="AG62" s="6">
        <f>ROUNDDOWN(('SPT-01'!$M70*'TABELA AUXILIAR'!$J$5+SUM('SPT-01'!$P$10:$P70))/2,0)*0.9</f>
        <v>18272.7</v>
      </c>
    </row>
    <row r="63" spans="10:33" x14ac:dyDescent="0.25">
      <c r="J63" s="1">
        <v>57.599999999999902</v>
      </c>
      <c r="K63" s="6">
        <f>ROUNDDOWN(('SPT-01'!$M98*'TABELA AUXILIAR'!$J$3+SUM('SPT-01'!$N$37:$N98))/2,0)*0.9</f>
        <v>18294.3</v>
      </c>
      <c r="L63" s="6">
        <f>ROUNDDOWN(('SPT-01'!$M98*'TABELA AUXILIAR'!$J$4+SUM('SPT-01'!$O$37:$O98))/2,0)*0.9</f>
        <v>19951.2</v>
      </c>
      <c r="M63" s="6">
        <f>ROUNDDOWN(('SPT-01'!$M98*'TABELA AUXILIAR'!$J$5+SUM('SPT-01'!$P$37:$P98))/2,0)*0.9</f>
        <v>23282.100000000002</v>
      </c>
      <c r="N63" s="2"/>
      <c r="O63" s="8">
        <v>55.799999999999898</v>
      </c>
      <c r="P63" s="6">
        <f>ROUNDDOWN(('SPT-01'!$M95*'TABELA AUXILIAR'!$J$3+SUM('SPT-01'!$N$34:$N95))/2,0)*0.9</f>
        <v>18120.600000000002</v>
      </c>
      <c r="Q63" s="6">
        <f>ROUNDDOWN(('SPT-01'!$M95*'TABELA AUXILIAR'!$J$4+SUM('SPT-01'!$O$34:$O95))/2,0)*0.9</f>
        <v>19760.400000000001</v>
      </c>
      <c r="R63" s="6">
        <f>ROUNDDOWN(('SPT-01'!$M95*'TABELA AUXILIAR'!$J$5+SUM('SPT-01'!$P$34:$P95))/2,0)*0.9</f>
        <v>23058.9</v>
      </c>
      <c r="T63" s="8">
        <v>50.999999999999901</v>
      </c>
      <c r="U63" s="6">
        <f>ROUNDDOWN(('SPT-01'!$M87*'TABELA AUXILIAR'!$J$3+SUM('SPT-01'!$N$26:$N87))/2,0)*0.9</f>
        <v>17337.600000000002</v>
      </c>
      <c r="V63" s="6">
        <f>ROUNDDOWN(('SPT-01'!$M87*'TABELA AUXILIAR'!$J$4+SUM('SPT-01'!$O$26:$O87))/2,0)*0.9</f>
        <v>18907.2</v>
      </c>
      <c r="W63" s="6">
        <f>ROUNDDOWN(('SPT-01'!$M87*'TABELA AUXILIAR'!$J$5+SUM('SPT-01'!$P$26:$P87))/2,0)*0.9</f>
        <v>22061.7</v>
      </c>
      <c r="Y63" s="8">
        <v>46.2</v>
      </c>
      <c r="Z63" s="6">
        <f>ROUNDDOWN(('SPT-01'!$M79*'TABELA AUXILIAR'!$J$3+SUM('SPT-01'!$N$18:$N79))/2,0)*0.9</f>
        <v>16199.1</v>
      </c>
      <c r="AA63" s="6">
        <f>ROUNDDOWN(('SPT-01'!$M79*'TABELA AUXILIAR'!$J$4+SUM('SPT-01'!$O$18:$O79))/2,0)*0.9</f>
        <v>17666.100000000002</v>
      </c>
      <c r="AB63" s="6">
        <f>ROUNDDOWN(('SPT-01'!$M79*'TABELA AUXILIAR'!$J$5+SUM('SPT-01'!$P$18:$P79))/2,0)*0.9</f>
        <v>20619</v>
      </c>
      <c r="AD63" s="1">
        <v>41.4</v>
      </c>
      <c r="AE63" s="6">
        <f>ROUNDDOWN(('SPT-01'!$M71*'TABELA AUXILIAR'!$J$3+SUM('SPT-01'!$N$10:$N71))/2,0)*0.9</f>
        <v>14530.5</v>
      </c>
      <c r="AF63" s="6">
        <f>ROUNDDOWN(('SPT-01'!$M71*'TABELA AUXILIAR'!$J$4+SUM('SPT-01'!$O$10:$O71))/2,0)*0.9</f>
        <v>15849</v>
      </c>
      <c r="AG63" s="6">
        <f>ROUNDDOWN(('SPT-01'!$M71*'TABELA AUXILIAR'!$J$5+SUM('SPT-01'!$P$10:$P71))/2,0)*0.9</f>
        <v>18503.100000000002</v>
      </c>
    </row>
    <row r="64" spans="10:33" x14ac:dyDescent="0.25">
      <c r="J64" s="1">
        <v>58.199999999999903</v>
      </c>
      <c r="K64" s="6">
        <f>ROUNDDOWN(('SPT-01'!$M99*'TABELA AUXILIAR'!$J$3+SUM('SPT-01'!$N$37:$N99))/2,0)*0.9</f>
        <v>18603</v>
      </c>
      <c r="L64" s="6">
        <f>ROUNDDOWN(('SPT-01'!$M99*'TABELA AUXILIAR'!$J$4+SUM('SPT-01'!$O$37:$O99))/2,0)*0.9</f>
        <v>20286.900000000001</v>
      </c>
      <c r="M64" s="6">
        <f>ROUNDDOWN(('SPT-01'!$M99*'TABELA AUXILIAR'!$J$5+SUM('SPT-01'!$P$37:$P99))/2,0)*0.9</f>
        <v>23671.8</v>
      </c>
      <c r="N64" s="2"/>
      <c r="O64" s="8">
        <v>56.399999999999899</v>
      </c>
      <c r="P64" s="6">
        <f>ROUNDDOWN(('SPT-01'!$M96*'TABELA AUXILIAR'!$J$3+SUM('SPT-01'!$N$34:$N96))/2,0)*0.9</f>
        <v>18424.8</v>
      </c>
      <c r="Q64" s="6">
        <f>ROUNDDOWN(('SPT-01'!$M96*'TABELA AUXILIAR'!$J$4+SUM('SPT-01'!$O$34:$O96))/2,0)*0.9</f>
        <v>20091.600000000002</v>
      </c>
      <c r="R64" s="6">
        <f>ROUNDDOWN(('SPT-01'!$M96*'TABELA AUXILIAR'!$J$5+SUM('SPT-01'!$P$34:$P96))/2,0)*0.9</f>
        <v>23442.3</v>
      </c>
      <c r="T64" s="8">
        <v>51.599999999999902</v>
      </c>
      <c r="U64" s="6">
        <f>ROUNDDOWN(('SPT-01'!$M88*'TABELA AUXILIAR'!$J$3+SUM('SPT-01'!$N$26:$N88))/2,0)*0.9</f>
        <v>17629.2</v>
      </c>
      <c r="V64" s="6">
        <f>ROUNDDOWN(('SPT-01'!$M88*'TABELA AUXILIAR'!$J$4+SUM('SPT-01'!$O$26:$O88))/2,0)*0.9</f>
        <v>19223.100000000002</v>
      </c>
      <c r="W64" s="6">
        <f>ROUNDDOWN(('SPT-01'!$M88*'TABELA AUXILIAR'!$J$5+SUM('SPT-01'!$P$26:$P88))/2,0)*0.9</f>
        <v>22428.9</v>
      </c>
      <c r="Y64" s="8">
        <v>46.8</v>
      </c>
      <c r="Z64" s="6">
        <f>ROUNDDOWN(('SPT-01'!$M80*'TABELA AUXILIAR'!$J$3+SUM('SPT-01'!$N$18:$N80))/2,0)*0.9</f>
        <v>16476.3</v>
      </c>
      <c r="AA64" s="6">
        <f>ROUNDDOWN(('SPT-01'!$M80*'TABELA AUXILIAR'!$J$4+SUM('SPT-01'!$O$18:$O80))/2,0)*0.9</f>
        <v>17968.5</v>
      </c>
      <c r="AB64" s="6">
        <f>ROUNDDOWN(('SPT-01'!$M80*'TABELA AUXILIAR'!$J$5+SUM('SPT-01'!$P$18:$P80))/2,0)*0.9</f>
        <v>20969.100000000002</v>
      </c>
      <c r="AD64" s="1">
        <v>42</v>
      </c>
      <c r="AE64" s="6">
        <f>ROUNDDOWN(('SPT-01'!$M72*'TABELA AUXILIAR'!$J$3+SUM('SPT-01'!$N$10:$N72))/2,0)*0.9</f>
        <v>15588</v>
      </c>
      <c r="AF64" s="6">
        <f>ROUNDDOWN(('SPT-01'!$M72*'TABELA AUXILIAR'!$J$4+SUM('SPT-01'!$O$10:$O72))/2,0)*0.9</f>
        <v>17054.100000000002</v>
      </c>
      <c r="AG64" s="6">
        <f>ROUNDDOWN(('SPT-01'!$M72*'TABELA AUXILIAR'!$J$5+SUM('SPT-01'!$P$10:$P72))/2,0)*0.9</f>
        <v>20038.5</v>
      </c>
    </row>
    <row r="65" spans="10:33" x14ac:dyDescent="0.25">
      <c r="J65" s="1">
        <v>58.799999999999898</v>
      </c>
      <c r="K65" s="6">
        <f>ROUNDDOWN(('SPT-01'!$M100*'TABELA AUXILIAR'!$J$3+SUM('SPT-01'!$N$37:$N100))/2,0)*0.9</f>
        <v>18914.400000000001</v>
      </c>
      <c r="L65" s="6">
        <f>ROUNDDOWN(('SPT-01'!$M100*'TABELA AUXILIAR'!$J$4+SUM('SPT-01'!$O$37:$O100))/2,0)*0.9</f>
        <v>20624.400000000001</v>
      </c>
      <c r="M65" s="6">
        <f>ROUNDDOWN(('SPT-01'!$M100*'TABELA AUXILIAR'!$J$5+SUM('SPT-01'!$P$37:$P100))/2,0)*0.9</f>
        <v>24063.3</v>
      </c>
      <c r="N65" s="2"/>
      <c r="O65" s="8">
        <v>56.999999999999901</v>
      </c>
      <c r="P65" s="6">
        <f>ROUNDDOWN(('SPT-01'!$M97*'TABELA AUXILIAR'!$J$3+SUM('SPT-01'!$N$34:$N97))/2,0)*0.9</f>
        <v>18730.8</v>
      </c>
      <c r="Q65" s="6">
        <f>ROUNDDOWN(('SPT-01'!$M97*'TABELA AUXILIAR'!$J$4+SUM('SPT-01'!$O$34:$O97))/2,0)*0.9</f>
        <v>20423.7</v>
      </c>
      <c r="R65" s="6">
        <f>ROUNDDOWN(('SPT-01'!$M97*'TABELA AUXILIAR'!$J$5+SUM('SPT-01'!$P$34:$P97))/2,0)*0.9</f>
        <v>23827.5</v>
      </c>
      <c r="T65" s="8">
        <v>52.199999999999903</v>
      </c>
      <c r="U65" s="6">
        <f>ROUNDDOWN(('SPT-01'!$M89*'TABELA AUXILIAR'!$J$3+SUM('SPT-01'!$N$26:$N89))/2,0)*0.9</f>
        <v>17921.7</v>
      </c>
      <c r="V65" s="6">
        <f>ROUNDDOWN(('SPT-01'!$M89*'TABELA AUXILIAR'!$J$4+SUM('SPT-01'!$O$26:$O89))/2,0)*0.9</f>
        <v>19541.7</v>
      </c>
      <c r="W65" s="6">
        <f>ROUNDDOWN(('SPT-01'!$M89*'TABELA AUXILIAR'!$J$5+SUM('SPT-01'!$P$26:$P89))/2,0)*0.9</f>
        <v>22797.9</v>
      </c>
      <c r="Y65" s="8">
        <v>47.4</v>
      </c>
      <c r="Z65" s="6">
        <f>ROUNDDOWN(('SPT-01'!$M81*'TABELA AUXILIAR'!$J$3+SUM('SPT-01'!$N$18:$N81))/2,0)*0.9</f>
        <v>16756.2</v>
      </c>
      <c r="AA65" s="6">
        <f>ROUNDDOWN(('SPT-01'!$M81*'TABELA AUXILIAR'!$J$4+SUM('SPT-01'!$O$18:$O81))/2,0)*0.9</f>
        <v>18271.8</v>
      </c>
      <c r="AB65" s="6">
        <f>ROUNDDOWN(('SPT-01'!$M81*'TABELA AUXILIAR'!$J$5+SUM('SPT-01'!$P$18:$P81))/2,0)*0.9</f>
        <v>21321</v>
      </c>
      <c r="AD65" s="1">
        <v>42.6</v>
      </c>
      <c r="AE65" s="6">
        <f>ROUNDDOWN(('SPT-01'!$M73*'TABELA AUXILIAR'!$J$3+SUM('SPT-01'!$N$10:$N73))/2,0)*0.9</f>
        <v>15969.6</v>
      </c>
      <c r="AF65" s="6">
        <f>ROUNDDOWN(('SPT-01'!$M73*'TABELA AUXILIAR'!$J$4+SUM('SPT-01'!$O$10:$O73))/2,0)*0.9</f>
        <v>17469</v>
      </c>
      <c r="AG65" s="6">
        <f>ROUNDDOWN(('SPT-01'!$M73*'TABELA AUXILIAR'!$J$5+SUM('SPT-01'!$P$10:$P73))/2,0)*0.9</f>
        <v>20520</v>
      </c>
    </row>
    <row r="66" spans="10:33" x14ac:dyDescent="0.25">
      <c r="J66" s="1">
        <v>59.399999999999899</v>
      </c>
      <c r="K66" s="6">
        <f>ROUNDDOWN(('SPT-01'!$M101*'TABELA AUXILIAR'!$J$3+SUM('SPT-01'!$N$37:$N101))/2,0)*0.9</f>
        <v>19226.7</v>
      </c>
      <c r="L66" s="6">
        <f>ROUNDDOWN(('SPT-01'!$M101*'TABELA AUXILIAR'!$J$4+SUM('SPT-01'!$O$37:$O101))/2,0)*0.9</f>
        <v>20964.600000000002</v>
      </c>
      <c r="M66" s="6">
        <f>ROUNDDOWN(('SPT-01'!$M101*'TABELA AUXILIAR'!$J$5+SUM('SPT-01'!$P$37:$P101))/2,0)*0.9</f>
        <v>24456.600000000002</v>
      </c>
      <c r="N66" s="2"/>
      <c r="O66" s="8">
        <v>57.599999999999902</v>
      </c>
      <c r="P66" s="6">
        <f>ROUNDDOWN(('SPT-01'!$M98*'TABELA AUXILIAR'!$J$3+SUM('SPT-01'!$N$34:$N98))/2,0)*0.9</f>
        <v>19038.600000000002</v>
      </c>
      <c r="Q66" s="6">
        <f>ROUNDDOWN(('SPT-01'!$M98*'TABELA AUXILIAR'!$J$4+SUM('SPT-01'!$O$34:$O98))/2,0)*0.9</f>
        <v>20758.5</v>
      </c>
      <c r="R66" s="6">
        <f>ROUNDDOWN(('SPT-01'!$M98*'TABELA AUXILIAR'!$J$5+SUM('SPT-01'!$P$34:$P98))/2,0)*0.9</f>
        <v>24214.5</v>
      </c>
      <c r="T66" s="8">
        <v>52.799999999999898</v>
      </c>
      <c r="U66" s="6">
        <f>ROUNDDOWN(('SPT-01'!$M90*'TABELA AUXILIAR'!$J$3+SUM('SPT-01'!$N$26:$N90))/2,0)*0.9</f>
        <v>18216</v>
      </c>
      <c r="V66" s="6">
        <f>ROUNDDOWN(('SPT-01'!$M90*'TABELA AUXILIAR'!$J$4+SUM('SPT-01'!$O$26:$O90))/2,0)*0.9</f>
        <v>19862.100000000002</v>
      </c>
      <c r="W66" s="6">
        <f>ROUNDDOWN(('SPT-01'!$M90*'TABELA AUXILIAR'!$J$5+SUM('SPT-01'!$P$26:$P90))/2,0)*0.9</f>
        <v>23168.7</v>
      </c>
      <c r="Y66" s="8">
        <v>48</v>
      </c>
      <c r="Z66" s="6">
        <f>ROUNDDOWN(('SPT-01'!$M82*'TABELA AUXILIAR'!$J$3+SUM('SPT-01'!$N$18:$N82))/2,0)*0.9</f>
        <v>17037</v>
      </c>
      <c r="AA66" s="6">
        <f>ROUNDDOWN(('SPT-01'!$M82*'TABELA AUXILIAR'!$J$4+SUM('SPT-01'!$O$18:$O82))/2,0)*0.9</f>
        <v>18577.8</v>
      </c>
      <c r="AB66" s="6">
        <f>ROUNDDOWN(('SPT-01'!$M82*'TABELA AUXILIAR'!$J$5+SUM('SPT-01'!$P$18:$P82))/2,0)*0.9</f>
        <v>21675.600000000002</v>
      </c>
      <c r="AD66" s="1">
        <v>43.2</v>
      </c>
      <c r="AE66" s="6">
        <f>ROUNDDOWN(('SPT-01'!$M74*'TABELA AUXILIAR'!$J$3+SUM('SPT-01'!$N$10:$N74))/2,0)*0.9</f>
        <v>15507</v>
      </c>
      <c r="AF66" s="6">
        <f>ROUNDDOWN(('SPT-01'!$M74*'TABELA AUXILIAR'!$J$4+SUM('SPT-01'!$O$10:$O74))/2,0)*0.9</f>
        <v>16907.400000000001</v>
      </c>
      <c r="AG66" s="6">
        <f>ROUNDDOWN(('SPT-01'!$M74*'TABELA AUXILIAR'!$J$5+SUM('SPT-01'!$P$10:$P74))/2,0)*0.9</f>
        <v>19722.600000000002</v>
      </c>
    </row>
    <row r="67" spans="10:33" x14ac:dyDescent="0.25">
      <c r="J67" s="1">
        <v>59.999999999999901</v>
      </c>
      <c r="K67" s="6">
        <f>ROUNDDOWN(('SPT-01'!$M102*'TABELA AUXILIAR'!$J$3+SUM('SPT-01'!$N$37:$N102))/2,0)*0.9</f>
        <v>19540.8</v>
      </c>
      <c r="L67" s="6">
        <f>ROUNDDOWN(('SPT-01'!$M102*'TABELA AUXILIAR'!$J$4+SUM('SPT-01'!$O$37:$O102))/2,0)*0.9</f>
        <v>21305.7</v>
      </c>
      <c r="M67" s="6">
        <f>ROUNDDOWN(('SPT-01'!$M102*'TABELA AUXILIAR'!$J$5+SUM('SPT-01'!$P$37:$P102))/2,0)*0.9</f>
        <v>24851.7</v>
      </c>
      <c r="N67" s="2"/>
      <c r="O67" s="8">
        <v>58.199999999999903</v>
      </c>
      <c r="P67" s="6">
        <f>ROUNDDOWN(('SPT-01'!$M99*'TABELA AUXILIAR'!$J$3+SUM('SPT-01'!$N$34:$N99))/2,0)*0.9</f>
        <v>19347.3</v>
      </c>
      <c r="Q67" s="6">
        <f>ROUNDDOWN(('SPT-01'!$M99*'TABELA AUXILIAR'!$J$4+SUM('SPT-01'!$O$34:$O99))/2,0)*0.9</f>
        <v>21094.2</v>
      </c>
      <c r="R67" s="6">
        <f>ROUNDDOWN(('SPT-01'!$M99*'TABELA AUXILIAR'!$J$5+SUM('SPT-01'!$P$34:$P99))/2,0)*0.9</f>
        <v>24604.2</v>
      </c>
      <c r="T67" s="8">
        <v>53.399999999999899</v>
      </c>
      <c r="U67" s="6">
        <f>ROUNDDOWN(('SPT-01'!$M91*'TABELA AUXILIAR'!$J$3+SUM('SPT-01'!$N$26:$N91))/2,0)*0.9</f>
        <v>18512.100000000002</v>
      </c>
      <c r="V67" s="6">
        <f>ROUNDDOWN(('SPT-01'!$M91*'TABELA AUXILIAR'!$J$4+SUM('SPT-01'!$O$26:$O91))/2,0)*0.9</f>
        <v>20184.3</v>
      </c>
      <c r="W67" s="6">
        <f>ROUNDDOWN(('SPT-01'!$M91*'TABELA AUXILIAR'!$J$5+SUM('SPT-01'!$P$26:$P91))/2,0)*0.9</f>
        <v>23542.2</v>
      </c>
      <c r="Y67" s="8">
        <v>48.6</v>
      </c>
      <c r="Z67" s="6">
        <f>ROUNDDOWN(('SPT-01'!$M83*'TABELA AUXILIAR'!$J$3+SUM('SPT-01'!$N$18:$N83))/2,0)*0.9</f>
        <v>17319.600000000002</v>
      </c>
      <c r="AA67" s="6">
        <f>ROUNDDOWN(('SPT-01'!$M83*'TABELA AUXILIAR'!$J$4+SUM('SPT-01'!$O$18:$O83))/2,0)*0.9</f>
        <v>18885.600000000002</v>
      </c>
      <c r="AB67" s="6">
        <f>ROUNDDOWN(('SPT-01'!$M83*'TABELA AUXILIAR'!$J$5+SUM('SPT-01'!$P$18:$P83))/2,0)*0.9</f>
        <v>22031.100000000002</v>
      </c>
      <c r="AD67" s="1">
        <v>43.8</v>
      </c>
      <c r="AE67" s="6">
        <f>ROUNDDOWN(('SPT-01'!$M75*'TABELA AUXILIAR'!$J$3+SUM('SPT-01'!$N$10:$N75))/2,0)*0.9</f>
        <v>15874.2</v>
      </c>
      <c r="AF67" s="6">
        <f>ROUNDDOWN(('SPT-01'!$M75*'TABELA AUXILIAR'!$J$4+SUM('SPT-01'!$O$10:$O75))/2,0)*0.9</f>
        <v>17314.2</v>
      </c>
      <c r="AG67" s="6">
        <f>ROUNDDOWN(('SPT-01'!$M75*'TABELA AUXILIAR'!$J$5+SUM('SPT-01'!$P$10:$P75))/2,0)*0.9</f>
        <v>20213.100000000002</v>
      </c>
    </row>
    <row r="68" spans="10:33" x14ac:dyDescent="0.25">
      <c r="J68" s="1">
        <v>60.599999999999902</v>
      </c>
      <c r="K68" s="6">
        <f>ROUNDDOWN(('SPT-01'!$M103*'TABELA AUXILIAR'!$J$3+SUM('SPT-01'!$N$37:$N103))/2,0)*0.9</f>
        <v>19856.7</v>
      </c>
      <c r="L68" s="6">
        <f>ROUNDDOWN(('SPT-01'!$M103*'TABELA AUXILIAR'!$J$4+SUM('SPT-01'!$O$37:$O103))/2,0)*0.9</f>
        <v>21648.600000000002</v>
      </c>
      <c r="M68" s="6">
        <f>ROUNDDOWN(('SPT-01'!$M103*'TABELA AUXILIAR'!$J$5+SUM('SPT-01'!$P$37:$P103))/2,0)*0.9</f>
        <v>25248.600000000002</v>
      </c>
      <c r="N68" s="2"/>
      <c r="O68" s="8">
        <v>58.799999999999898</v>
      </c>
      <c r="P68" s="6">
        <f>ROUNDDOWN(('SPT-01'!$M100*'TABELA AUXILIAR'!$J$3+SUM('SPT-01'!$N$34:$N100))/2,0)*0.9</f>
        <v>19658.7</v>
      </c>
      <c r="Q68" s="6">
        <f>ROUNDDOWN(('SPT-01'!$M100*'TABELA AUXILIAR'!$J$4+SUM('SPT-01'!$O$34:$O100))/2,0)*0.9</f>
        <v>21432.600000000002</v>
      </c>
      <c r="R68" s="6">
        <f>ROUNDDOWN(('SPT-01'!$M100*'TABELA AUXILIAR'!$J$5+SUM('SPT-01'!$P$34:$P100))/2,0)*0.9</f>
        <v>24994.799999999999</v>
      </c>
      <c r="T68" s="8">
        <v>53.999999999999901</v>
      </c>
      <c r="U68" s="6">
        <f>ROUNDDOWN(('SPT-01'!$M92*'TABELA AUXILIAR'!$J$3+SUM('SPT-01'!$N$26:$N92))/2,0)*0.9</f>
        <v>18810</v>
      </c>
      <c r="V68" s="6">
        <f>ROUNDDOWN(('SPT-01'!$M92*'TABELA AUXILIAR'!$J$4+SUM('SPT-01'!$O$26:$O92))/2,0)*0.9</f>
        <v>20507.400000000001</v>
      </c>
      <c r="W68" s="6">
        <f>ROUNDDOWN(('SPT-01'!$M92*'TABELA AUXILIAR'!$J$5+SUM('SPT-01'!$P$26:$P92))/2,0)*0.9</f>
        <v>23916.600000000002</v>
      </c>
      <c r="Y68" s="8">
        <v>49.199999999999903</v>
      </c>
      <c r="Z68" s="6">
        <f>ROUNDDOWN(('SPT-01'!$M84*'TABELA AUXILIAR'!$J$3+SUM('SPT-01'!$N$18:$N84))/2,0)*0.9</f>
        <v>17604</v>
      </c>
      <c r="AA68" s="6">
        <f>ROUNDDOWN(('SPT-01'!$M84*'TABELA AUXILIAR'!$J$4+SUM('SPT-01'!$O$18:$O84))/2,0)*0.9</f>
        <v>19194.3</v>
      </c>
      <c r="AB68" s="6">
        <f>ROUNDDOWN(('SPT-01'!$M84*'TABELA AUXILIAR'!$J$5+SUM('SPT-01'!$P$18:$P84))/2,0)*0.9</f>
        <v>22390.2</v>
      </c>
      <c r="AD68" s="8">
        <v>44.4</v>
      </c>
      <c r="AE68" s="6">
        <f>ROUNDDOWN(('SPT-01'!$M76*'TABELA AUXILIAR'!$J$3+SUM('SPT-01'!$N$10:$N76))/2,0)*0.9</f>
        <v>16113.6</v>
      </c>
      <c r="AF68" s="6">
        <f>ROUNDDOWN(('SPT-01'!$M76*'TABELA AUXILIAR'!$J$4+SUM('SPT-01'!$O$10:$O76))/2,0)*0.9</f>
        <v>17572.5</v>
      </c>
      <c r="AG68" s="6">
        <f>ROUNDDOWN(('SPT-01'!$M76*'TABELA AUXILIAR'!$J$5+SUM('SPT-01'!$P$10:$P76))/2,0)*0.9</f>
        <v>20506.5</v>
      </c>
    </row>
    <row r="69" spans="10:33" x14ac:dyDescent="0.25">
      <c r="J69" s="1">
        <v>61.199999999999903</v>
      </c>
      <c r="K69" s="6">
        <f>ROUNDDOWN(('SPT-01'!$M104*'TABELA AUXILIAR'!$J$3+SUM('SPT-01'!$N$37:$N104))/2,0)*0.9</f>
        <v>20173.5</v>
      </c>
      <c r="L69" s="6">
        <f>ROUNDDOWN(('SPT-01'!$M104*'TABELA AUXILIAR'!$J$4+SUM('SPT-01'!$O$37:$O104))/2,0)*0.9</f>
        <v>21993.3</v>
      </c>
      <c r="M69" s="6">
        <f>ROUNDDOWN(('SPT-01'!$M104*'TABELA AUXILIAR'!$J$5+SUM('SPT-01'!$P$37:$P104))/2,0)*0.9</f>
        <v>25648.2</v>
      </c>
      <c r="N69" s="2"/>
      <c r="O69" s="8">
        <v>59.399999999999899</v>
      </c>
      <c r="P69" s="6">
        <f>ROUNDDOWN(('SPT-01'!$M101*'TABELA AUXILIAR'!$J$3+SUM('SPT-01'!$N$34:$N101))/2,0)*0.9</f>
        <v>19971</v>
      </c>
      <c r="Q69" s="6">
        <f>ROUNDDOWN(('SPT-01'!$M101*'TABELA AUXILIAR'!$J$4+SUM('SPT-01'!$O$34:$O101))/2,0)*0.9</f>
        <v>21771.9</v>
      </c>
      <c r="R69" s="6">
        <f>ROUNDDOWN(('SPT-01'!$M101*'TABELA AUXILIAR'!$J$5+SUM('SPT-01'!$P$34:$P101))/2,0)*0.9</f>
        <v>25388.100000000002</v>
      </c>
      <c r="T69" s="8">
        <v>54.599999999999902</v>
      </c>
      <c r="U69" s="6">
        <f>ROUNDDOWN(('SPT-01'!$M93*'TABELA AUXILIAR'!$J$3+SUM('SPT-01'!$N$26:$N93))/2,0)*0.9</f>
        <v>19109.7</v>
      </c>
      <c r="V69" s="6">
        <f>ROUNDDOWN(('SPT-01'!$M93*'TABELA AUXILIAR'!$J$4+SUM('SPT-01'!$O$26:$O93))/2,0)*0.9</f>
        <v>20833.2</v>
      </c>
      <c r="W69" s="6">
        <f>ROUNDDOWN(('SPT-01'!$M93*'TABELA AUXILIAR'!$J$5+SUM('SPT-01'!$P$26:$P93))/2,0)*0.9</f>
        <v>24294.600000000002</v>
      </c>
      <c r="Y69" s="8">
        <v>49.799999999999898</v>
      </c>
      <c r="Z69" s="6">
        <f>ROUNDDOWN(('SPT-01'!$M85*'TABELA AUXILIAR'!$J$3+SUM('SPT-01'!$N$18:$N85))/2,0)*0.9</f>
        <v>17890.2</v>
      </c>
      <c r="AA69" s="6">
        <f>ROUNDDOWN(('SPT-01'!$M85*'TABELA AUXILIAR'!$J$4+SUM('SPT-01'!$O$18:$O85))/2,0)*0.9</f>
        <v>19505.7</v>
      </c>
      <c r="AB69" s="6">
        <f>ROUNDDOWN(('SPT-01'!$M85*'TABELA AUXILIAR'!$J$5+SUM('SPT-01'!$P$18:$P85))/2,0)*0.9</f>
        <v>22750.2</v>
      </c>
      <c r="AD69" s="8">
        <v>45</v>
      </c>
      <c r="AE69" s="6">
        <f>ROUNDDOWN(('SPT-01'!$M77*'TABELA AUXILIAR'!$J$3+SUM('SPT-01'!$N$10:$N77))/2,0)*0.9</f>
        <v>16386.3</v>
      </c>
      <c r="AF69" s="6">
        <f>ROUNDDOWN(('SPT-01'!$M77*'TABELA AUXILIAR'!$J$4+SUM('SPT-01'!$O$10:$O77))/2,0)*0.9</f>
        <v>17868.600000000002</v>
      </c>
      <c r="AG69" s="6">
        <f>ROUNDDOWN(('SPT-01'!$M77*'TABELA AUXILIAR'!$J$5+SUM('SPT-01'!$P$10:$P77))/2,0)*0.9</f>
        <v>20849.400000000001</v>
      </c>
    </row>
    <row r="70" spans="10:33" x14ac:dyDescent="0.25">
      <c r="J70" s="1">
        <v>61.799999999999898</v>
      </c>
      <c r="K70" s="6">
        <f>ROUNDDOWN(('SPT-01'!$M105*'TABELA AUXILIAR'!$J$3+SUM('SPT-01'!$N$37:$N105))/2,0)*0.9</f>
        <v>20492.100000000002</v>
      </c>
      <c r="L70" s="6">
        <f>ROUNDDOWN(('SPT-01'!$M105*'TABELA AUXILIAR'!$J$4+SUM('SPT-01'!$O$37:$O105))/2,0)*0.9</f>
        <v>22339.8</v>
      </c>
      <c r="M70" s="6">
        <f>ROUNDDOWN(('SPT-01'!$M105*'TABELA AUXILIAR'!$J$5+SUM('SPT-01'!$P$37:$P105))/2,0)*0.9</f>
        <v>26049.600000000002</v>
      </c>
      <c r="N70" s="2"/>
      <c r="O70" s="8">
        <v>59.999999999999901</v>
      </c>
      <c r="P70" s="6">
        <f>ROUNDDOWN(('SPT-01'!$M102*'TABELA AUXILIAR'!$J$3+SUM('SPT-01'!$N$34:$N102))/2,0)*0.9</f>
        <v>20285.100000000002</v>
      </c>
      <c r="Q70" s="6">
        <f>ROUNDDOWN(('SPT-01'!$M102*'TABELA AUXILIAR'!$J$4+SUM('SPT-01'!$O$34:$O102))/2,0)*0.9</f>
        <v>22113</v>
      </c>
      <c r="R70" s="6">
        <f>ROUNDDOWN(('SPT-01'!$M102*'TABELA AUXILIAR'!$J$5+SUM('SPT-01'!$P$34:$P102))/2,0)*0.9</f>
        <v>25784.100000000002</v>
      </c>
      <c r="T70" s="8">
        <v>55.199999999999903</v>
      </c>
      <c r="U70" s="6">
        <f>ROUNDDOWN(('SPT-01'!$M94*'TABELA AUXILIAR'!$J$3+SUM('SPT-01'!$N$26:$N94))/2,0)*0.9</f>
        <v>19411.2</v>
      </c>
      <c r="V70" s="6">
        <f>ROUNDDOWN(('SPT-01'!$M94*'TABELA AUXILIAR'!$J$4+SUM('SPT-01'!$O$26:$O94))/2,0)*0.9</f>
        <v>21160.799999999999</v>
      </c>
      <c r="W70" s="6">
        <f>ROUNDDOWN(('SPT-01'!$M94*'TABELA AUXILIAR'!$J$5+SUM('SPT-01'!$P$26:$P94))/2,0)*0.9</f>
        <v>24673.5</v>
      </c>
      <c r="Y70" s="8">
        <v>50.399999999999899</v>
      </c>
      <c r="Z70" s="6">
        <f>ROUNDDOWN(('SPT-01'!$M86*'TABELA AUXILIAR'!$J$3+SUM('SPT-01'!$N$18:$N86))/2,0)*0.9</f>
        <v>18178.2</v>
      </c>
      <c r="AA70" s="6">
        <f>ROUNDDOWN(('SPT-01'!$M86*'TABELA AUXILIAR'!$J$4+SUM('SPT-01'!$O$18:$O86))/2,0)*0.9</f>
        <v>19818.900000000001</v>
      </c>
      <c r="AB70" s="6">
        <f>ROUNDDOWN(('SPT-01'!$M86*'TABELA AUXILIAR'!$J$5+SUM('SPT-01'!$P$18:$P86))/2,0)*0.9</f>
        <v>23112.9</v>
      </c>
      <c r="AD70" s="8">
        <v>45.6</v>
      </c>
      <c r="AE70" s="6">
        <f>ROUNDDOWN(('SPT-01'!$M78*'TABELA AUXILIAR'!$J$3+SUM('SPT-01'!$N$10:$N78))/2,0)*0.9</f>
        <v>16660.8</v>
      </c>
      <c r="AF70" s="6">
        <f>ROUNDDOWN(('SPT-01'!$M78*'TABELA AUXILIAR'!$J$4+SUM('SPT-01'!$O$10:$O78))/2,0)*0.9</f>
        <v>18167.400000000001</v>
      </c>
      <c r="AG70" s="6">
        <f>ROUNDDOWN(('SPT-01'!$M78*'TABELA AUXILIAR'!$J$5+SUM('SPT-01'!$P$10:$P78))/2,0)*0.9</f>
        <v>21195</v>
      </c>
    </row>
    <row r="71" spans="10:33" x14ac:dyDescent="0.25">
      <c r="J71" s="1">
        <v>62.399999999999899</v>
      </c>
      <c r="K71" s="6">
        <f>ROUNDDOWN(('SPT-01'!$M106*'TABELA AUXILIAR'!$J$3+SUM('SPT-01'!$N$37:$N106))/2,0)*0.9</f>
        <v>20812.5</v>
      </c>
      <c r="L71" s="6">
        <f>ROUNDDOWN(('SPT-01'!$M106*'TABELA AUXILIAR'!$J$4+SUM('SPT-01'!$O$37:$O106))/2,0)*0.9</f>
        <v>22688.100000000002</v>
      </c>
      <c r="M71" s="6">
        <f>ROUNDDOWN(('SPT-01'!$M106*'TABELA AUXILIAR'!$J$5+SUM('SPT-01'!$P$37:$P106))/2,0)*0.9</f>
        <v>26452.799999999999</v>
      </c>
      <c r="N71" s="2"/>
      <c r="O71" s="8">
        <v>60.599999999999902</v>
      </c>
      <c r="P71" s="6">
        <f>ROUNDDOWN(('SPT-01'!$M103*'TABELA AUXILIAR'!$J$3+SUM('SPT-01'!$N$34:$N103))/2,0)*0.9</f>
        <v>20600.100000000002</v>
      </c>
      <c r="Q71" s="6">
        <f>ROUNDDOWN(('SPT-01'!$M103*'TABELA AUXILIAR'!$J$4+SUM('SPT-01'!$O$34:$O103))/2,0)*0.9</f>
        <v>22455.9</v>
      </c>
      <c r="R71" s="6">
        <f>ROUNDDOWN(('SPT-01'!$M103*'TABELA AUXILIAR'!$J$5+SUM('SPT-01'!$P$34:$P103))/2,0)*0.9</f>
        <v>26181</v>
      </c>
      <c r="T71" s="8">
        <v>55.799999999999898</v>
      </c>
      <c r="U71" s="6">
        <f>ROUNDDOWN(('SPT-01'!$M95*'TABELA AUXILIAR'!$J$3+SUM('SPT-01'!$N$26:$N95))/2,0)*0.9</f>
        <v>19713.600000000002</v>
      </c>
      <c r="V71" s="6">
        <f>ROUNDDOWN(('SPT-01'!$M95*'TABELA AUXILIAR'!$J$4+SUM('SPT-01'!$O$26:$O95))/2,0)*0.9</f>
        <v>21489.3</v>
      </c>
      <c r="W71" s="6">
        <f>ROUNDDOWN(('SPT-01'!$M95*'TABELA AUXILIAR'!$J$5+SUM('SPT-01'!$P$26:$P95))/2,0)*0.9</f>
        <v>25054.2</v>
      </c>
      <c r="Y71" s="8">
        <v>50.999999999999901</v>
      </c>
      <c r="Z71" s="6">
        <f>ROUNDDOWN(('SPT-01'!$M87*'TABELA AUXILIAR'!$J$3+SUM('SPT-01'!$N$18:$N87))/2,0)*0.9</f>
        <v>18468</v>
      </c>
      <c r="AA71" s="6">
        <f>ROUNDDOWN(('SPT-01'!$M87*'TABELA AUXILIAR'!$J$4+SUM('SPT-01'!$O$18:$O87))/2,0)*0.9</f>
        <v>20133</v>
      </c>
      <c r="AB71" s="6">
        <f>ROUNDDOWN(('SPT-01'!$M87*'TABELA AUXILIAR'!$J$5+SUM('SPT-01'!$P$18:$P87))/2,0)*0.9</f>
        <v>23478.3</v>
      </c>
      <c r="AD71" s="8">
        <v>46.2</v>
      </c>
      <c r="AE71" s="6">
        <f>ROUNDDOWN(('SPT-01'!$M79*'TABELA AUXILIAR'!$J$3+SUM('SPT-01'!$N$10:$N79))/2,0)*0.9</f>
        <v>16936.2</v>
      </c>
      <c r="AF71" s="6">
        <f>ROUNDDOWN(('SPT-01'!$M79*'TABELA AUXILIAR'!$J$4+SUM('SPT-01'!$O$10:$O79))/2,0)*0.9</f>
        <v>18467.100000000002</v>
      </c>
      <c r="AG71" s="6">
        <f>ROUNDDOWN(('SPT-01'!$M79*'TABELA AUXILIAR'!$J$5+SUM('SPT-01'!$P$10:$P79))/2,0)*0.9</f>
        <v>21543.3</v>
      </c>
    </row>
    <row r="72" spans="10:33" x14ac:dyDescent="0.25">
      <c r="J72" s="1">
        <v>62.999999999999901</v>
      </c>
      <c r="K72" s="6">
        <f>ROUNDDOWN(('SPT-01'!$M107*'TABELA AUXILIAR'!$J$3+SUM('SPT-01'!$N$37:$N107))/2,0)*0.9</f>
        <v>21134.7</v>
      </c>
      <c r="L72" s="6">
        <f>ROUNDDOWN(('SPT-01'!$M107*'TABELA AUXILIAR'!$J$4+SUM('SPT-01'!$O$37:$O107))/2,0)*0.9</f>
        <v>23037.3</v>
      </c>
      <c r="M72" s="6">
        <f>ROUNDDOWN(('SPT-01'!$M107*'TABELA AUXILIAR'!$J$5+SUM('SPT-01'!$P$37:$P107))/2,0)*0.9</f>
        <v>26857.8</v>
      </c>
      <c r="N72" s="2"/>
      <c r="O72" s="8">
        <v>61.199999999999903</v>
      </c>
      <c r="P72" s="6">
        <f>ROUNDDOWN(('SPT-01'!$M104*'TABELA AUXILIAR'!$J$3+SUM('SPT-01'!$N$34:$N104))/2,0)*0.9</f>
        <v>20917.8</v>
      </c>
      <c r="Q72" s="6">
        <f>ROUNDDOWN(('SPT-01'!$M104*'TABELA AUXILIAR'!$J$4+SUM('SPT-01'!$O$34:$O104))/2,0)*0.9</f>
        <v>22800.600000000002</v>
      </c>
      <c r="R72" s="6">
        <f>ROUNDDOWN(('SPT-01'!$M104*'TABELA AUXILIAR'!$J$5+SUM('SPT-01'!$P$34:$P104))/2,0)*0.9</f>
        <v>26580.600000000002</v>
      </c>
      <c r="T72" s="8">
        <v>56.399999999999899</v>
      </c>
      <c r="U72" s="6">
        <f>ROUNDDOWN(('SPT-01'!$M96*'TABELA AUXILIAR'!$J$3+SUM('SPT-01'!$N$26:$N96))/2,0)*0.9</f>
        <v>20017.8</v>
      </c>
      <c r="V72" s="6">
        <f>ROUNDDOWN(('SPT-01'!$M96*'TABELA AUXILIAR'!$J$4+SUM('SPT-01'!$O$26:$O96))/2,0)*0.9</f>
        <v>21820.5</v>
      </c>
      <c r="W72" s="6">
        <f>ROUNDDOWN(('SPT-01'!$M96*'TABELA AUXILIAR'!$J$5+SUM('SPT-01'!$P$26:$P96))/2,0)*0.9</f>
        <v>25437.600000000002</v>
      </c>
      <c r="Y72" s="8">
        <v>51.599999999999902</v>
      </c>
      <c r="Z72" s="6">
        <f>ROUNDDOWN(('SPT-01'!$M88*'TABELA AUXILIAR'!$J$3+SUM('SPT-01'!$N$18:$N88))/2,0)*0.9</f>
        <v>18758.7</v>
      </c>
      <c r="AA72" s="6">
        <f>ROUNDDOWN(('SPT-01'!$M88*'TABELA AUXILIAR'!$J$4+SUM('SPT-01'!$O$18:$O88))/2,0)*0.9</f>
        <v>20449.8</v>
      </c>
      <c r="AB72" s="6">
        <f>ROUNDDOWN(('SPT-01'!$M88*'TABELA AUXILIAR'!$J$5+SUM('SPT-01'!$P$18:$P88))/2,0)*0.9</f>
        <v>23844.600000000002</v>
      </c>
      <c r="AD72" s="8">
        <v>46.8</v>
      </c>
      <c r="AE72" s="6">
        <f>ROUNDDOWN(('SPT-01'!$M80*'TABELA AUXILIAR'!$J$3+SUM('SPT-01'!$N$10:$N80))/2,0)*0.9</f>
        <v>17214.3</v>
      </c>
      <c r="AF72" s="6">
        <f>ROUNDDOWN(('SPT-01'!$M80*'TABELA AUXILIAR'!$J$4+SUM('SPT-01'!$O$10:$O80))/2,0)*0.9</f>
        <v>18769.5</v>
      </c>
      <c r="AG72" s="6">
        <f>ROUNDDOWN(('SPT-01'!$M80*'TABELA AUXILIAR'!$J$5+SUM('SPT-01'!$P$10:$P80))/2,0)*0.9</f>
        <v>21893.4</v>
      </c>
    </row>
    <row r="73" spans="10:33" x14ac:dyDescent="0.25">
      <c r="J73" s="1">
        <v>63.599999999999902</v>
      </c>
      <c r="K73" s="6">
        <f>ROUNDDOWN(('SPT-01'!$M108*'TABELA AUXILIAR'!$J$3+SUM('SPT-01'!$N$37:$N108))/2,0)*0.9</f>
        <v>21457.8</v>
      </c>
      <c r="L73" s="6">
        <f>ROUNDDOWN(('SPT-01'!$M108*'TABELA AUXILIAR'!$J$4+SUM('SPT-01'!$O$37:$O108))/2,0)*0.9</f>
        <v>23389.200000000001</v>
      </c>
      <c r="M73" s="6">
        <f>ROUNDDOWN(('SPT-01'!$M108*'TABELA AUXILIAR'!$J$5+SUM('SPT-01'!$P$37:$P108))/2,0)*0.9</f>
        <v>27264.600000000002</v>
      </c>
      <c r="N73" s="2"/>
      <c r="O73" s="8">
        <v>61.799999999999898</v>
      </c>
      <c r="P73" s="6">
        <f>ROUNDDOWN(('SPT-01'!$M105*'TABELA AUXILIAR'!$J$3+SUM('SPT-01'!$N$34:$N105))/2,0)*0.9</f>
        <v>21236.400000000001</v>
      </c>
      <c r="Q73" s="6">
        <f>ROUNDDOWN(('SPT-01'!$M105*'TABELA AUXILIAR'!$J$4+SUM('SPT-01'!$O$34:$O105))/2,0)*0.9</f>
        <v>23147.100000000002</v>
      </c>
      <c r="R73" s="6">
        <f>ROUNDDOWN(('SPT-01'!$M105*'TABELA AUXILIAR'!$J$5+SUM('SPT-01'!$P$34:$P105))/2,0)*0.9</f>
        <v>26981.100000000002</v>
      </c>
      <c r="T73" s="8">
        <v>56.999999999999901</v>
      </c>
      <c r="U73" s="6">
        <f>ROUNDDOWN(('SPT-01'!$M97*'TABELA AUXILIAR'!$J$3+SUM('SPT-01'!$N$26:$N97))/2,0)*0.9</f>
        <v>20323.8</v>
      </c>
      <c r="V73" s="6">
        <f>ROUNDDOWN(('SPT-01'!$M97*'TABELA AUXILIAR'!$J$4+SUM('SPT-01'!$O$26:$O97))/2,0)*0.9</f>
        <v>22152.600000000002</v>
      </c>
      <c r="W73" s="6">
        <f>ROUNDDOWN(('SPT-01'!$M97*'TABELA AUXILIAR'!$J$5+SUM('SPT-01'!$P$26:$P97))/2,0)*0.9</f>
        <v>25822.799999999999</v>
      </c>
      <c r="Y73" s="8">
        <v>52.199999999999903</v>
      </c>
      <c r="Z73" s="6">
        <f>ROUNDDOWN(('SPT-01'!$M89*'TABELA AUXILIAR'!$J$3+SUM('SPT-01'!$N$18:$N89))/2,0)*0.9</f>
        <v>19052.100000000002</v>
      </c>
      <c r="AA73" s="6">
        <f>ROUNDDOWN(('SPT-01'!$M89*'TABELA AUXILIAR'!$J$4+SUM('SPT-01'!$O$18:$O89))/2,0)*0.9</f>
        <v>20768.400000000001</v>
      </c>
      <c r="AB73" s="6">
        <f>ROUNDDOWN(('SPT-01'!$M89*'TABELA AUXILIAR'!$J$5+SUM('SPT-01'!$P$18:$P89))/2,0)*0.9</f>
        <v>24213.600000000002</v>
      </c>
      <c r="AD73" s="8">
        <v>47.4</v>
      </c>
      <c r="AE73" s="6">
        <f>ROUNDDOWN(('SPT-01'!$M81*'TABELA AUXILIAR'!$J$3+SUM('SPT-01'!$N$10:$N81))/2,0)*0.9</f>
        <v>17493.3</v>
      </c>
      <c r="AF73" s="6">
        <f>ROUNDDOWN(('SPT-01'!$M81*'TABELA AUXILIAR'!$J$4+SUM('SPT-01'!$O$10:$O81))/2,0)*0.9</f>
        <v>19072.8</v>
      </c>
      <c r="AG73" s="6">
        <f>ROUNDDOWN(('SPT-01'!$M81*'TABELA AUXILIAR'!$J$5+SUM('SPT-01'!$P$10:$P81))/2,0)*0.9</f>
        <v>22245.3</v>
      </c>
    </row>
    <row r="74" spans="10:33" x14ac:dyDescent="0.25">
      <c r="J74" s="1">
        <v>64.199999999999903</v>
      </c>
      <c r="K74" s="6">
        <f>ROUNDDOWN(('SPT-01'!$M109*'TABELA AUXILIAR'!$J$3+SUM('SPT-01'!$N$37:$N109))/2,0)*0.9</f>
        <v>21782.7</v>
      </c>
      <c r="L74" s="6">
        <f>ROUNDDOWN(('SPT-01'!$M109*'TABELA AUXILIAR'!$J$4+SUM('SPT-01'!$O$37:$O109))/2,0)*0.9</f>
        <v>23742</v>
      </c>
      <c r="M74" s="6">
        <f>ROUNDDOWN(('SPT-01'!$M109*'TABELA AUXILIAR'!$J$5+SUM('SPT-01'!$P$37:$P109))/2,0)*0.9</f>
        <v>27674.100000000002</v>
      </c>
      <c r="N74" s="2"/>
      <c r="O74" s="8">
        <v>62.399999999999899</v>
      </c>
      <c r="P74" s="6">
        <f>ROUNDDOWN(('SPT-01'!$M106*'TABELA AUXILIAR'!$J$3+SUM('SPT-01'!$N$34:$N106))/2,0)*0.9</f>
        <v>21556.799999999999</v>
      </c>
      <c r="Q74" s="6">
        <f>ROUNDDOWN(('SPT-01'!$M106*'TABELA AUXILIAR'!$J$4+SUM('SPT-01'!$O$34:$O106))/2,0)*0.9</f>
        <v>23495.4</v>
      </c>
      <c r="R74" s="6">
        <f>ROUNDDOWN(('SPT-01'!$M106*'TABELA AUXILIAR'!$J$5+SUM('SPT-01'!$P$34:$P106))/2,0)*0.9</f>
        <v>27384.3</v>
      </c>
      <c r="T74" s="8">
        <v>57.599999999999902</v>
      </c>
      <c r="U74" s="6">
        <f>ROUNDDOWN(('SPT-01'!$M98*'TABELA AUXILIAR'!$J$3+SUM('SPT-01'!$N$26:$N98))/2,0)*0.9</f>
        <v>20631.600000000002</v>
      </c>
      <c r="V74" s="6">
        <f>ROUNDDOWN(('SPT-01'!$M98*'TABELA AUXILIAR'!$J$4+SUM('SPT-01'!$O$26:$O98))/2,0)*0.9</f>
        <v>22487.4</v>
      </c>
      <c r="W74" s="6">
        <f>ROUNDDOWN(('SPT-01'!$M98*'TABELA AUXILIAR'!$J$5+SUM('SPT-01'!$P$26:$P98))/2,0)*0.9</f>
        <v>26210.7</v>
      </c>
      <c r="Y74" s="8">
        <v>52.799999999999898</v>
      </c>
      <c r="Z74" s="6">
        <f>ROUNDDOWN(('SPT-01'!$M90*'TABELA AUXILIAR'!$J$3+SUM('SPT-01'!$N$18:$N90))/2,0)*0.9</f>
        <v>19346.400000000001</v>
      </c>
      <c r="AA74" s="6">
        <f>ROUNDDOWN(('SPT-01'!$M90*'TABELA AUXILIAR'!$J$4+SUM('SPT-01'!$O$18:$O90))/2,0)*0.9</f>
        <v>21088.799999999999</v>
      </c>
      <c r="AB74" s="6">
        <f>ROUNDDOWN(('SPT-01'!$M90*'TABELA AUXILIAR'!$J$5+SUM('SPT-01'!$P$18:$P90))/2,0)*0.9</f>
        <v>24584.400000000001</v>
      </c>
      <c r="AD74" s="8">
        <v>48</v>
      </c>
      <c r="AE74" s="6">
        <f>ROUNDDOWN(('SPT-01'!$M82*'TABELA AUXILIAR'!$J$3+SUM('SPT-01'!$N$10:$N82))/2,0)*0.9</f>
        <v>17775</v>
      </c>
      <c r="AF74" s="6">
        <f>ROUNDDOWN(('SPT-01'!$M82*'TABELA AUXILIAR'!$J$4+SUM('SPT-01'!$O$10:$O82))/2,0)*0.9</f>
        <v>19378.8</v>
      </c>
      <c r="AG74" s="6">
        <f>ROUNDDOWN(('SPT-01'!$M82*'TABELA AUXILIAR'!$J$5+SUM('SPT-01'!$P$10:$P82))/2,0)*0.9</f>
        <v>22599.9</v>
      </c>
    </row>
    <row r="75" spans="10:33" x14ac:dyDescent="0.25">
      <c r="J75" s="1">
        <v>64.799999999999898</v>
      </c>
      <c r="K75" s="6">
        <f>ROUNDDOWN(('SPT-01'!$M110*'TABELA AUXILIAR'!$J$3+SUM('SPT-01'!$N$37:$N110))/2,0)*0.9</f>
        <v>22109.4</v>
      </c>
      <c r="L75" s="6">
        <f>ROUNDDOWN(('SPT-01'!$M110*'TABELA AUXILIAR'!$J$4+SUM('SPT-01'!$O$37:$O110))/2,0)*0.9</f>
        <v>24097.5</v>
      </c>
      <c r="M75" s="6">
        <f>ROUNDDOWN(('SPT-01'!$M110*'TABELA AUXILIAR'!$J$5+SUM('SPT-01'!$P$37:$P110))/2,0)*0.9</f>
        <v>28084.5</v>
      </c>
      <c r="N75" s="2"/>
      <c r="O75" s="8">
        <v>62.999999999999901</v>
      </c>
      <c r="P75" s="6">
        <f>ROUNDDOWN(('SPT-01'!$M107*'TABELA AUXILIAR'!$J$3+SUM('SPT-01'!$N$34:$N107))/2,0)*0.9</f>
        <v>21879</v>
      </c>
      <c r="Q75" s="6">
        <f>ROUNDDOWN(('SPT-01'!$M107*'TABELA AUXILIAR'!$J$4+SUM('SPT-01'!$O$34:$O107))/2,0)*0.9</f>
        <v>23845.5</v>
      </c>
      <c r="R75" s="6">
        <f>ROUNDDOWN(('SPT-01'!$M107*'TABELA AUXILIAR'!$J$5+SUM('SPT-01'!$P$34:$P107))/2,0)*0.9</f>
        <v>27790.2</v>
      </c>
      <c r="T75" s="8">
        <v>58.199999999999903</v>
      </c>
      <c r="U75" s="6">
        <f>ROUNDDOWN(('SPT-01'!$M99*'TABELA AUXILIAR'!$J$3+SUM('SPT-01'!$N$26:$N99))/2,0)*0.9</f>
        <v>20941.2</v>
      </c>
      <c r="V75" s="6">
        <f>ROUNDDOWN(('SPT-01'!$M99*'TABELA AUXILIAR'!$J$4+SUM('SPT-01'!$O$26:$O99))/2,0)*0.9</f>
        <v>22823.100000000002</v>
      </c>
      <c r="W75" s="6">
        <f>ROUNDDOWN(('SPT-01'!$M99*'TABELA AUXILIAR'!$J$5+SUM('SPT-01'!$P$26:$P99))/2,0)*0.9</f>
        <v>26599.5</v>
      </c>
      <c r="Y75" s="8">
        <v>53.399999999999899</v>
      </c>
      <c r="Z75" s="6">
        <f>ROUNDDOWN(('SPT-01'!$M91*'TABELA AUXILIAR'!$J$3+SUM('SPT-01'!$N$18:$N91))/2,0)*0.9</f>
        <v>19642.5</v>
      </c>
      <c r="AA75" s="6">
        <f>ROUNDDOWN(('SPT-01'!$M91*'TABELA AUXILIAR'!$J$4+SUM('SPT-01'!$O$18:$O91))/2,0)*0.9</f>
        <v>21410.100000000002</v>
      </c>
      <c r="AB75" s="6">
        <f>ROUNDDOWN(('SPT-01'!$M91*'TABELA AUXILIAR'!$J$5+SUM('SPT-01'!$P$18:$P91))/2,0)*0.9</f>
        <v>24957.9</v>
      </c>
      <c r="AD75" s="8">
        <v>48.6</v>
      </c>
      <c r="AE75" s="6">
        <f>ROUNDDOWN(('SPT-01'!$M83*'TABELA AUXILIAR'!$J$3+SUM('SPT-01'!$N$10:$N83))/2,0)*0.9</f>
        <v>18057.600000000002</v>
      </c>
      <c r="AF75" s="6">
        <f>ROUNDDOWN(('SPT-01'!$M83*'TABELA AUXILIAR'!$J$4+SUM('SPT-01'!$O$10:$O83))/2,0)*0.9</f>
        <v>19685.7</v>
      </c>
      <c r="AG75" s="6">
        <f>ROUNDDOWN(('SPT-01'!$M83*'TABELA AUXILIAR'!$J$5+SUM('SPT-01'!$P$10:$P83))/2,0)*0.9</f>
        <v>22955.4</v>
      </c>
    </row>
    <row r="76" spans="10:33" x14ac:dyDescent="0.25">
      <c r="J76" s="1">
        <v>65.399999999999906</v>
      </c>
      <c r="K76" s="6">
        <f>ROUNDDOWN(('SPT-01'!$M111*'TABELA AUXILIAR'!$J$3+SUM('SPT-01'!$N$37:$N111))/2,0)*0.9</f>
        <v>22437.9</v>
      </c>
      <c r="L76" s="6">
        <f>ROUNDDOWN(('SPT-01'!$M111*'TABELA AUXILIAR'!$J$4+SUM('SPT-01'!$O$37:$O111))/2,0)*0.9</f>
        <v>24453.9</v>
      </c>
      <c r="M76" s="6">
        <f>ROUNDDOWN(('SPT-01'!$M111*'TABELA AUXILIAR'!$J$5+SUM('SPT-01'!$P$37:$P111))/2,0)*0.9</f>
        <v>28497.600000000002</v>
      </c>
      <c r="N76" s="2"/>
      <c r="O76" s="8">
        <v>63.599999999999902</v>
      </c>
      <c r="P76" s="6">
        <f>ROUNDDOWN(('SPT-01'!$M108*'TABELA AUXILIAR'!$J$3+SUM('SPT-01'!$N$34:$N108))/2,0)*0.9</f>
        <v>22202.100000000002</v>
      </c>
      <c r="Q76" s="6">
        <f>ROUNDDOWN(('SPT-01'!$M108*'TABELA AUXILIAR'!$J$4+SUM('SPT-01'!$O$34:$O108))/2,0)*0.9</f>
        <v>24196.5</v>
      </c>
      <c r="R76" s="6">
        <f>ROUNDDOWN(('SPT-01'!$M108*'TABELA AUXILIAR'!$J$5+SUM('SPT-01'!$P$34:$P108))/2,0)*0.9</f>
        <v>28197</v>
      </c>
      <c r="T76" s="8">
        <v>58.799999999999898</v>
      </c>
      <c r="U76" s="6">
        <f>ROUNDDOWN(('SPT-01'!$M100*'TABELA AUXILIAR'!$J$3+SUM('SPT-01'!$N$26:$N100))/2,0)*0.9</f>
        <v>21251.7</v>
      </c>
      <c r="V76" s="6">
        <f>ROUNDDOWN(('SPT-01'!$M100*'TABELA AUXILIAR'!$J$4+SUM('SPT-01'!$O$26:$O100))/2,0)*0.9</f>
        <v>23161.5</v>
      </c>
      <c r="W76" s="6">
        <f>ROUNDDOWN(('SPT-01'!$M100*'TABELA AUXILIAR'!$J$5+SUM('SPT-01'!$P$26:$P100))/2,0)*0.9</f>
        <v>26991</v>
      </c>
      <c r="Y76" s="8">
        <v>53.999999999999901</v>
      </c>
      <c r="Z76" s="6">
        <f>ROUNDDOWN(('SPT-01'!$M92*'TABELA AUXILIAR'!$J$3+SUM('SPT-01'!$N$18:$N92))/2,0)*0.9</f>
        <v>19940.400000000001</v>
      </c>
      <c r="AA76" s="6">
        <f>ROUNDDOWN(('SPT-01'!$M92*'TABELA AUXILIAR'!$J$4+SUM('SPT-01'!$O$18:$O92))/2,0)*0.9</f>
        <v>21734.100000000002</v>
      </c>
      <c r="AB76" s="6">
        <f>ROUNDDOWN(('SPT-01'!$M92*'TABELA AUXILIAR'!$J$5+SUM('SPT-01'!$P$18:$P92))/2,0)*0.9</f>
        <v>25333.200000000001</v>
      </c>
      <c r="AD76" s="8">
        <v>49.199999999999903</v>
      </c>
      <c r="AE76" s="6">
        <f>ROUNDDOWN(('SPT-01'!$M84*'TABELA AUXILIAR'!$J$3+SUM('SPT-01'!$N$10:$N84))/2,0)*0.9</f>
        <v>18342</v>
      </c>
      <c r="AF76" s="6">
        <f>ROUNDDOWN(('SPT-01'!$M84*'TABELA AUXILIAR'!$J$4+SUM('SPT-01'!$O$10:$O84))/2,0)*0.9</f>
        <v>19995.3</v>
      </c>
      <c r="AG76" s="6">
        <f>ROUNDDOWN(('SPT-01'!$M84*'TABELA AUXILIAR'!$J$5+SUM('SPT-01'!$P$10:$P84))/2,0)*0.9</f>
        <v>23314.5</v>
      </c>
    </row>
    <row r="77" spans="10:33" x14ac:dyDescent="0.25">
      <c r="J77" s="1">
        <v>65.999999999999901</v>
      </c>
      <c r="K77" s="6">
        <f>ROUNDDOWN(('SPT-01'!$M112*'TABELA AUXILIAR'!$J$3+SUM('SPT-01'!$N$37:$N112))/2,0)*0.9</f>
        <v>22767.3</v>
      </c>
      <c r="L77" s="6">
        <f>ROUNDDOWN(('SPT-01'!$M112*'TABELA AUXILIAR'!$J$4+SUM('SPT-01'!$O$37:$O112))/2,0)*0.9</f>
        <v>24812.100000000002</v>
      </c>
      <c r="M77" s="6">
        <f>ROUNDDOWN(('SPT-01'!$M112*'TABELA AUXILIAR'!$J$5+SUM('SPT-01'!$P$37:$P112))/2,0)*0.9</f>
        <v>28912.5</v>
      </c>
      <c r="N77" s="2"/>
      <c r="O77" s="8">
        <v>64.199999999999903</v>
      </c>
      <c r="P77" s="6">
        <f>ROUNDDOWN(('SPT-01'!$M109*'TABELA AUXILIAR'!$J$3+SUM('SPT-01'!$N$34:$N109))/2,0)*0.9</f>
        <v>22527</v>
      </c>
      <c r="Q77" s="6">
        <f>ROUNDDOWN(('SPT-01'!$M109*'TABELA AUXILIAR'!$J$4+SUM('SPT-01'!$O$34:$O109))/2,0)*0.9</f>
        <v>24550.2</v>
      </c>
      <c r="R77" s="6">
        <f>ROUNDDOWN(('SPT-01'!$M109*'TABELA AUXILIAR'!$J$5+SUM('SPT-01'!$P$34:$P109))/2,0)*0.9</f>
        <v>28605.600000000002</v>
      </c>
      <c r="T77" s="8">
        <v>59.399999999999899</v>
      </c>
      <c r="U77" s="6">
        <f>ROUNDDOWN(('SPT-01'!$M101*'TABELA AUXILIAR'!$J$3+SUM('SPT-01'!$N$26:$N101))/2,0)*0.9</f>
        <v>21564</v>
      </c>
      <c r="V77" s="6">
        <f>ROUNDDOWN(('SPT-01'!$M101*'TABELA AUXILIAR'!$J$4+SUM('SPT-01'!$O$26:$O101))/2,0)*0.9</f>
        <v>23500.799999999999</v>
      </c>
      <c r="W77" s="6">
        <f>ROUNDDOWN(('SPT-01'!$M101*'TABELA AUXILIAR'!$J$5+SUM('SPT-01'!$P$26:$P101))/2,0)*0.9</f>
        <v>27384.3</v>
      </c>
      <c r="Y77" s="8">
        <v>54.599999999999902</v>
      </c>
      <c r="Z77" s="6">
        <f>ROUNDDOWN(('SPT-01'!$M93*'TABELA AUXILIAR'!$J$3+SUM('SPT-01'!$N$18:$N93))/2,0)*0.9</f>
        <v>20240.100000000002</v>
      </c>
      <c r="AA77" s="6">
        <f>ROUNDDOWN(('SPT-01'!$M93*'TABELA AUXILIAR'!$J$4+SUM('SPT-01'!$O$18:$O93))/2,0)*0.9</f>
        <v>22059.9</v>
      </c>
      <c r="AB77" s="6">
        <f>ROUNDDOWN(('SPT-01'!$M93*'TABELA AUXILIAR'!$J$5+SUM('SPT-01'!$P$18:$P93))/2,0)*0.9</f>
        <v>25710.3</v>
      </c>
      <c r="AD77" s="8">
        <v>49.799999999999898</v>
      </c>
      <c r="AE77" s="6">
        <f>ROUNDDOWN(('SPT-01'!$M85*'TABELA AUXILIAR'!$J$3+SUM('SPT-01'!$N$10:$N85))/2,0)*0.9</f>
        <v>18628.2</v>
      </c>
      <c r="AF77" s="6">
        <f>ROUNDDOWN(('SPT-01'!$M85*'TABELA AUXILIAR'!$J$4+SUM('SPT-01'!$O$10:$O85))/2,0)*0.9</f>
        <v>20306.7</v>
      </c>
      <c r="AG77" s="6">
        <f>ROUNDDOWN(('SPT-01'!$M85*'TABELA AUXILIAR'!$J$5+SUM('SPT-01'!$P$10:$P85))/2,0)*0.9</f>
        <v>23674.5</v>
      </c>
    </row>
    <row r="78" spans="10:33" x14ac:dyDescent="0.25">
      <c r="J78" s="1">
        <v>66.599999999999895</v>
      </c>
      <c r="K78" s="6">
        <f>ROUNDDOWN(('SPT-01'!$M113*'TABELA AUXILIAR'!$J$3+SUM('SPT-01'!$N$37:$N113))/2,0)*0.9</f>
        <v>23098.5</v>
      </c>
      <c r="L78" s="6">
        <f>ROUNDDOWN(('SPT-01'!$M113*'TABELA AUXILIAR'!$J$4+SUM('SPT-01'!$O$37:$O113))/2,0)*0.9</f>
        <v>25172.100000000002</v>
      </c>
      <c r="M78" s="6">
        <f>ROUNDDOWN(('SPT-01'!$M113*'TABELA AUXILIAR'!$J$5+SUM('SPT-01'!$P$37:$P113))/2,0)*0.9</f>
        <v>29329.200000000001</v>
      </c>
      <c r="N78" s="2"/>
      <c r="O78" s="8">
        <v>64.799999999999898</v>
      </c>
      <c r="P78" s="6">
        <f>ROUNDDOWN(('SPT-01'!$M110*'TABELA AUXILIAR'!$J$3+SUM('SPT-01'!$N$34:$N110))/2,0)*0.9</f>
        <v>22853.7</v>
      </c>
      <c r="Q78" s="6">
        <f>ROUNDDOWN(('SPT-01'!$M110*'TABELA AUXILIAR'!$J$4+SUM('SPT-01'!$O$34:$O110))/2,0)*0.9</f>
        <v>24904.799999999999</v>
      </c>
      <c r="R78" s="6">
        <f>ROUNDDOWN(('SPT-01'!$M110*'TABELA AUXILIAR'!$J$5+SUM('SPT-01'!$P$34:$P110))/2,0)*0.9</f>
        <v>29016.9</v>
      </c>
      <c r="T78" s="8">
        <v>59.999999999999901</v>
      </c>
      <c r="U78" s="6">
        <f>ROUNDDOWN(('SPT-01'!$M102*'TABELA AUXILIAR'!$J$3+SUM('SPT-01'!$N$26:$N102))/2,0)*0.9</f>
        <v>21878.100000000002</v>
      </c>
      <c r="V78" s="6">
        <f>ROUNDDOWN(('SPT-01'!$M102*'TABELA AUXILIAR'!$J$4+SUM('SPT-01'!$O$26:$O102))/2,0)*0.9</f>
        <v>23841.9</v>
      </c>
      <c r="W78" s="6">
        <f>ROUNDDOWN(('SPT-01'!$M102*'TABELA AUXILIAR'!$J$5+SUM('SPT-01'!$P$26:$P102))/2,0)*0.9</f>
        <v>27779.4</v>
      </c>
      <c r="Y78" s="8">
        <v>55.199999999999903</v>
      </c>
      <c r="Z78" s="6">
        <f>ROUNDDOWN(('SPT-01'!$M94*'TABELA AUXILIAR'!$J$3+SUM('SPT-01'!$N$18:$N94))/2,0)*0.9</f>
        <v>20541.600000000002</v>
      </c>
      <c r="AA78" s="6">
        <f>ROUNDDOWN(('SPT-01'!$M94*'TABELA AUXILIAR'!$J$4+SUM('SPT-01'!$O$18:$O94))/2,0)*0.9</f>
        <v>22386.600000000002</v>
      </c>
      <c r="AB78" s="6">
        <f>ROUNDDOWN(('SPT-01'!$M94*'TABELA AUXILIAR'!$J$5+SUM('SPT-01'!$P$18:$P94))/2,0)*0.9</f>
        <v>26089.200000000001</v>
      </c>
      <c r="AD78" s="8">
        <v>50.399999999999899</v>
      </c>
      <c r="AE78" s="6">
        <f>ROUNDDOWN(('SPT-01'!$M86*'TABELA AUXILIAR'!$J$3+SUM('SPT-01'!$N$10:$N86))/2,0)*0.9</f>
        <v>18916.2</v>
      </c>
      <c r="AF78" s="6">
        <f>ROUNDDOWN(('SPT-01'!$M86*'TABELA AUXILIAR'!$J$4+SUM('SPT-01'!$O$10:$O86))/2,0)*0.9</f>
        <v>20619</v>
      </c>
      <c r="AG78" s="6">
        <f>ROUNDDOWN(('SPT-01'!$M86*'TABELA AUXILIAR'!$J$5+SUM('SPT-01'!$P$10:$P86))/2,0)*0.9</f>
        <v>24037.200000000001</v>
      </c>
    </row>
    <row r="79" spans="10:33" x14ac:dyDescent="0.25">
      <c r="J79" s="1">
        <v>67.199999999999903</v>
      </c>
      <c r="K79" s="6">
        <f>ROUNDDOWN(('SPT-01'!$M114*'TABELA AUXILIAR'!$J$3+SUM('SPT-01'!$N$37:$N114))/2,0)*0.9</f>
        <v>23431.5</v>
      </c>
      <c r="L79" s="6">
        <f>ROUNDDOWN(('SPT-01'!$M114*'TABELA AUXILIAR'!$J$4+SUM('SPT-01'!$O$37:$O114))/2,0)*0.9</f>
        <v>25533.9</v>
      </c>
      <c r="M79" s="6">
        <f>ROUNDDOWN(('SPT-01'!$M114*'TABELA AUXILIAR'!$J$5+SUM('SPT-01'!$P$37:$P114))/2,0)*0.9</f>
        <v>29747.7</v>
      </c>
      <c r="N79" s="2"/>
      <c r="O79" s="8">
        <v>65.399999999999906</v>
      </c>
      <c r="P79" s="6">
        <f>ROUNDDOWN(('SPT-01'!$M111*'TABELA AUXILIAR'!$J$3+SUM('SPT-01'!$N$34:$N111))/2,0)*0.9</f>
        <v>23182.2</v>
      </c>
      <c r="Q79" s="6">
        <f>ROUNDDOWN(('SPT-01'!$M111*'TABELA AUXILIAR'!$J$4+SUM('SPT-01'!$O$34:$O111))/2,0)*0.9</f>
        <v>25261.200000000001</v>
      </c>
      <c r="R79" s="6">
        <f>ROUNDDOWN(('SPT-01'!$M111*'TABELA AUXILIAR'!$J$5+SUM('SPT-01'!$P$34:$P111))/2,0)*0.9</f>
        <v>29430</v>
      </c>
      <c r="T79" s="8">
        <v>60.599999999999902</v>
      </c>
      <c r="U79" s="6">
        <f>ROUNDDOWN(('SPT-01'!$M103*'TABELA AUXILIAR'!$J$3+SUM('SPT-01'!$N$26:$N103))/2,0)*0.9</f>
        <v>22194</v>
      </c>
      <c r="V79" s="6">
        <f>ROUNDDOWN(('SPT-01'!$M103*'TABELA AUXILIAR'!$J$4+SUM('SPT-01'!$O$26:$O103))/2,0)*0.9</f>
        <v>24184.799999999999</v>
      </c>
      <c r="W79" s="6">
        <f>ROUNDDOWN(('SPT-01'!$M103*'TABELA AUXILIAR'!$J$5+SUM('SPT-01'!$P$26:$P103))/2,0)*0.9</f>
        <v>28177.200000000001</v>
      </c>
      <c r="Y79" s="8">
        <v>55.799999999999898</v>
      </c>
      <c r="Z79" s="6">
        <f>ROUNDDOWN(('SPT-01'!$M95*'TABELA AUXILIAR'!$J$3+SUM('SPT-01'!$N$18:$N95))/2,0)*0.9</f>
        <v>20844</v>
      </c>
      <c r="AA79" s="6">
        <f>ROUNDDOWN(('SPT-01'!$M95*'TABELA AUXILIAR'!$J$4+SUM('SPT-01'!$O$18:$O95))/2,0)*0.9</f>
        <v>22716</v>
      </c>
      <c r="AB79" s="6">
        <f>ROUNDDOWN(('SPT-01'!$M95*'TABELA AUXILIAR'!$J$5+SUM('SPT-01'!$P$18:$P95))/2,0)*0.9</f>
        <v>26470.799999999999</v>
      </c>
      <c r="AD79" s="8">
        <v>50.999999999999901</v>
      </c>
      <c r="AE79" s="6">
        <f>ROUNDDOWN(('SPT-01'!$M87*'TABELA AUXILIAR'!$J$3+SUM('SPT-01'!$N$10:$N87))/2,0)*0.9</f>
        <v>19206</v>
      </c>
      <c r="AF79" s="6">
        <f>ROUNDDOWN(('SPT-01'!$M87*'TABELA AUXILIAR'!$J$4+SUM('SPT-01'!$O$10:$O87))/2,0)*0.9</f>
        <v>20934</v>
      </c>
      <c r="AG79" s="6">
        <f>ROUNDDOWN(('SPT-01'!$M87*'TABELA AUXILIAR'!$J$5+SUM('SPT-01'!$P$10:$P87))/2,0)*0.9</f>
        <v>24402.600000000002</v>
      </c>
    </row>
    <row r="80" spans="10:33" x14ac:dyDescent="0.25">
      <c r="J80" s="1">
        <v>67.799999999999898</v>
      </c>
      <c r="K80" s="6">
        <f>ROUNDDOWN(('SPT-01'!$M115*'TABELA AUXILIAR'!$J$3+SUM('SPT-01'!$N$37:$N115))/2,0)*0.9</f>
        <v>23765.4</v>
      </c>
      <c r="L80" s="6">
        <f>ROUNDDOWN(('SPT-01'!$M115*'TABELA AUXILIAR'!$J$4+SUM('SPT-01'!$O$37:$O115))/2,0)*0.9</f>
        <v>25896.600000000002</v>
      </c>
      <c r="M80" s="6">
        <f>ROUNDDOWN(('SPT-01'!$M115*'TABELA AUXILIAR'!$J$5+SUM('SPT-01'!$P$37:$P115))/2,0)*0.9</f>
        <v>30168.9</v>
      </c>
      <c r="N80" s="2"/>
      <c r="O80" s="8">
        <v>65.999999999999901</v>
      </c>
      <c r="P80" s="6">
        <f>ROUNDDOWN(('SPT-01'!$M112*'TABELA AUXILIAR'!$J$3+SUM('SPT-01'!$N$34:$N112))/2,0)*0.9</f>
        <v>23511.600000000002</v>
      </c>
      <c r="Q80" s="6">
        <f>ROUNDDOWN(('SPT-01'!$M112*'TABELA AUXILIAR'!$J$4+SUM('SPT-01'!$O$34:$O112))/2,0)*0.9</f>
        <v>25619.4</v>
      </c>
      <c r="R80" s="6">
        <f>ROUNDDOWN(('SPT-01'!$M112*'TABELA AUXILIAR'!$J$5+SUM('SPT-01'!$P$34:$P112))/2,0)*0.9</f>
        <v>29844.9</v>
      </c>
      <c r="T80" s="8">
        <v>61.199999999999903</v>
      </c>
      <c r="U80" s="6">
        <f>ROUNDDOWN(('SPT-01'!$M104*'TABELA AUXILIAR'!$J$3+SUM('SPT-01'!$N$26:$N104))/2,0)*0.9</f>
        <v>22510.799999999999</v>
      </c>
      <c r="V80" s="6">
        <f>ROUNDDOWN(('SPT-01'!$M104*'TABELA AUXILIAR'!$J$4+SUM('SPT-01'!$O$26:$O104))/2,0)*0.9</f>
        <v>24529.5</v>
      </c>
      <c r="W80" s="6">
        <f>ROUNDDOWN(('SPT-01'!$M104*'TABELA AUXILIAR'!$J$5+SUM('SPT-01'!$P$26:$P104))/2,0)*0.9</f>
        <v>28575.9</v>
      </c>
      <c r="Y80" s="8">
        <v>56.399999999999899</v>
      </c>
      <c r="Z80" s="6">
        <f>ROUNDDOWN(('SPT-01'!$M96*'TABELA AUXILIAR'!$J$3+SUM('SPT-01'!$N$18:$N96))/2,0)*0.9</f>
        <v>21148.2</v>
      </c>
      <c r="AA80" s="6">
        <f>ROUNDDOWN(('SPT-01'!$M96*'TABELA AUXILIAR'!$J$4+SUM('SPT-01'!$O$18:$O96))/2,0)*0.9</f>
        <v>23047.200000000001</v>
      </c>
      <c r="AB80" s="6">
        <f>ROUNDDOWN(('SPT-01'!$M96*'TABELA AUXILIAR'!$J$5+SUM('SPT-01'!$P$18:$P96))/2,0)*0.9</f>
        <v>26854.2</v>
      </c>
      <c r="AD80" s="8">
        <v>51.599999999999902</v>
      </c>
      <c r="AE80" s="6">
        <f>ROUNDDOWN(('SPT-01'!$M88*'TABELA AUXILIAR'!$J$3+SUM('SPT-01'!$N$10:$N88))/2,0)*0.9</f>
        <v>19496.7</v>
      </c>
      <c r="AF80" s="6">
        <f>ROUNDDOWN(('SPT-01'!$M88*'TABELA AUXILIAR'!$J$4+SUM('SPT-01'!$O$10:$O88))/2,0)*0.9</f>
        <v>21250.799999999999</v>
      </c>
      <c r="AG80" s="6">
        <f>ROUNDDOWN(('SPT-01'!$M88*'TABELA AUXILIAR'!$J$5+SUM('SPT-01'!$P$10:$P88))/2,0)*0.9</f>
        <v>24768.9</v>
      </c>
    </row>
    <row r="81" spans="10:33" x14ac:dyDescent="0.25">
      <c r="J81" s="1">
        <v>68.399999999999906</v>
      </c>
      <c r="K81" s="6">
        <f>ROUNDDOWN(('SPT-01'!$M116*'TABELA AUXILIAR'!$J$3+SUM('SPT-01'!$N$37:$N116))/2,0)*0.9</f>
        <v>24101.100000000002</v>
      </c>
      <c r="L81" s="6">
        <f>ROUNDDOWN(('SPT-01'!$M116*'TABELA AUXILIAR'!$J$4+SUM('SPT-01'!$O$37:$O116))/2,0)*0.9</f>
        <v>26262</v>
      </c>
      <c r="M81" s="6">
        <f>ROUNDDOWN(('SPT-01'!$M116*'TABELA AUXILIAR'!$J$5+SUM('SPT-01'!$P$37:$P116))/2,0)*0.9</f>
        <v>30591</v>
      </c>
      <c r="N81" s="2"/>
      <c r="O81" s="8">
        <v>66.599999999999895</v>
      </c>
      <c r="P81" s="6">
        <f>ROUNDDOWN(('SPT-01'!$M113*'TABELA AUXILIAR'!$J$3+SUM('SPT-01'!$N$34:$N113))/2,0)*0.9</f>
        <v>23842.799999999999</v>
      </c>
      <c r="Q81" s="6">
        <f>ROUNDDOWN(('SPT-01'!$M113*'TABELA AUXILIAR'!$J$4+SUM('SPT-01'!$O$34:$O113))/2,0)*0.9</f>
        <v>25979.4</v>
      </c>
      <c r="R81" s="6">
        <f>ROUNDDOWN(('SPT-01'!$M113*'TABELA AUXILIAR'!$J$5+SUM('SPT-01'!$P$34:$P113))/2,0)*0.9</f>
        <v>30261.600000000002</v>
      </c>
      <c r="T81" s="8">
        <v>61.799999999999898</v>
      </c>
      <c r="U81" s="6">
        <f>ROUNDDOWN(('SPT-01'!$M105*'TABELA AUXILIAR'!$J$3+SUM('SPT-01'!$N$26:$N105))/2,0)*0.9</f>
        <v>22829.4</v>
      </c>
      <c r="V81" s="6">
        <f>ROUNDDOWN(('SPT-01'!$M105*'TABELA AUXILIAR'!$J$4+SUM('SPT-01'!$O$26:$O105))/2,0)*0.9</f>
        <v>24876</v>
      </c>
      <c r="W81" s="6">
        <f>ROUNDDOWN(('SPT-01'!$M105*'TABELA AUXILIAR'!$J$5+SUM('SPT-01'!$P$26:$P105))/2,0)*0.9</f>
        <v>28977.3</v>
      </c>
      <c r="Y81" s="8">
        <v>56.999999999999901</v>
      </c>
      <c r="Z81" s="6">
        <f>ROUNDDOWN(('SPT-01'!$M97*'TABELA AUXILIAR'!$J$3+SUM('SPT-01'!$N$18:$N97))/2,0)*0.9</f>
        <v>21454.2</v>
      </c>
      <c r="AA81" s="6">
        <f>ROUNDDOWN(('SPT-01'!$M97*'TABELA AUXILIAR'!$J$4+SUM('SPT-01'!$O$18:$O97))/2,0)*0.9</f>
        <v>23379.3</v>
      </c>
      <c r="AB81" s="6">
        <f>ROUNDDOWN(('SPT-01'!$M97*'TABELA AUXILIAR'!$J$5+SUM('SPT-01'!$P$18:$P97))/2,0)*0.9</f>
        <v>27239.4</v>
      </c>
      <c r="AD81" s="8">
        <v>52.199999999999903</v>
      </c>
      <c r="AE81" s="6">
        <f>ROUNDDOWN(('SPT-01'!$M89*'TABELA AUXILIAR'!$J$3+SUM('SPT-01'!$N$10:$N89))/2,0)*0.9</f>
        <v>19790.100000000002</v>
      </c>
      <c r="AF81" s="6">
        <f>ROUNDDOWN(('SPT-01'!$M89*'TABELA AUXILIAR'!$J$4+SUM('SPT-01'!$O$10:$O89))/2,0)*0.9</f>
        <v>21569.4</v>
      </c>
      <c r="AG81" s="6">
        <f>ROUNDDOWN(('SPT-01'!$M89*'TABELA AUXILIAR'!$J$5+SUM('SPT-01'!$P$10:$P89))/2,0)*0.9</f>
        <v>25137.9</v>
      </c>
    </row>
    <row r="82" spans="10:33" x14ac:dyDescent="0.25">
      <c r="J82" s="1">
        <v>68.999999999999901</v>
      </c>
      <c r="K82" s="6">
        <f>ROUNDDOWN(('SPT-01'!$M117*'TABELA AUXILIAR'!$J$3+SUM('SPT-01'!$N$37:$N117))/2,0)*0.9</f>
        <v>24438.600000000002</v>
      </c>
      <c r="L82" s="6">
        <f>ROUNDDOWN(('SPT-01'!$M117*'TABELA AUXILIAR'!$J$4+SUM('SPT-01'!$O$37:$O117))/2,0)*0.9</f>
        <v>26628.3</v>
      </c>
      <c r="M82" s="6">
        <f>ROUNDDOWN(('SPT-01'!$M117*'TABELA AUXILIAR'!$J$5+SUM('SPT-01'!$P$37:$P117))/2,0)*0.9</f>
        <v>31014.9</v>
      </c>
      <c r="N82" s="2"/>
      <c r="O82" s="8">
        <v>67.199999999999903</v>
      </c>
      <c r="P82" s="6">
        <f>ROUNDDOWN(('SPT-01'!$M114*'TABELA AUXILIAR'!$J$3+SUM('SPT-01'!$N$34:$N114))/2,0)*0.9</f>
        <v>24175.8</v>
      </c>
      <c r="Q82" s="6">
        <f>ROUNDDOWN(('SPT-01'!$M114*'TABELA AUXILIAR'!$J$4+SUM('SPT-01'!$O$34:$O114))/2,0)*0.9</f>
        <v>26341.200000000001</v>
      </c>
      <c r="R82" s="6">
        <f>ROUNDDOWN(('SPT-01'!$M114*'TABELA AUXILIAR'!$J$5+SUM('SPT-01'!$P$34:$P114))/2,0)*0.9</f>
        <v>30680.100000000002</v>
      </c>
      <c r="T82" s="8">
        <v>62.399999999999899</v>
      </c>
      <c r="U82" s="6">
        <f>ROUNDDOWN(('SPT-01'!$M106*'TABELA AUXILIAR'!$J$3+SUM('SPT-01'!$N$26:$N106))/2,0)*0.9</f>
        <v>23149.8</v>
      </c>
      <c r="V82" s="6">
        <f>ROUNDDOWN(('SPT-01'!$M106*'TABELA AUXILIAR'!$J$4+SUM('SPT-01'!$O$26:$O106))/2,0)*0.9</f>
        <v>25224.3</v>
      </c>
      <c r="W82" s="6">
        <f>ROUNDDOWN(('SPT-01'!$M106*'TABELA AUXILIAR'!$J$5+SUM('SPT-01'!$P$26:$P106))/2,0)*0.9</f>
        <v>29380.5</v>
      </c>
      <c r="Y82" s="8">
        <v>57.599999999999902</v>
      </c>
      <c r="Z82" s="6">
        <f>ROUNDDOWN(('SPT-01'!$M98*'TABELA AUXILIAR'!$J$3+SUM('SPT-01'!$N$18:$N98))/2,0)*0.9</f>
        <v>21762</v>
      </c>
      <c r="AA82" s="6">
        <f>ROUNDDOWN(('SPT-01'!$M98*'TABELA AUXILIAR'!$J$4+SUM('SPT-01'!$O$18:$O98))/2,0)*0.9</f>
        <v>23714.100000000002</v>
      </c>
      <c r="AB82" s="6">
        <f>ROUNDDOWN(('SPT-01'!$M98*'TABELA AUXILIAR'!$J$5+SUM('SPT-01'!$P$18:$P98))/2,0)*0.9</f>
        <v>27626.400000000001</v>
      </c>
      <c r="AD82" s="8">
        <v>52.799999999999898</v>
      </c>
      <c r="AE82" s="6">
        <f>ROUNDDOWN(('SPT-01'!$M90*'TABELA AUXILIAR'!$J$3+SUM('SPT-01'!$N$10:$N90))/2,0)*0.9</f>
        <v>20084.400000000001</v>
      </c>
      <c r="AF82" s="6">
        <f>ROUNDDOWN(('SPT-01'!$M90*'TABELA AUXILIAR'!$J$4+SUM('SPT-01'!$O$10:$O90))/2,0)*0.9</f>
        <v>21888.9</v>
      </c>
      <c r="AG82" s="6">
        <f>ROUNDDOWN(('SPT-01'!$M90*'TABELA AUXILIAR'!$J$5+SUM('SPT-01'!$P$10:$P90))/2,0)*0.9</f>
        <v>25508.7</v>
      </c>
    </row>
    <row r="83" spans="10:33" x14ac:dyDescent="0.25">
      <c r="J83" s="1">
        <v>69.599999999999895</v>
      </c>
      <c r="K83" s="6">
        <f>ROUNDDOWN(('SPT-01'!$M118*'TABELA AUXILIAR'!$J$3+SUM('SPT-01'!$N$37:$N118))/2,0)*0.9</f>
        <v>24777.9</v>
      </c>
      <c r="L83" s="6">
        <f>ROUNDDOWN(('SPT-01'!$M118*'TABELA AUXILIAR'!$J$4+SUM('SPT-01'!$O$37:$O118))/2,0)*0.9</f>
        <v>26996.400000000001</v>
      </c>
      <c r="M83" s="6">
        <f>ROUNDDOWN(('SPT-01'!$M118*'TABELA AUXILIAR'!$J$5+SUM('SPT-01'!$P$37:$P118))/2,0)*0.9</f>
        <v>31441.5</v>
      </c>
      <c r="N83" s="2"/>
      <c r="O83" s="8">
        <v>67.799999999999898</v>
      </c>
      <c r="P83" s="6">
        <f>ROUNDDOWN(('SPT-01'!$M115*'TABELA AUXILIAR'!$J$3+SUM('SPT-01'!$N$34:$N115))/2,0)*0.9</f>
        <v>24509.7</v>
      </c>
      <c r="Q83" s="6">
        <f>ROUNDDOWN(('SPT-01'!$M115*'TABELA AUXILIAR'!$J$4+SUM('SPT-01'!$O$34:$O115))/2,0)*0.9</f>
        <v>26703.9</v>
      </c>
      <c r="R83" s="6">
        <f>ROUNDDOWN(('SPT-01'!$M115*'TABELA AUXILIAR'!$J$5+SUM('SPT-01'!$P$34:$P115))/2,0)*0.9</f>
        <v>31100.400000000001</v>
      </c>
      <c r="T83" s="8">
        <v>62.999999999999901</v>
      </c>
      <c r="U83" s="6">
        <f>ROUNDDOWN(('SPT-01'!$M107*'TABELA AUXILIAR'!$J$3+SUM('SPT-01'!$N$26:$N107))/2,0)*0.9</f>
        <v>23472</v>
      </c>
      <c r="V83" s="6">
        <f>ROUNDDOWN(('SPT-01'!$M107*'TABELA AUXILIAR'!$J$4+SUM('SPT-01'!$O$26:$O107))/2,0)*0.9</f>
        <v>25574.400000000001</v>
      </c>
      <c r="W83" s="6">
        <f>ROUNDDOWN(('SPT-01'!$M107*'TABELA AUXILIAR'!$J$5+SUM('SPT-01'!$P$26:$P107))/2,0)*0.9</f>
        <v>29785.5</v>
      </c>
      <c r="Y83" s="8">
        <v>58.199999999999903</v>
      </c>
      <c r="Z83" s="6">
        <f>ROUNDDOWN(('SPT-01'!$M99*'TABELA AUXILIAR'!$J$3+SUM('SPT-01'!$N$18:$N99))/2,0)*0.9</f>
        <v>22071.600000000002</v>
      </c>
      <c r="AA83" s="6">
        <f>ROUNDDOWN(('SPT-01'!$M99*'TABELA AUXILIAR'!$J$4+SUM('SPT-01'!$O$18:$O99))/2,0)*0.9</f>
        <v>24049.8</v>
      </c>
      <c r="AB83" s="6">
        <f>ROUNDDOWN(('SPT-01'!$M99*'TABELA AUXILIAR'!$J$5+SUM('SPT-01'!$P$18:$P99))/2,0)*0.9</f>
        <v>28016.100000000002</v>
      </c>
      <c r="AD83" s="8">
        <v>53.399999999999899</v>
      </c>
      <c r="AE83" s="6">
        <f>ROUNDDOWN(('SPT-01'!$M91*'TABELA AUXILIAR'!$J$3+SUM('SPT-01'!$N$10:$N91))/2,0)*0.9</f>
        <v>20380.5</v>
      </c>
      <c r="AF83" s="6">
        <f>ROUNDDOWN(('SPT-01'!$M91*'TABELA AUXILIAR'!$J$4+SUM('SPT-01'!$O$10:$O91))/2,0)*0.9</f>
        <v>22211.100000000002</v>
      </c>
      <c r="AG83" s="6">
        <f>ROUNDDOWN(('SPT-01'!$M91*'TABELA AUXILIAR'!$J$5+SUM('SPT-01'!$P$10:$P91))/2,0)*0.9</f>
        <v>25882.2</v>
      </c>
    </row>
    <row r="84" spans="10:33" x14ac:dyDescent="0.25">
      <c r="J84" s="1">
        <v>70.199999999999903</v>
      </c>
      <c r="K84" s="6">
        <f>ROUNDDOWN(('SPT-01'!$M119*'TABELA AUXILIAR'!$J$3+SUM('SPT-01'!$N$37:$N119))/2,0)*0.9</f>
        <v>25118.100000000002</v>
      </c>
      <c r="L84" s="6">
        <f>ROUNDDOWN(('SPT-01'!$M119*'TABELA AUXILIAR'!$J$4+SUM('SPT-01'!$O$37:$O119))/2,0)*0.9</f>
        <v>27366.3</v>
      </c>
      <c r="M84" s="6">
        <f>ROUNDDOWN(('SPT-01'!$M119*'TABELA AUXILIAR'!$J$5+SUM('SPT-01'!$P$37:$P119))/2,0)*0.9</f>
        <v>31869.9</v>
      </c>
      <c r="N84" s="2"/>
      <c r="O84" s="8">
        <v>68.399999999999906</v>
      </c>
      <c r="P84" s="6">
        <f>ROUNDDOWN(('SPT-01'!$M116*'TABELA AUXILIAR'!$J$3+SUM('SPT-01'!$N$34:$N116))/2,0)*0.9</f>
        <v>24845.4</v>
      </c>
      <c r="Q84" s="6">
        <f>ROUNDDOWN(('SPT-01'!$M116*'TABELA AUXILIAR'!$J$4+SUM('SPT-01'!$O$34:$O116))/2,0)*0.9</f>
        <v>27069.3</v>
      </c>
      <c r="R84" s="6">
        <f>ROUNDDOWN(('SPT-01'!$M116*'TABELA AUXILIAR'!$J$5+SUM('SPT-01'!$P$34:$P116))/2,0)*0.9</f>
        <v>31523.4</v>
      </c>
      <c r="T84" s="8">
        <v>63.599999999999902</v>
      </c>
      <c r="U84" s="6">
        <f>ROUNDDOWN(('SPT-01'!$M108*'TABELA AUXILIAR'!$J$3+SUM('SPT-01'!$N$26:$N108))/2,0)*0.9</f>
        <v>23796</v>
      </c>
      <c r="V84" s="6">
        <f>ROUNDDOWN(('SPT-01'!$M108*'TABELA AUXILIAR'!$J$4+SUM('SPT-01'!$O$26:$O108))/2,0)*0.9</f>
        <v>25925.4</v>
      </c>
      <c r="W84" s="6">
        <f>ROUNDDOWN(('SPT-01'!$M108*'TABELA AUXILIAR'!$J$5+SUM('SPT-01'!$P$26:$P108))/2,0)*0.9</f>
        <v>30193.200000000001</v>
      </c>
      <c r="Y84" s="8">
        <v>58.799999999999898</v>
      </c>
      <c r="Z84" s="6">
        <f>ROUNDDOWN(('SPT-01'!$M100*'TABELA AUXILIAR'!$J$3+SUM('SPT-01'!$N$18:$N100))/2,0)*0.9</f>
        <v>22382.100000000002</v>
      </c>
      <c r="AA84" s="6">
        <f>ROUNDDOWN(('SPT-01'!$M100*'TABELA AUXILIAR'!$J$4+SUM('SPT-01'!$O$18:$O100))/2,0)*0.9</f>
        <v>24388.2</v>
      </c>
      <c r="AB84" s="6">
        <f>ROUNDDOWN(('SPT-01'!$M100*'TABELA AUXILIAR'!$J$5+SUM('SPT-01'!$P$18:$P100))/2,0)*0.9</f>
        <v>28406.7</v>
      </c>
      <c r="AD84" s="8">
        <v>53.999999999999901</v>
      </c>
      <c r="AE84" s="6">
        <f>ROUNDDOWN(('SPT-01'!$M92*'TABELA AUXILIAR'!$J$3+SUM('SPT-01'!$N$10:$N92))/2,0)*0.9</f>
        <v>20678.400000000001</v>
      </c>
      <c r="AF84" s="6">
        <f>ROUNDDOWN(('SPT-01'!$M92*'TABELA AUXILIAR'!$J$4+SUM('SPT-01'!$O$10:$O92))/2,0)*0.9</f>
        <v>22535.100000000002</v>
      </c>
      <c r="AG84" s="6">
        <f>ROUNDDOWN(('SPT-01'!$M92*'TABELA AUXILIAR'!$J$5+SUM('SPT-01'!$P$10:$P92))/2,0)*0.9</f>
        <v>26257.5</v>
      </c>
    </row>
    <row r="85" spans="10:33" x14ac:dyDescent="0.25">
      <c r="J85" s="1">
        <v>70.799999999999898</v>
      </c>
      <c r="K85" s="6">
        <f>ROUNDDOWN(('SPT-01'!$M120*'TABELA AUXILIAR'!$J$3+SUM('SPT-01'!$N$37:$N120))/2,0)*0.9</f>
        <v>25460.100000000002</v>
      </c>
      <c r="L85" s="6">
        <f>ROUNDDOWN(('SPT-01'!$M120*'TABELA AUXILIAR'!$J$4+SUM('SPT-01'!$O$37:$O120))/2,0)*0.9</f>
        <v>27738</v>
      </c>
      <c r="M85" s="6">
        <f>ROUNDDOWN(('SPT-01'!$M120*'TABELA AUXILIAR'!$J$5+SUM('SPT-01'!$P$37:$P120))/2,0)*0.9</f>
        <v>32300.100000000002</v>
      </c>
      <c r="N85" s="2"/>
      <c r="O85" s="8">
        <v>68.999999999999901</v>
      </c>
      <c r="P85" s="6">
        <f>ROUNDDOWN(('SPT-01'!$M117*'TABELA AUXILIAR'!$J$3+SUM('SPT-01'!$N$34:$N117))/2,0)*0.9</f>
        <v>25182.9</v>
      </c>
      <c r="Q85" s="6">
        <f>ROUNDDOWN(('SPT-01'!$M117*'TABELA AUXILIAR'!$J$4+SUM('SPT-01'!$O$34:$O117))/2,0)*0.9</f>
        <v>27435.600000000002</v>
      </c>
      <c r="R85" s="6">
        <f>ROUNDDOWN(('SPT-01'!$M117*'TABELA AUXILIAR'!$J$5+SUM('SPT-01'!$P$34:$P117))/2,0)*0.9</f>
        <v>31947.3</v>
      </c>
      <c r="T85" s="8">
        <v>64.199999999999903</v>
      </c>
      <c r="U85" s="6">
        <f>ROUNDDOWN(('SPT-01'!$M109*'TABELA AUXILIAR'!$J$3+SUM('SPT-01'!$N$26:$N109))/2,0)*0.9</f>
        <v>24120.9</v>
      </c>
      <c r="V85" s="6">
        <f>ROUNDDOWN(('SPT-01'!$M109*'TABELA AUXILIAR'!$J$4+SUM('SPT-01'!$O$26:$O109))/2,0)*0.9</f>
        <v>26279.100000000002</v>
      </c>
      <c r="W85" s="6">
        <f>ROUNDDOWN(('SPT-01'!$M109*'TABELA AUXILIAR'!$J$5+SUM('SPT-01'!$P$26:$P109))/2,0)*0.9</f>
        <v>30601.8</v>
      </c>
      <c r="Y85" s="8">
        <v>59.399999999999899</v>
      </c>
      <c r="Z85" s="6">
        <f>ROUNDDOWN(('SPT-01'!$M101*'TABELA AUXILIAR'!$J$3+SUM('SPT-01'!$N$18:$N101))/2,0)*0.9</f>
        <v>22694.400000000001</v>
      </c>
      <c r="AA85" s="6">
        <f>ROUNDDOWN(('SPT-01'!$M101*'TABELA AUXILIAR'!$J$4+SUM('SPT-01'!$O$18:$O101))/2,0)*0.9</f>
        <v>24727.5</v>
      </c>
      <c r="AB85" s="6">
        <f>ROUNDDOWN(('SPT-01'!$M101*'TABELA AUXILIAR'!$J$5+SUM('SPT-01'!$P$18:$P101))/2,0)*0.9</f>
        <v>28800</v>
      </c>
      <c r="AD85" s="8">
        <v>54.599999999999902</v>
      </c>
      <c r="AE85" s="6">
        <f>ROUNDDOWN(('SPT-01'!$M93*'TABELA AUXILIAR'!$J$3+SUM('SPT-01'!$N$10:$N93))/2,0)*0.9</f>
        <v>20978.100000000002</v>
      </c>
      <c r="AF85" s="6">
        <f>ROUNDDOWN(('SPT-01'!$M93*'TABELA AUXILIAR'!$J$4+SUM('SPT-01'!$O$10:$O93))/2,0)*0.9</f>
        <v>22860</v>
      </c>
      <c r="AG85" s="6">
        <f>ROUNDDOWN(('SPT-01'!$M93*'TABELA AUXILIAR'!$J$5+SUM('SPT-01'!$P$10:$P93))/2,0)*0.9</f>
        <v>26634.600000000002</v>
      </c>
    </row>
    <row r="86" spans="10:33" x14ac:dyDescent="0.25">
      <c r="J86" s="1">
        <v>71.399999999999906</v>
      </c>
      <c r="K86" s="6">
        <f>ROUNDDOWN(('SPT-01'!$M121*'TABELA AUXILIAR'!$J$3+SUM('SPT-01'!$N$37:$N121))/2,0)*0.9</f>
        <v>25803</v>
      </c>
      <c r="L86" s="6">
        <f>ROUNDDOWN(('SPT-01'!$M121*'TABELA AUXILIAR'!$J$4+SUM('SPT-01'!$O$37:$O121))/2,0)*0.9</f>
        <v>28110.600000000002</v>
      </c>
      <c r="M86" s="6">
        <f>ROUNDDOWN(('SPT-01'!$M121*'TABELA AUXILIAR'!$J$5+SUM('SPT-01'!$P$37:$P121))/2,0)*0.9</f>
        <v>32732.100000000002</v>
      </c>
      <c r="N86" s="2"/>
      <c r="O86" s="8">
        <v>69.599999999999895</v>
      </c>
      <c r="P86" s="6">
        <f>ROUNDDOWN(('SPT-01'!$M118*'TABELA AUXILIAR'!$J$3+SUM('SPT-01'!$N$34:$N118))/2,0)*0.9</f>
        <v>25522.2</v>
      </c>
      <c r="Q86" s="6">
        <f>ROUNDDOWN(('SPT-01'!$M118*'TABELA AUXILIAR'!$J$4+SUM('SPT-01'!$O$34:$O118))/2,0)*0.9</f>
        <v>27803.7</v>
      </c>
      <c r="R86" s="6">
        <f>ROUNDDOWN(('SPT-01'!$M118*'TABELA AUXILIAR'!$J$5+SUM('SPT-01'!$P$34:$P118))/2,0)*0.9</f>
        <v>32373.9</v>
      </c>
      <c r="T86" s="8">
        <v>64.799999999999898</v>
      </c>
      <c r="U86" s="6">
        <f>ROUNDDOWN(('SPT-01'!$M110*'TABELA AUXILIAR'!$J$3+SUM('SPT-01'!$N$26:$N110))/2,0)*0.9</f>
        <v>24447.600000000002</v>
      </c>
      <c r="V86" s="6">
        <f>ROUNDDOWN(('SPT-01'!$M110*'TABELA AUXILIAR'!$J$4+SUM('SPT-01'!$O$26:$O110))/2,0)*0.9</f>
        <v>26633.7</v>
      </c>
      <c r="W86" s="6">
        <f>ROUNDDOWN(('SPT-01'!$M110*'TABELA AUXILIAR'!$J$5+SUM('SPT-01'!$P$26:$P110))/2,0)*0.9</f>
        <v>31013.100000000002</v>
      </c>
      <c r="Y86" s="8">
        <v>59.999999999999901</v>
      </c>
      <c r="Z86" s="6">
        <f>ROUNDDOWN(('SPT-01'!$M102*'TABELA AUXILIAR'!$J$3+SUM('SPT-01'!$N$18:$N102))/2,0)*0.9</f>
        <v>23008.5</v>
      </c>
      <c r="AA86" s="6">
        <f>ROUNDDOWN(('SPT-01'!$M102*'TABELA AUXILIAR'!$J$4+SUM('SPT-01'!$O$18:$O102))/2,0)*0.9</f>
        <v>25068.600000000002</v>
      </c>
      <c r="AB86" s="6">
        <f>ROUNDDOWN(('SPT-01'!$M102*'TABELA AUXILIAR'!$J$5+SUM('SPT-01'!$P$18:$P102))/2,0)*0.9</f>
        <v>29196</v>
      </c>
      <c r="AD86" s="8">
        <v>55.199999999999903</v>
      </c>
      <c r="AE86" s="6">
        <f>ROUNDDOWN(('SPT-01'!$M94*'TABELA AUXILIAR'!$J$3+SUM('SPT-01'!$N$10:$N94))/2,0)*0.9</f>
        <v>21279.600000000002</v>
      </c>
      <c r="AF86" s="6">
        <f>ROUNDDOWN(('SPT-01'!$M94*'TABELA AUXILIAR'!$J$4+SUM('SPT-01'!$O$10:$O94))/2,0)*0.9</f>
        <v>23187.600000000002</v>
      </c>
      <c r="AG86" s="6">
        <f>ROUNDDOWN(('SPT-01'!$M94*'TABELA AUXILIAR'!$J$5+SUM('SPT-01'!$P$10:$P94))/2,0)*0.9</f>
        <v>27013.5</v>
      </c>
    </row>
    <row r="87" spans="10:33" x14ac:dyDescent="0.25">
      <c r="J87" s="1">
        <v>71.999999999999901</v>
      </c>
      <c r="K87" s="6">
        <f>ROUNDDOWN(('SPT-01'!$M122*'TABELA AUXILIAR'!$J$3+SUM('SPT-01'!$N$37:$N122))/2,0)*0.9</f>
        <v>26147.7</v>
      </c>
      <c r="L87" s="6">
        <f>ROUNDDOWN(('SPT-01'!$M122*'TABELA AUXILIAR'!$J$4+SUM('SPT-01'!$O$37:$O122))/2,0)*0.9</f>
        <v>28485</v>
      </c>
      <c r="M87" s="6">
        <f>ROUNDDOWN(('SPT-01'!$M122*'TABELA AUXILIAR'!$J$5+SUM('SPT-01'!$P$37:$P122))/2,0)*0.9</f>
        <v>33165.9</v>
      </c>
      <c r="N87" s="2"/>
      <c r="O87" s="8">
        <v>70.199999999999903</v>
      </c>
      <c r="P87" s="6">
        <f>ROUNDDOWN(('SPT-01'!$M119*'TABELA AUXILIAR'!$J$3+SUM('SPT-01'!$N$34:$N119))/2,0)*0.9</f>
        <v>25862.400000000001</v>
      </c>
      <c r="Q87" s="6">
        <f>ROUNDDOWN(('SPT-01'!$M119*'TABELA AUXILIAR'!$J$4+SUM('SPT-01'!$O$34:$O119))/2,0)*0.9</f>
        <v>28173.600000000002</v>
      </c>
      <c r="R87" s="6">
        <f>ROUNDDOWN(('SPT-01'!$M119*'TABELA AUXILIAR'!$J$5+SUM('SPT-01'!$P$34:$P119))/2,0)*0.9</f>
        <v>32802.300000000003</v>
      </c>
      <c r="T87" s="8">
        <v>65.399999999999906</v>
      </c>
      <c r="U87" s="6">
        <f>ROUNDDOWN(('SPT-01'!$M111*'TABELA AUXILIAR'!$J$3+SUM('SPT-01'!$N$26:$N111))/2,0)*0.9</f>
        <v>24775.200000000001</v>
      </c>
      <c r="V87" s="6">
        <f>ROUNDDOWN(('SPT-01'!$M111*'TABELA AUXILIAR'!$J$4+SUM('SPT-01'!$O$26:$O111))/2,0)*0.9</f>
        <v>26990.100000000002</v>
      </c>
      <c r="W87" s="6">
        <f>ROUNDDOWN(('SPT-01'!$M111*'TABELA AUXILIAR'!$J$5+SUM('SPT-01'!$P$26:$P111))/2,0)*0.9</f>
        <v>31426.2</v>
      </c>
      <c r="Y87" s="8">
        <v>60.599999999999902</v>
      </c>
      <c r="Z87" s="6">
        <f>ROUNDDOWN(('SPT-01'!$M103*'TABELA AUXILIAR'!$J$3+SUM('SPT-01'!$N$18:$N103))/2,0)*0.9</f>
        <v>23324.400000000001</v>
      </c>
      <c r="AA87" s="6">
        <f>ROUNDDOWN(('SPT-01'!$M103*'TABELA AUXILIAR'!$J$4+SUM('SPT-01'!$O$18:$O103))/2,0)*0.9</f>
        <v>25411.5</v>
      </c>
      <c r="AB87" s="6">
        <f>ROUNDDOWN(('SPT-01'!$M103*'TABELA AUXILIAR'!$J$5+SUM('SPT-01'!$P$18:$P103))/2,0)*0.9</f>
        <v>29592.9</v>
      </c>
      <c r="AD87" s="8">
        <v>55.799999999999898</v>
      </c>
      <c r="AE87" s="6">
        <f>ROUNDDOWN(('SPT-01'!$M95*'TABELA AUXILIAR'!$J$3+SUM('SPT-01'!$N$10:$N95))/2,0)*0.9</f>
        <v>21582</v>
      </c>
      <c r="AF87" s="6">
        <f>ROUNDDOWN(('SPT-01'!$M95*'TABELA AUXILIAR'!$J$4+SUM('SPT-01'!$O$10:$O95))/2,0)*0.9</f>
        <v>23517</v>
      </c>
      <c r="AG87" s="6">
        <f>ROUNDDOWN(('SPT-01'!$M95*'TABELA AUXILIAR'!$J$5+SUM('SPT-01'!$P$10:$P95))/2,0)*0.9</f>
        <v>27395.100000000002</v>
      </c>
    </row>
    <row r="88" spans="10:33" x14ac:dyDescent="0.25">
      <c r="J88" s="1">
        <v>72.599999999999895</v>
      </c>
      <c r="K88" s="6">
        <f>ROUNDDOWN(('SPT-01'!$M123*'TABELA AUXILIAR'!$J$3+SUM('SPT-01'!$N$37:$N123))/2,0)*0.9</f>
        <v>26494.2</v>
      </c>
      <c r="L88" s="6">
        <f>ROUNDDOWN(('SPT-01'!$M123*'TABELA AUXILIAR'!$J$4+SUM('SPT-01'!$O$37:$O123))/2,0)*0.9</f>
        <v>28862.100000000002</v>
      </c>
      <c r="M88" s="6">
        <f>ROUNDDOWN(('SPT-01'!$M123*'TABELA AUXILIAR'!$J$5+SUM('SPT-01'!$P$37:$P123))/2,0)*0.9</f>
        <v>33601.5</v>
      </c>
      <c r="N88" s="2"/>
      <c r="O88" s="8">
        <v>70.799999999999898</v>
      </c>
      <c r="P88" s="6">
        <f>ROUNDDOWN(('SPT-01'!$M120*'TABELA AUXILIAR'!$J$3+SUM('SPT-01'!$N$34:$N120))/2,0)*0.9</f>
        <v>26204.400000000001</v>
      </c>
      <c r="Q88" s="6">
        <f>ROUNDDOWN(('SPT-01'!$M120*'TABELA AUXILIAR'!$J$4+SUM('SPT-01'!$O$34:$O120))/2,0)*0.9</f>
        <v>28545.3</v>
      </c>
      <c r="R88" s="6">
        <f>ROUNDDOWN(('SPT-01'!$M120*'TABELA AUXILIAR'!$J$5+SUM('SPT-01'!$P$34:$P120))/2,0)*0.9</f>
        <v>33232.5</v>
      </c>
      <c r="T88" s="8">
        <v>65.999999999999901</v>
      </c>
      <c r="U88" s="6">
        <f>ROUNDDOWN(('SPT-01'!$M112*'TABELA AUXILIAR'!$J$3+SUM('SPT-01'!$N$26:$N112))/2,0)*0.9</f>
        <v>25104.600000000002</v>
      </c>
      <c r="V88" s="6">
        <f>ROUNDDOWN(('SPT-01'!$M112*'TABELA AUXILIAR'!$J$4+SUM('SPT-01'!$O$26:$O112))/2,0)*0.9</f>
        <v>27348.3</v>
      </c>
      <c r="W88" s="6">
        <f>ROUNDDOWN(('SPT-01'!$M112*'TABELA AUXILIAR'!$J$5+SUM('SPT-01'!$P$26:$P112))/2,0)*0.9</f>
        <v>31841.100000000002</v>
      </c>
      <c r="Y88" s="8">
        <v>61.199999999999903</v>
      </c>
      <c r="Z88" s="6">
        <f>ROUNDDOWN(('SPT-01'!$M104*'TABELA AUXILIAR'!$J$3+SUM('SPT-01'!$N$18:$N104))/2,0)*0.9</f>
        <v>23641.200000000001</v>
      </c>
      <c r="AA88" s="6">
        <f>ROUNDDOWN(('SPT-01'!$M104*'TABELA AUXILIAR'!$J$4+SUM('SPT-01'!$O$18:$O104))/2,0)*0.9</f>
        <v>25756.2</v>
      </c>
      <c r="AB88" s="6">
        <f>ROUNDDOWN(('SPT-01'!$M104*'TABELA AUXILIAR'!$J$5+SUM('SPT-01'!$P$18:$P104))/2,0)*0.9</f>
        <v>29992.5</v>
      </c>
      <c r="AD88" s="8">
        <v>56.399999999999899</v>
      </c>
      <c r="AE88" s="6">
        <f>ROUNDDOWN(('SPT-01'!$M96*'TABELA AUXILIAR'!$J$3+SUM('SPT-01'!$N$10:$N96))/2,0)*0.9</f>
        <v>21886.2</v>
      </c>
      <c r="AF88" s="6">
        <f>ROUNDDOWN(('SPT-01'!$M96*'TABELA AUXILIAR'!$J$4+SUM('SPT-01'!$O$10:$O96))/2,0)*0.9</f>
        <v>23847.3</v>
      </c>
      <c r="AG88" s="6">
        <f>ROUNDDOWN(('SPT-01'!$M96*'TABELA AUXILIAR'!$J$5+SUM('SPT-01'!$P$10:$P96))/2,0)*0.9</f>
        <v>27778.5</v>
      </c>
    </row>
    <row r="89" spans="10:33" x14ac:dyDescent="0.25">
      <c r="J89" s="1">
        <v>73.199999999999903</v>
      </c>
      <c r="K89" s="6">
        <f>ROUNDDOWN(('SPT-01'!$M124*'TABELA AUXILIAR'!$J$3+SUM('SPT-01'!$N$37:$N124))/2,0)*0.9</f>
        <v>26842.5</v>
      </c>
      <c r="L89" s="6">
        <f>ROUNDDOWN(('SPT-01'!$M124*'TABELA AUXILIAR'!$J$4+SUM('SPT-01'!$O$37:$O124))/2,0)*0.9</f>
        <v>29239.200000000001</v>
      </c>
      <c r="M89" s="6">
        <f>ROUNDDOWN(('SPT-01'!$M124*'TABELA AUXILIAR'!$J$5+SUM('SPT-01'!$P$37:$P124))/2,0)*0.9</f>
        <v>34038.9</v>
      </c>
      <c r="N89" s="2"/>
      <c r="O89" s="8">
        <v>71.399999999999906</v>
      </c>
      <c r="P89" s="6">
        <f>ROUNDDOWN(('SPT-01'!$M121*'TABELA AUXILIAR'!$J$3+SUM('SPT-01'!$N$34:$N121))/2,0)*0.9</f>
        <v>26547.3</v>
      </c>
      <c r="Q89" s="6">
        <f>ROUNDDOWN(('SPT-01'!$M121*'TABELA AUXILIAR'!$J$4+SUM('SPT-01'!$O$34:$O121))/2,0)*0.9</f>
        <v>28917.9</v>
      </c>
      <c r="R89" s="6">
        <f>ROUNDDOWN(('SPT-01'!$M121*'TABELA AUXILIAR'!$J$5+SUM('SPT-01'!$P$34:$P121))/2,0)*0.9</f>
        <v>33663.599999999999</v>
      </c>
      <c r="T89" s="8">
        <v>66.599999999999895</v>
      </c>
      <c r="U89" s="6">
        <f>ROUNDDOWN(('SPT-01'!$M113*'TABELA AUXILIAR'!$J$3+SUM('SPT-01'!$N$26:$N113))/2,0)*0.9</f>
        <v>25435.8</v>
      </c>
      <c r="V89" s="6">
        <f>ROUNDDOWN(('SPT-01'!$M113*'TABELA AUXILIAR'!$J$4+SUM('SPT-01'!$O$26:$O113))/2,0)*0.9</f>
        <v>27708.3</v>
      </c>
      <c r="W89" s="6">
        <f>ROUNDDOWN(('SPT-01'!$M113*'TABELA AUXILIAR'!$J$5+SUM('SPT-01'!$P$26:$P113))/2,0)*0.9</f>
        <v>32257.8</v>
      </c>
      <c r="Y89" s="8">
        <v>61.799999999999898</v>
      </c>
      <c r="Z89" s="6">
        <f>ROUNDDOWN(('SPT-01'!$M105*'TABELA AUXILIAR'!$J$3+SUM('SPT-01'!$N$18:$N105))/2,0)*0.9</f>
        <v>23959.8</v>
      </c>
      <c r="AA89" s="6">
        <f>ROUNDDOWN(('SPT-01'!$M105*'TABELA AUXILIAR'!$J$4+SUM('SPT-01'!$O$18:$O105))/2,0)*0.9</f>
        <v>26102.7</v>
      </c>
      <c r="AB89" s="6">
        <f>ROUNDDOWN(('SPT-01'!$M105*'TABELA AUXILIAR'!$J$5+SUM('SPT-01'!$P$18:$P105))/2,0)*0.9</f>
        <v>30393</v>
      </c>
      <c r="AD89" s="8">
        <v>56.999999999999901</v>
      </c>
      <c r="AE89" s="6">
        <f>ROUNDDOWN(('SPT-01'!$M97*'TABELA AUXILIAR'!$J$3+SUM('SPT-01'!$N$10:$N97))/2,0)*0.9</f>
        <v>22192.2</v>
      </c>
      <c r="AF89" s="6">
        <f>ROUNDDOWN(('SPT-01'!$M97*'TABELA AUXILIAR'!$J$4+SUM('SPT-01'!$O$10:$O97))/2,0)*0.9</f>
        <v>24180.3</v>
      </c>
      <c r="AG89" s="6">
        <f>ROUNDDOWN(('SPT-01'!$M97*'TABELA AUXILIAR'!$J$5+SUM('SPT-01'!$P$10:$P97))/2,0)*0.9</f>
        <v>28163.7</v>
      </c>
    </row>
    <row r="90" spans="10:33" x14ac:dyDescent="0.25">
      <c r="J90" s="1">
        <v>73.799999999999898</v>
      </c>
      <c r="K90" s="6">
        <f>ROUNDDOWN(('SPT-01'!$M125*'TABELA AUXILIAR'!$J$3+SUM('SPT-01'!$N$37:$N125))/2,0)*0.9</f>
        <v>27191.7</v>
      </c>
      <c r="L90" s="6">
        <f>ROUNDDOWN(('SPT-01'!$M125*'TABELA AUXILIAR'!$J$4+SUM('SPT-01'!$O$37:$O125))/2,0)*0.9</f>
        <v>29619</v>
      </c>
      <c r="M90" s="6">
        <f>ROUNDDOWN(('SPT-01'!$M125*'TABELA AUXILIAR'!$J$5+SUM('SPT-01'!$P$37:$P125))/2,0)*0.9</f>
        <v>34478.1</v>
      </c>
      <c r="N90" s="2"/>
      <c r="O90" s="8">
        <v>71.999999999999901</v>
      </c>
      <c r="P90" s="6">
        <f>ROUNDDOWN(('SPT-01'!$M122*'TABELA AUXILIAR'!$J$3+SUM('SPT-01'!$N$34:$N122))/2,0)*0.9</f>
        <v>26892</v>
      </c>
      <c r="Q90" s="6">
        <f>ROUNDDOWN(('SPT-01'!$M122*'TABELA AUXILIAR'!$J$4+SUM('SPT-01'!$O$34:$O122))/2,0)*0.9</f>
        <v>29293.200000000001</v>
      </c>
      <c r="R90" s="6">
        <f>ROUNDDOWN(('SPT-01'!$M122*'TABELA AUXILIAR'!$J$5+SUM('SPT-01'!$P$34:$P122))/2,0)*0.9</f>
        <v>34097.4</v>
      </c>
      <c r="T90" s="8">
        <v>67.199999999999903</v>
      </c>
      <c r="U90" s="6">
        <f>ROUNDDOWN(('SPT-01'!$M114*'TABELA AUXILIAR'!$J$3+SUM('SPT-01'!$N$26:$N114))/2,0)*0.9</f>
        <v>25768.799999999999</v>
      </c>
      <c r="V90" s="6">
        <f>ROUNDDOWN(('SPT-01'!$M114*'TABELA AUXILIAR'!$J$4+SUM('SPT-01'!$O$26:$O114))/2,0)*0.9</f>
        <v>28070.100000000002</v>
      </c>
      <c r="W90" s="6">
        <f>ROUNDDOWN(('SPT-01'!$M114*'TABELA AUXILIAR'!$J$5+SUM('SPT-01'!$P$26:$P114))/2,0)*0.9</f>
        <v>32676.3</v>
      </c>
      <c r="Y90" s="8">
        <v>62.399999999999899</v>
      </c>
      <c r="Z90" s="6">
        <f>ROUNDDOWN(('SPT-01'!$M106*'TABELA AUXILIAR'!$J$3+SUM('SPT-01'!$N$18:$N106))/2,0)*0.9</f>
        <v>24280.2</v>
      </c>
      <c r="AA90" s="6">
        <f>ROUNDDOWN(('SPT-01'!$M106*'TABELA AUXILIAR'!$J$4+SUM('SPT-01'!$O$18:$O106))/2,0)*0.9</f>
        <v>26451</v>
      </c>
      <c r="AB90" s="6">
        <f>ROUNDDOWN(('SPT-01'!$M106*'TABELA AUXILIAR'!$J$5+SUM('SPT-01'!$P$18:$P106))/2,0)*0.9</f>
        <v>30796.2</v>
      </c>
      <c r="AD90" s="8">
        <v>57.599999999999902</v>
      </c>
      <c r="AE90" s="6">
        <f>ROUNDDOWN(('SPT-01'!$M98*'TABELA AUXILIAR'!$J$3+SUM('SPT-01'!$N$10:$N98))/2,0)*0.9</f>
        <v>22500</v>
      </c>
      <c r="AF90" s="6">
        <f>ROUNDDOWN(('SPT-01'!$M98*'TABELA AUXILIAR'!$J$4+SUM('SPT-01'!$O$10:$O98))/2,0)*0.9</f>
        <v>24514.2</v>
      </c>
      <c r="AG90" s="6">
        <f>ROUNDDOWN(('SPT-01'!$M98*'TABELA AUXILIAR'!$J$5+SUM('SPT-01'!$P$10:$P98))/2,0)*0.9</f>
        <v>28550.7</v>
      </c>
    </row>
    <row r="91" spans="10:33" x14ac:dyDescent="0.25">
      <c r="J91" s="1">
        <v>74.400000000000006</v>
      </c>
      <c r="K91" s="6">
        <f>ROUNDDOWN(('SPT-01'!$M126*'TABELA AUXILIAR'!$J$3+SUM('SPT-01'!$N$37:$N126))/2,0)*0.9</f>
        <v>27542.7</v>
      </c>
      <c r="L91" s="6">
        <f>ROUNDDOWN(('SPT-01'!$M126*'TABELA AUXILIAR'!$J$4+SUM('SPT-01'!$O$37:$O126))/2,0)*0.9</f>
        <v>30000.600000000002</v>
      </c>
      <c r="M91" s="6">
        <f>ROUNDDOWN(('SPT-01'!$M126*'TABELA AUXILIAR'!$J$5+SUM('SPT-01'!$P$37:$P126))/2,0)*0.9</f>
        <v>34919.1</v>
      </c>
      <c r="N91" s="2"/>
      <c r="O91" s="8">
        <v>72.599999999999895</v>
      </c>
      <c r="P91" s="6">
        <f>ROUNDDOWN(('SPT-01'!$M123*'TABELA AUXILIAR'!$J$3+SUM('SPT-01'!$N$34:$N123))/2,0)*0.9</f>
        <v>27238.5</v>
      </c>
      <c r="Q91" s="6">
        <f>ROUNDDOWN(('SPT-01'!$M123*'TABELA AUXILIAR'!$J$4+SUM('SPT-01'!$O$34:$O123))/2,0)*0.9</f>
        <v>29669.4</v>
      </c>
      <c r="R91" s="6">
        <f>ROUNDDOWN(('SPT-01'!$M123*'TABELA AUXILIAR'!$J$5+SUM('SPT-01'!$P$34:$P123))/2,0)*0.9</f>
        <v>34533.9</v>
      </c>
      <c r="T91" s="8">
        <v>67.799999999999898</v>
      </c>
      <c r="U91" s="6">
        <f>ROUNDDOWN(('SPT-01'!$M115*'TABELA AUXILIAR'!$J$3+SUM('SPT-01'!$N$26:$N115))/2,0)*0.9</f>
        <v>26103.600000000002</v>
      </c>
      <c r="V91" s="6">
        <f>ROUNDDOWN(('SPT-01'!$M115*'TABELA AUXILIAR'!$J$4+SUM('SPT-01'!$O$26:$O115))/2,0)*0.9</f>
        <v>28433.7</v>
      </c>
      <c r="W91" s="6">
        <f>ROUNDDOWN(('SPT-01'!$M115*'TABELA AUXILIAR'!$J$5+SUM('SPT-01'!$P$26:$P115))/2,0)*0.9</f>
        <v>33096.6</v>
      </c>
      <c r="Y91" s="8">
        <v>62.999999999999901</v>
      </c>
      <c r="Z91" s="6">
        <f>ROUNDDOWN(('SPT-01'!$M107*'TABELA AUXILIAR'!$J$3+SUM('SPT-01'!$N$18:$N107))/2,0)*0.9</f>
        <v>24602.400000000001</v>
      </c>
      <c r="AA91" s="6">
        <f>ROUNDDOWN(('SPT-01'!$M107*'TABELA AUXILIAR'!$J$4+SUM('SPT-01'!$O$18:$O107))/2,0)*0.9</f>
        <v>26801.100000000002</v>
      </c>
      <c r="AB91" s="6">
        <f>ROUNDDOWN(('SPT-01'!$M107*'TABELA AUXILIAR'!$J$5+SUM('SPT-01'!$P$18:$P107))/2,0)*0.9</f>
        <v>31202.100000000002</v>
      </c>
      <c r="AD91" s="8">
        <v>58.199999999999903</v>
      </c>
      <c r="AE91" s="6">
        <f>ROUNDDOWN(('SPT-01'!$M99*'TABELA AUXILIAR'!$J$3+SUM('SPT-01'!$N$10:$N99))/2,0)*0.9</f>
        <v>22809.600000000002</v>
      </c>
      <c r="AF91" s="6">
        <f>ROUNDDOWN(('SPT-01'!$M99*'TABELA AUXILIAR'!$J$4+SUM('SPT-01'!$O$10:$O99))/2,0)*0.9</f>
        <v>24850.799999999999</v>
      </c>
      <c r="AG91" s="6">
        <f>ROUNDDOWN(('SPT-01'!$M99*'TABELA AUXILIAR'!$J$5+SUM('SPT-01'!$P$10:$P99))/2,0)*0.9</f>
        <v>28940.400000000001</v>
      </c>
    </row>
    <row r="92" spans="10:33" x14ac:dyDescent="0.25">
      <c r="J92" s="1">
        <v>75</v>
      </c>
      <c r="K92" s="6">
        <f>ROUNDDOWN(('SPT-01'!$M127*'TABELA AUXILIAR'!$J$3+SUM('SPT-01'!$N$37:$N127))/2,0)*0.9</f>
        <v>27894.600000000002</v>
      </c>
      <c r="L92" s="6">
        <f>ROUNDDOWN(('SPT-01'!$M127*'TABELA AUXILIAR'!$J$4+SUM('SPT-01'!$O$37:$O127))/2,0)*0.9</f>
        <v>30383.100000000002</v>
      </c>
      <c r="M92" s="6">
        <f>ROUNDDOWN(('SPT-01'!$M127*'TABELA AUXILIAR'!$J$5+SUM('SPT-01'!$P$37:$P127))/2,0)*0.9</f>
        <v>35362.800000000003</v>
      </c>
      <c r="N92" s="2"/>
      <c r="O92" s="8">
        <v>73.199999999999903</v>
      </c>
      <c r="P92" s="6">
        <f>ROUNDDOWN(('SPT-01'!$M124*'TABELA AUXILIAR'!$J$3+SUM('SPT-01'!$N$34:$N124))/2,0)*0.9</f>
        <v>27586.799999999999</v>
      </c>
      <c r="Q92" s="6">
        <f>ROUNDDOWN(('SPT-01'!$M124*'TABELA AUXILIAR'!$J$4+SUM('SPT-01'!$O$34:$O124))/2,0)*0.9</f>
        <v>30047.4</v>
      </c>
      <c r="R92" s="6">
        <f>ROUNDDOWN(('SPT-01'!$M124*'TABELA AUXILIAR'!$J$5+SUM('SPT-01'!$P$34:$P124))/2,0)*0.9</f>
        <v>34971.300000000003</v>
      </c>
      <c r="T92" s="8">
        <v>68.399999999999906</v>
      </c>
      <c r="U92" s="6">
        <f>ROUNDDOWN(('SPT-01'!$M116*'TABELA AUXILIAR'!$J$3+SUM('SPT-01'!$N$26:$N116))/2,0)*0.9</f>
        <v>26439.3</v>
      </c>
      <c r="V92" s="6">
        <f>ROUNDDOWN(('SPT-01'!$M116*'TABELA AUXILIAR'!$J$4+SUM('SPT-01'!$O$26:$O116))/2,0)*0.9</f>
        <v>28798.2</v>
      </c>
      <c r="W92" s="6">
        <f>ROUNDDOWN(('SPT-01'!$M116*'TABELA AUXILIAR'!$J$5+SUM('SPT-01'!$P$26:$P116))/2,0)*0.9</f>
        <v>33519.599999999999</v>
      </c>
      <c r="Y92" s="8">
        <v>63.599999999999902</v>
      </c>
      <c r="Z92" s="6">
        <f>ROUNDDOWN(('SPT-01'!$M108*'TABELA AUXILIAR'!$J$3+SUM('SPT-01'!$N$18:$N108))/2,0)*0.9</f>
        <v>24925.5</v>
      </c>
      <c r="AA92" s="6">
        <f>ROUNDDOWN(('SPT-01'!$M108*'TABELA AUXILIAR'!$J$4+SUM('SPT-01'!$O$18:$O108))/2,0)*0.9</f>
        <v>27152.100000000002</v>
      </c>
      <c r="AB92" s="6">
        <f>ROUNDDOWN(('SPT-01'!$M108*'TABELA AUXILIAR'!$J$5+SUM('SPT-01'!$P$18:$P108))/2,0)*0.9</f>
        <v>31608.9</v>
      </c>
      <c r="AD92" s="8">
        <v>58.799999999999898</v>
      </c>
      <c r="AE92" s="6">
        <f>ROUNDDOWN(('SPT-01'!$M100*'TABELA AUXILIAR'!$J$3+SUM('SPT-01'!$N$10:$N100))/2,0)*0.9</f>
        <v>23120.100000000002</v>
      </c>
      <c r="AF92" s="6">
        <f>ROUNDDOWN(('SPT-01'!$M100*'TABELA AUXILIAR'!$J$4+SUM('SPT-01'!$O$10:$O100))/2,0)*0.9</f>
        <v>25188.3</v>
      </c>
      <c r="AG92" s="6">
        <f>ROUNDDOWN(('SPT-01'!$M100*'TABELA AUXILIAR'!$J$5+SUM('SPT-01'!$P$10:$P100))/2,0)*0.9</f>
        <v>29331</v>
      </c>
    </row>
    <row r="93" spans="10:33" x14ac:dyDescent="0.25">
      <c r="J93" s="1">
        <v>75.599999999999994</v>
      </c>
      <c r="K93" s="6">
        <f>ROUNDDOWN(('SPT-01'!$M128*'TABELA AUXILIAR'!$J$3+SUM('SPT-01'!$N$37:$N128))/2,0)*0.9</f>
        <v>28248.3</v>
      </c>
      <c r="L93" s="6">
        <f>ROUNDDOWN(('SPT-01'!$M128*'TABELA AUXILIAR'!$J$4+SUM('SPT-01'!$O$37:$O128))/2,0)*0.9</f>
        <v>30767.4</v>
      </c>
      <c r="M93" s="6">
        <f>ROUNDDOWN(('SPT-01'!$M128*'TABELA AUXILIAR'!$J$5+SUM('SPT-01'!$P$37:$P128))/2,0)*0.9</f>
        <v>35807.4</v>
      </c>
      <c r="N93" s="2"/>
      <c r="O93" s="8">
        <v>73.799999999999898</v>
      </c>
      <c r="P93" s="6">
        <f>ROUNDDOWN(('SPT-01'!$M125*'TABELA AUXILIAR'!$J$3+SUM('SPT-01'!$N$34:$N125))/2,0)*0.9</f>
        <v>27936</v>
      </c>
      <c r="Q93" s="6">
        <f>ROUNDDOWN(('SPT-01'!$M125*'TABELA AUXILIAR'!$J$4+SUM('SPT-01'!$O$34:$O125))/2,0)*0.9</f>
        <v>30426.3</v>
      </c>
      <c r="R93" s="6">
        <f>ROUNDDOWN(('SPT-01'!$M125*'TABELA AUXILIAR'!$J$5+SUM('SPT-01'!$P$34:$P125))/2,0)*0.9</f>
        <v>35410.5</v>
      </c>
      <c r="T93" s="8">
        <v>68.999999999999901</v>
      </c>
      <c r="U93" s="6">
        <f>ROUNDDOWN(('SPT-01'!$M117*'TABELA AUXILIAR'!$J$3+SUM('SPT-01'!$N$26:$N117))/2,0)*0.9</f>
        <v>26776.799999999999</v>
      </c>
      <c r="V93" s="6">
        <f>ROUNDDOWN(('SPT-01'!$M117*'TABELA AUXILIAR'!$J$4+SUM('SPT-01'!$O$26:$O117))/2,0)*0.9</f>
        <v>29164.5</v>
      </c>
      <c r="W93" s="6">
        <f>ROUNDDOWN(('SPT-01'!$M117*'TABELA AUXILIAR'!$J$5+SUM('SPT-01'!$P$26:$P117))/2,0)*0.9</f>
        <v>33943.5</v>
      </c>
      <c r="Y93" s="8">
        <v>64.199999999999903</v>
      </c>
      <c r="Z93" s="6">
        <f>ROUNDDOWN(('SPT-01'!$M109*'TABELA AUXILIAR'!$J$3+SUM('SPT-01'!$N$18:$N109))/2,0)*0.9</f>
        <v>25251.3</v>
      </c>
      <c r="AA93" s="6">
        <f>ROUNDDOWN(('SPT-01'!$M109*'TABELA AUXILIAR'!$J$4+SUM('SPT-01'!$O$18:$O109))/2,0)*0.9</f>
        <v>27505.8</v>
      </c>
      <c r="AB93" s="6">
        <f>ROUNDDOWN(('SPT-01'!$M109*'TABELA AUXILIAR'!$J$5+SUM('SPT-01'!$P$18:$P109))/2,0)*0.9</f>
        <v>32017.5</v>
      </c>
      <c r="AD93" s="8">
        <v>59.399999999999899</v>
      </c>
      <c r="AE93" s="6">
        <f>ROUNDDOWN(('SPT-01'!$M101*'TABELA AUXILIAR'!$J$3+SUM('SPT-01'!$N$10:$N101))/2,0)*0.9</f>
        <v>23432.400000000001</v>
      </c>
      <c r="AF93" s="6">
        <f>ROUNDDOWN(('SPT-01'!$M101*'TABELA AUXILIAR'!$J$4+SUM('SPT-01'!$O$10:$O101))/2,0)*0.9</f>
        <v>25527.600000000002</v>
      </c>
      <c r="AG93" s="6">
        <f>ROUNDDOWN(('SPT-01'!$M101*'TABELA AUXILIAR'!$J$5+SUM('SPT-01'!$P$10:$P101))/2,0)*0.9</f>
        <v>29724.3</v>
      </c>
    </row>
    <row r="94" spans="10:33" x14ac:dyDescent="0.25">
      <c r="J94" s="1">
        <v>76.2</v>
      </c>
      <c r="K94" s="6">
        <f>ROUNDDOWN(('SPT-01'!$M129*'TABELA AUXILIAR'!$J$3+SUM('SPT-01'!$N$37:$N129))/2,0)*0.9</f>
        <v>28603.8</v>
      </c>
      <c r="L94" s="6">
        <f>ROUNDDOWN(('SPT-01'!$M129*'TABELA AUXILIAR'!$J$4+SUM('SPT-01'!$O$37:$O129))/2,0)*0.9</f>
        <v>31153.5</v>
      </c>
      <c r="M94" s="6">
        <f>ROUNDDOWN(('SPT-01'!$M129*'TABELA AUXILIAR'!$J$5+SUM('SPT-01'!$P$37:$P129))/2,0)*0.9</f>
        <v>36254.700000000004</v>
      </c>
      <c r="N94" s="2"/>
      <c r="O94" s="8">
        <v>74.400000000000006</v>
      </c>
      <c r="P94" s="6">
        <f>ROUNDDOWN(('SPT-01'!$M126*'TABELA AUXILIAR'!$J$3+SUM('SPT-01'!$N$34:$N126))/2,0)*0.9</f>
        <v>28287</v>
      </c>
      <c r="Q94" s="6">
        <f>ROUNDDOWN(('SPT-01'!$M126*'TABELA AUXILIAR'!$J$4+SUM('SPT-01'!$O$34:$O126))/2,0)*0.9</f>
        <v>30807.9</v>
      </c>
      <c r="R94" s="6">
        <f>ROUNDDOWN(('SPT-01'!$M126*'TABELA AUXILIAR'!$J$5+SUM('SPT-01'!$P$34:$P126))/2,0)*0.9</f>
        <v>35851.5</v>
      </c>
      <c r="T94" s="8">
        <v>69.599999999999895</v>
      </c>
      <c r="U94" s="6">
        <f>ROUNDDOWN(('SPT-01'!$M118*'TABELA AUXILIAR'!$J$3+SUM('SPT-01'!$N$26:$N118))/2,0)*0.9</f>
        <v>27115.200000000001</v>
      </c>
      <c r="V94" s="6">
        <f>ROUNDDOWN(('SPT-01'!$M118*'TABELA AUXILIAR'!$J$4+SUM('SPT-01'!$O$26:$O118))/2,0)*0.9</f>
        <v>29532.600000000002</v>
      </c>
      <c r="W94" s="6">
        <f>ROUNDDOWN(('SPT-01'!$M118*'TABELA AUXILIAR'!$J$5+SUM('SPT-01'!$P$26:$P118))/2,0)*0.9</f>
        <v>34370.1</v>
      </c>
      <c r="Y94" s="8">
        <v>64.799999999999898</v>
      </c>
      <c r="Z94" s="6">
        <f>ROUNDDOWN(('SPT-01'!$M110*'TABELA AUXILIAR'!$J$3+SUM('SPT-01'!$N$18:$N110))/2,0)*0.9</f>
        <v>25577.100000000002</v>
      </c>
      <c r="AA94" s="6">
        <f>ROUNDDOWN(('SPT-01'!$M110*'TABELA AUXILIAR'!$J$4+SUM('SPT-01'!$O$18:$O110))/2,0)*0.9</f>
        <v>27860.400000000001</v>
      </c>
      <c r="AB94" s="6">
        <f>ROUNDDOWN(('SPT-01'!$M110*'TABELA AUXILIAR'!$J$5+SUM('SPT-01'!$P$18:$P110))/2,0)*0.9</f>
        <v>32428.799999999999</v>
      </c>
      <c r="AD94" s="8">
        <v>59.999999999999901</v>
      </c>
      <c r="AE94" s="6">
        <f>ROUNDDOWN(('SPT-01'!$M102*'TABELA AUXILIAR'!$J$3+SUM('SPT-01'!$N$10:$N102))/2,0)*0.9</f>
        <v>23746.5</v>
      </c>
      <c r="AF94" s="6">
        <f>ROUNDDOWN(('SPT-01'!$M102*'TABELA AUXILIAR'!$J$4+SUM('SPT-01'!$O$10:$O102))/2,0)*0.9</f>
        <v>25869.600000000002</v>
      </c>
      <c r="AG94" s="6">
        <f>ROUNDDOWN(('SPT-01'!$M102*'TABELA AUXILIAR'!$J$5+SUM('SPT-01'!$P$10:$P102))/2,0)*0.9</f>
        <v>30120.3</v>
      </c>
    </row>
    <row r="95" spans="10:33" x14ac:dyDescent="0.25">
      <c r="J95" s="1">
        <v>76.8</v>
      </c>
      <c r="K95" s="6">
        <f>ROUNDDOWN(('SPT-01'!$M130*'TABELA AUXILIAR'!$J$3+SUM('SPT-01'!$N$37:$N130))/2,0)*0.9</f>
        <v>28960.2</v>
      </c>
      <c r="L95" s="6">
        <f>ROUNDDOWN(('SPT-01'!$M130*'TABELA AUXILIAR'!$J$4+SUM('SPT-01'!$O$37:$O130))/2,0)*0.9</f>
        <v>31541.4</v>
      </c>
      <c r="M95" s="6">
        <f>ROUNDDOWN(('SPT-01'!$M130*'TABELA AUXILIAR'!$J$5+SUM('SPT-01'!$P$37:$P130))/2,0)*0.9</f>
        <v>36702.9</v>
      </c>
      <c r="N95" s="2"/>
      <c r="O95" s="8">
        <v>75</v>
      </c>
      <c r="P95" s="6">
        <f>ROUNDDOWN(('SPT-01'!$M127*'TABELA AUXILIAR'!$J$3+SUM('SPT-01'!$N$34:$N127))/2,0)*0.9</f>
        <v>28638.9</v>
      </c>
      <c r="Q95" s="6">
        <f>ROUNDDOWN(('SPT-01'!$M127*'TABELA AUXILIAR'!$J$4+SUM('SPT-01'!$O$34:$O127))/2,0)*0.9</f>
        <v>31190.400000000001</v>
      </c>
      <c r="R95" s="6">
        <f>ROUNDDOWN(('SPT-01'!$M127*'TABELA AUXILIAR'!$J$5+SUM('SPT-01'!$P$34:$P127))/2,0)*0.9</f>
        <v>36295.200000000004</v>
      </c>
      <c r="T95" s="8">
        <v>70.199999999999903</v>
      </c>
      <c r="U95" s="6">
        <f>ROUNDDOWN(('SPT-01'!$M119*'TABELA AUXILIAR'!$J$3+SUM('SPT-01'!$N$26:$N119))/2,0)*0.9</f>
        <v>27455.4</v>
      </c>
      <c r="V95" s="6">
        <f>ROUNDDOWN(('SPT-01'!$M119*'TABELA AUXILIAR'!$J$4+SUM('SPT-01'!$O$26:$O119))/2,0)*0.9</f>
        <v>29902.5</v>
      </c>
      <c r="W95" s="6">
        <f>ROUNDDOWN(('SPT-01'!$M119*'TABELA AUXILIAR'!$J$5+SUM('SPT-01'!$P$26:$P119))/2,0)*0.9</f>
        <v>34797.599999999999</v>
      </c>
      <c r="Y95" s="8">
        <v>65.399999999999906</v>
      </c>
      <c r="Z95" s="6">
        <f>ROUNDDOWN(('SPT-01'!$M111*'TABELA AUXILIAR'!$J$3+SUM('SPT-01'!$N$18:$N111))/2,0)*0.9</f>
        <v>25905.600000000002</v>
      </c>
      <c r="AA95" s="6">
        <f>ROUNDDOWN(('SPT-01'!$M111*'TABELA AUXILIAR'!$J$4+SUM('SPT-01'!$O$18:$O111))/2,0)*0.9</f>
        <v>28216.799999999999</v>
      </c>
      <c r="AB95" s="6">
        <f>ROUNDDOWN(('SPT-01'!$M111*'TABELA AUXILIAR'!$J$5+SUM('SPT-01'!$P$18:$P111))/2,0)*0.9</f>
        <v>32841.9</v>
      </c>
      <c r="AD95" s="8">
        <v>60.599999999999902</v>
      </c>
      <c r="AE95" s="6">
        <f>ROUNDDOWN(('SPT-01'!$M103*'TABELA AUXILIAR'!$J$3+SUM('SPT-01'!$N$10:$N103))/2,0)*0.9</f>
        <v>24062.400000000001</v>
      </c>
      <c r="AF95" s="6">
        <f>ROUNDDOWN(('SPT-01'!$M103*'TABELA AUXILIAR'!$J$4+SUM('SPT-01'!$O$10:$O103))/2,0)*0.9</f>
        <v>26212.5</v>
      </c>
      <c r="AG95" s="6">
        <f>ROUNDDOWN(('SPT-01'!$M103*'TABELA AUXILIAR'!$J$5+SUM('SPT-01'!$P$10:$P103))/2,0)*0.9</f>
        <v>30517.200000000001</v>
      </c>
    </row>
    <row r="96" spans="10:33" x14ac:dyDescent="0.25">
      <c r="J96" s="1">
        <v>77.400000000000006</v>
      </c>
      <c r="K96" s="6">
        <f>ROUNDDOWN(('SPT-01'!$M131*'TABELA AUXILIAR'!$J$3+SUM('SPT-01'!$N$37:$N131))/2,0)*0.9</f>
        <v>29318.400000000001</v>
      </c>
      <c r="L96" s="6">
        <f>ROUNDDOWN(('SPT-01'!$M131*'TABELA AUXILIAR'!$J$4+SUM('SPT-01'!$O$37:$O131))/2,0)*0.9</f>
        <v>31930.2</v>
      </c>
      <c r="M96" s="6">
        <f>ROUNDDOWN(('SPT-01'!$M131*'TABELA AUXILIAR'!$J$5+SUM('SPT-01'!$P$37:$P131))/2,0)*0.9</f>
        <v>37152.9</v>
      </c>
      <c r="N96" s="2"/>
      <c r="O96" s="8">
        <v>75.599999999999994</v>
      </c>
      <c r="P96" s="6">
        <f>ROUNDDOWN(('SPT-01'!$M128*'TABELA AUXILIAR'!$J$3+SUM('SPT-01'!$N$34:$N128))/2,0)*0.9</f>
        <v>28992.600000000002</v>
      </c>
      <c r="Q96" s="6">
        <f>ROUNDDOWN(('SPT-01'!$M128*'TABELA AUXILIAR'!$J$4+SUM('SPT-01'!$O$34:$O128))/2,0)*0.9</f>
        <v>31574.7</v>
      </c>
      <c r="R96" s="6">
        <f>ROUNDDOWN(('SPT-01'!$M128*'TABELA AUXILIAR'!$J$5+SUM('SPT-01'!$P$34:$P128))/2,0)*0.9</f>
        <v>36739.800000000003</v>
      </c>
      <c r="T96" s="8">
        <v>70.799999999999898</v>
      </c>
      <c r="U96" s="6">
        <f>ROUNDDOWN(('SPT-01'!$M120*'TABELA AUXILIAR'!$J$3+SUM('SPT-01'!$N$26:$N120))/2,0)*0.9</f>
        <v>27797.4</v>
      </c>
      <c r="V96" s="6">
        <f>ROUNDDOWN(('SPT-01'!$M120*'TABELA AUXILIAR'!$J$4+SUM('SPT-01'!$O$26:$O120))/2,0)*0.9</f>
        <v>30274.2</v>
      </c>
      <c r="W96" s="6">
        <f>ROUNDDOWN(('SPT-01'!$M120*'TABELA AUXILIAR'!$J$5+SUM('SPT-01'!$P$26:$P120))/2,0)*0.9</f>
        <v>35227.800000000003</v>
      </c>
      <c r="Y96" s="8">
        <v>65.999999999999901</v>
      </c>
      <c r="Z96" s="6">
        <f>ROUNDDOWN(('SPT-01'!$M112*'TABELA AUXILIAR'!$J$3+SUM('SPT-01'!$N$18:$N112))/2,0)*0.9</f>
        <v>26235</v>
      </c>
      <c r="AA96" s="6">
        <f>ROUNDDOWN(('SPT-01'!$M112*'TABELA AUXILIAR'!$J$4+SUM('SPT-01'!$O$18:$O112))/2,0)*0.9</f>
        <v>28575</v>
      </c>
      <c r="AB96" s="6">
        <f>ROUNDDOWN(('SPT-01'!$M112*'TABELA AUXILIAR'!$J$5+SUM('SPT-01'!$P$18:$P112))/2,0)*0.9</f>
        <v>33256.800000000003</v>
      </c>
      <c r="AD96" s="8">
        <v>61.199999999999903</v>
      </c>
      <c r="AE96" s="6">
        <f>ROUNDDOWN(('SPT-01'!$M104*'TABELA AUXILIAR'!$J$3+SUM('SPT-01'!$N$10:$N104))/2,0)*0.9</f>
        <v>24379.200000000001</v>
      </c>
      <c r="AF96" s="6">
        <f>ROUNDDOWN(('SPT-01'!$M104*'TABELA AUXILIAR'!$J$4+SUM('SPT-01'!$O$10:$O104))/2,0)*0.9</f>
        <v>26557.200000000001</v>
      </c>
      <c r="AG96" s="6">
        <f>ROUNDDOWN(('SPT-01'!$M104*'TABELA AUXILIAR'!$J$5+SUM('SPT-01'!$P$10:$P104))/2,0)*0.9</f>
        <v>30916.799999999999</v>
      </c>
    </row>
    <row r="97" spans="10:33" x14ac:dyDescent="0.25">
      <c r="J97" s="1">
        <v>78</v>
      </c>
      <c r="K97" s="6">
        <f>ROUNDDOWN(('SPT-01'!$M132*'TABELA AUXILIAR'!$J$3+SUM('SPT-01'!$N$37:$N132))/2,0)*0.9</f>
        <v>29678.400000000001</v>
      </c>
      <c r="L97" s="6">
        <f>ROUNDDOWN(('SPT-01'!$M132*'TABELA AUXILIAR'!$J$4+SUM('SPT-01'!$O$37:$O132))/2,0)*0.9</f>
        <v>32320.799999999999</v>
      </c>
      <c r="M97" s="6">
        <f>ROUNDDOWN(('SPT-01'!$M132*'TABELA AUXILIAR'!$J$5+SUM('SPT-01'!$P$37:$P132))/2,0)*0.9</f>
        <v>37605.599999999999</v>
      </c>
      <c r="N97" s="2"/>
      <c r="O97" s="8">
        <v>76.2</v>
      </c>
      <c r="P97" s="6">
        <f>ROUNDDOWN(('SPT-01'!$M129*'TABELA AUXILIAR'!$J$3+SUM('SPT-01'!$N$34:$N129))/2,0)*0.9</f>
        <v>29348.100000000002</v>
      </c>
      <c r="Q97" s="6">
        <f>ROUNDDOWN(('SPT-01'!$M129*'TABELA AUXILIAR'!$J$4+SUM('SPT-01'!$O$34:$O129))/2,0)*0.9</f>
        <v>31960.799999999999</v>
      </c>
      <c r="R97" s="6">
        <f>ROUNDDOWN(('SPT-01'!$M129*'TABELA AUXILIAR'!$J$5+SUM('SPT-01'!$P$34:$P129))/2,0)*0.9</f>
        <v>37186.200000000004</v>
      </c>
      <c r="T97" s="8">
        <v>71.399999999999906</v>
      </c>
      <c r="U97" s="6">
        <f>ROUNDDOWN(('SPT-01'!$M121*'TABELA AUXILIAR'!$J$3+SUM('SPT-01'!$N$26:$N121))/2,0)*0.9</f>
        <v>28141.200000000001</v>
      </c>
      <c r="V97" s="6">
        <f>ROUNDDOWN(('SPT-01'!$M121*'TABELA AUXILIAR'!$J$4+SUM('SPT-01'!$O$26:$O121))/2,0)*0.9</f>
        <v>30646.799999999999</v>
      </c>
      <c r="W97" s="6">
        <f>ROUNDDOWN(('SPT-01'!$M121*'TABELA AUXILIAR'!$J$5+SUM('SPT-01'!$P$26:$P121))/2,0)*0.9</f>
        <v>35659.800000000003</v>
      </c>
      <c r="Y97" s="8">
        <v>66.599999999999895</v>
      </c>
      <c r="Z97" s="6">
        <f>ROUNDDOWN(('SPT-01'!$M113*'TABELA AUXILIAR'!$J$3+SUM('SPT-01'!$N$18:$N113))/2,0)*0.9</f>
        <v>26566.2</v>
      </c>
      <c r="AA97" s="6">
        <f>ROUNDDOWN(('SPT-01'!$M113*'TABELA AUXILIAR'!$J$4+SUM('SPT-01'!$O$18:$O113))/2,0)*0.9</f>
        <v>28935</v>
      </c>
      <c r="AB97" s="6">
        <f>ROUNDDOWN(('SPT-01'!$M113*'TABELA AUXILIAR'!$J$5+SUM('SPT-01'!$P$18:$P113))/2,0)*0.9</f>
        <v>33673.5</v>
      </c>
      <c r="AD97" s="8">
        <v>61.799999999999898</v>
      </c>
      <c r="AE97" s="6">
        <f>ROUNDDOWN(('SPT-01'!$M105*'TABELA AUXILIAR'!$J$3+SUM('SPT-01'!$N$10:$N105))/2,0)*0.9</f>
        <v>24697.8</v>
      </c>
      <c r="AF97" s="6">
        <f>ROUNDDOWN(('SPT-01'!$M105*'TABELA AUXILIAR'!$J$4+SUM('SPT-01'!$O$10:$O105))/2,0)*0.9</f>
        <v>26903.7</v>
      </c>
      <c r="AG97" s="6">
        <f>ROUNDDOWN(('SPT-01'!$M105*'TABELA AUXILIAR'!$J$5+SUM('SPT-01'!$P$10:$P105))/2,0)*0.9</f>
        <v>31317.3</v>
      </c>
    </row>
    <row r="98" spans="10:33" x14ac:dyDescent="0.25">
      <c r="J98" s="1">
        <v>78.599999999999994</v>
      </c>
      <c r="K98" s="6">
        <f>ROUNDDOWN(('SPT-01'!$M133*'TABELA AUXILIAR'!$J$3+SUM('SPT-01'!$N$37:$N133))/2,0)*0.9</f>
        <v>30039.3</v>
      </c>
      <c r="L98" s="6">
        <f>ROUNDDOWN(('SPT-01'!$M133*'TABELA AUXILIAR'!$J$4+SUM('SPT-01'!$O$37:$O133))/2,0)*0.9</f>
        <v>32713.200000000001</v>
      </c>
      <c r="M98" s="6">
        <f>ROUNDDOWN(('SPT-01'!$M133*'TABELA AUXILIAR'!$J$5+SUM('SPT-01'!$P$37:$P133))/2,0)*0.9</f>
        <v>38059.200000000004</v>
      </c>
      <c r="N98" s="2"/>
      <c r="O98" s="8">
        <v>76.8</v>
      </c>
      <c r="P98" s="6">
        <f>ROUNDDOWN(('SPT-01'!$M130*'TABELA AUXILIAR'!$J$3+SUM('SPT-01'!$N$34:$N130))/2,0)*0.9</f>
        <v>29704.5</v>
      </c>
      <c r="Q98" s="6">
        <f>ROUNDDOWN(('SPT-01'!$M130*'TABELA AUXILIAR'!$J$4+SUM('SPT-01'!$O$34:$O130))/2,0)*0.9</f>
        <v>32348.7</v>
      </c>
      <c r="R98" s="6">
        <f>ROUNDDOWN(('SPT-01'!$M130*'TABELA AUXILIAR'!$J$5+SUM('SPT-01'!$P$34:$P130))/2,0)*0.9</f>
        <v>37635.300000000003</v>
      </c>
      <c r="T98" s="8">
        <v>71.999999999999901</v>
      </c>
      <c r="U98" s="6">
        <f>ROUNDDOWN(('SPT-01'!$M122*'TABELA AUXILIAR'!$J$3+SUM('SPT-01'!$N$26:$N122))/2,0)*0.9</f>
        <v>28485.9</v>
      </c>
      <c r="V98" s="6">
        <f>ROUNDDOWN(('SPT-01'!$M122*'TABELA AUXILIAR'!$J$4+SUM('SPT-01'!$O$26:$O122))/2,0)*0.9</f>
        <v>31022.100000000002</v>
      </c>
      <c r="W98" s="6">
        <f>ROUNDDOWN(('SPT-01'!$M122*'TABELA AUXILIAR'!$J$5+SUM('SPT-01'!$P$26:$P122))/2,0)*0.9</f>
        <v>36093.599999999999</v>
      </c>
      <c r="Y98" s="8">
        <v>67.199999999999903</v>
      </c>
      <c r="Z98" s="6">
        <f>ROUNDDOWN(('SPT-01'!$M114*'TABELA AUXILIAR'!$J$3+SUM('SPT-01'!$N$18:$N114))/2,0)*0.9</f>
        <v>26899.200000000001</v>
      </c>
      <c r="AA98" s="6">
        <f>ROUNDDOWN(('SPT-01'!$M114*'TABELA AUXILIAR'!$J$4+SUM('SPT-01'!$O$18:$O114))/2,0)*0.9</f>
        <v>29296.799999999999</v>
      </c>
      <c r="AB98" s="6">
        <f>ROUNDDOWN(('SPT-01'!$M114*'TABELA AUXILIAR'!$J$5+SUM('SPT-01'!$P$18:$P114))/2,0)*0.9</f>
        <v>34092</v>
      </c>
      <c r="AD98" s="8">
        <v>62.399999999999899</v>
      </c>
      <c r="AE98" s="6">
        <f>ROUNDDOWN(('SPT-01'!$M106*'TABELA AUXILIAR'!$J$3+SUM('SPT-01'!$N$10:$N106))/2,0)*0.9</f>
        <v>25018.2</v>
      </c>
      <c r="AF98" s="6">
        <f>ROUNDDOWN(('SPT-01'!$M106*'TABELA AUXILIAR'!$J$4+SUM('SPT-01'!$O$10:$O106))/2,0)*0.9</f>
        <v>27251.100000000002</v>
      </c>
      <c r="AG98" s="6">
        <f>ROUNDDOWN(('SPT-01'!$M106*'TABELA AUXILIAR'!$J$5+SUM('SPT-01'!$P$10:$P106))/2,0)*0.9</f>
        <v>31720.5</v>
      </c>
    </row>
    <row r="99" spans="10:33" x14ac:dyDescent="0.25">
      <c r="J99" s="1">
        <v>79.2</v>
      </c>
      <c r="K99" s="6">
        <f>ROUNDDOWN(('SPT-01'!$M134*'TABELA AUXILIAR'!$J$3+SUM('SPT-01'!$N$37:$N134))/2,0)*0.9</f>
        <v>30402</v>
      </c>
      <c r="L99" s="6">
        <f>ROUNDDOWN(('SPT-01'!$M134*'TABELA AUXILIAR'!$J$4+SUM('SPT-01'!$O$37:$O134))/2,0)*0.9</f>
        <v>33107.4</v>
      </c>
      <c r="M99" s="6">
        <f>ROUNDDOWN(('SPT-01'!$M134*'TABELA AUXILIAR'!$J$5+SUM('SPT-01'!$P$37:$P134))/2,0)*0.9</f>
        <v>38515.5</v>
      </c>
      <c r="N99" s="2"/>
      <c r="O99" s="8">
        <v>77.400000000000006</v>
      </c>
      <c r="P99" s="6">
        <f>ROUNDDOWN(('SPT-01'!$M131*'TABELA AUXILIAR'!$J$3+SUM('SPT-01'!$N$34:$N131))/2,0)*0.9</f>
        <v>30062.7</v>
      </c>
      <c r="Q99" s="6">
        <f>ROUNDDOWN(('SPT-01'!$M131*'TABELA AUXILIAR'!$J$4+SUM('SPT-01'!$O$34:$O131))/2,0)*0.9</f>
        <v>32737.5</v>
      </c>
      <c r="R99" s="6">
        <f>ROUNDDOWN(('SPT-01'!$M131*'TABELA AUXILIAR'!$J$5+SUM('SPT-01'!$P$34:$P131))/2,0)*0.9</f>
        <v>38085.300000000003</v>
      </c>
      <c r="T99" s="8">
        <v>72.599999999999895</v>
      </c>
      <c r="U99" s="6">
        <f>ROUNDDOWN(('SPT-01'!$M123*'TABELA AUXILIAR'!$J$3+SUM('SPT-01'!$N$26:$N123))/2,0)*0.9</f>
        <v>28832.400000000001</v>
      </c>
      <c r="V99" s="6">
        <f>ROUNDDOWN(('SPT-01'!$M123*'TABELA AUXILIAR'!$J$4+SUM('SPT-01'!$O$26:$O123))/2,0)*0.9</f>
        <v>31398.3</v>
      </c>
      <c r="W99" s="6">
        <f>ROUNDDOWN(('SPT-01'!$M123*'TABELA AUXILIAR'!$J$5+SUM('SPT-01'!$P$26:$P123))/2,0)*0.9</f>
        <v>36529.200000000004</v>
      </c>
      <c r="Y99" s="8">
        <v>67.799999999999898</v>
      </c>
      <c r="Z99" s="6">
        <f>ROUNDDOWN(('SPT-01'!$M115*'TABELA AUXILIAR'!$J$3+SUM('SPT-01'!$N$18:$N115))/2,0)*0.9</f>
        <v>27234</v>
      </c>
      <c r="AA99" s="6">
        <f>ROUNDDOWN(('SPT-01'!$M115*'TABELA AUXILIAR'!$J$4+SUM('SPT-01'!$O$18:$O115))/2,0)*0.9</f>
        <v>29659.5</v>
      </c>
      <c r="AB99" s="6">
        <f>ROUNDDOWN(('SPT-01'!$M115*'TABELA AUXILIAR'!$J$5+SUM('SPT-01'!$P$18:$P115))/2,0)*0.9</f>
        <v>34512.300000000003</v>
      </c>
      <c r="AD99" s="8">
        <v>62.999999999999901</v>
      </c>
      <c r="AE99" s="6">
        <f>ROUNDDOWN(('SPT-01'!$M107*'TABELA AUXILIAR'!$J$3+SUM('SPT-01'!$N$10:$N107))/2,0)*0.9</f>
        <v>25340.400000000001</v>
      </c>
      <c r="AF99" s="6">
        <f>ROUNDDOWN(('SPT-01'!$M107*'TABELA AUXILIAR'!$J$4+SUM('SPT-01'!$O$10:$O107))/2,0)*0.9</f>
        <v>27601.200000000001</v>
      </c>
      <c r="AG99" s="6">
        <f>ROUNDDOWN(('SPT-01'!$M107*'TABELA AUXILIAR'!$J$5+SUM('SPT-01'!$P$10:$P107))/2,0)*0.9</f>
        <v>32126.400000000001</v>
      </c>
    </row>
    <row r="100" spans="10:33" x14ac:dyDescent="0.25">
      <c r="J100" s="1">
        <v>79.8</v>
      </c>
      <c r="K100" s="6">
        <f>ROUNDDOWN(('SPT-01'!$M135*'TABELA AUXILIAR'!$J$3+SUM('SPT-01'!$N$37:$N135))/2,0)*0.9</f>
        <v>30765.600000000002</v>
      </c>
      <c r="L100" s="6">
        <f>ROUNDDOWN(('SPT-01'!$M135*'TABELA AUXILIAR'!$J$4+SUM('SPT-01'!$O$37:$O135))/2,0)*0.9</f>
        <v>33502.5</v>
      </c>
      <c r="M100" s="6">
        <f>ROUNDDOWN(('SPT-01'!$M135*'TABELA AUXILIAR'!$J$5+SUM('SPT-01'!$P$37:$P135))/2,0)*0.9</f>
        <v>38973.599999999999</v>
      </c>
      <c r="N100" s="2"/>
      <c r="O100" s="8">
        <v>78</v>
      </c>
      <c r="P100" s="6">
        <f>ROUNDDOWN(('SPT-01'!$M132*'TABELA AUXILIAR'!$J$3+SUM('SPT-01'!$N$34:$N132))/2,0)*0.9</f>
        <v>30422.7</v>
      </c>
      <c r="Q100" s="6">
        <f>ROUNDDOWN(('SPT-01'!$M132*'TABELA AUXILIAR'!$J$4+SUM('SPT-01'!$O$34:$O132))/2,0)*0.9</f>
        <v>33128.1</v>
      </c>
      <c r="R100" s="6">
        <f>ROUNDDOWN(('SPT-01'!$M132*'TABELA AUXILIAR'!$J$5+SUM('SPT-01'!$P$34:$P132))/2,0)*0.9</f>
        <v>38538</v>
      </c>
      <c r="T100" s="8">
        <v>73.199999999999903</v>
      </c>
      <c r="U100" s="6">
        <f>ROUNDDOWN(('SPT-01'!$M124*'TABELA AUXILIAR'!$J$3+SUM('SPT-01'!$N$26:$N124))/2,0)*0.9</f>
        <v>29179.8</v>
      </c>
      <c r="V100" s="6">
        <f>ROUNDDOWN(('SPT-01'!$M124*'TABELA AUXILIAR'!$J$4+SUM('SPT-01'!$O$26:$O124))/2,0)*0.9</f>
        <v>31776.3</v>
      </c>
      <c r="W100" s="6">
        <f>ROUNDDOWN(('SPT-01'!$M124*'TABELA AUXILIAR'!$J$5+SUM('SPT-01'!$P$26:$P124))/2,0)*0.9</f>
        <v>36966.6</v>
      </c>
      <c r="Y100" s="8">
        <v>68.399999999999906</v>
      </c>
      <c r="Z100" s="6">
        <f>ROUNDDOWN(('SPT-01'!$M116*'TABELA AUXILIAR'!$J$3+SUM('SPT-01'!$N$18:$N116))/2,0)*0.9</f>
        <v>27569.7</v>
      </c>
      <c r="AA100" s="6">
        <f>ROUNDDOWN(('SPT-01'!$M116*'TABELA AUXILIAR'!$J$4+SUM('SPT-01'!$O$18:$O116))/2,0)*0.9</f>
        <v>30024.9</v>
      </c>
      <c r="AB100" s="6">
        <f>ROUNDDOWN(('SPT-01'!$M116*'TABELA AUXILIAR'!$J$5+SUM('SPT-01'!$P$18:$P116))/2,0)*0.9</f>
        <v>34935.300000000003</v>
      </c>
      <c r="AD100" s="8">
        <v>63.599999999999902</v>
      </c>
      <c r="AE100" s="6">
        <f>ROUNDDOWN(('SPT-01'!$M108*'TABELA AUXILIAR'!$J$3+SUM('SPT-01'!$N$10:$N108))/2,0)*0.9</f>
        <v>25663.5</v>
      </c>
      <c r="AF100" s="6">
        <f>ROUNDDOWN(('SPT-01'!$M108*'TABELA AUXILIAR'!$J$4+SUM('SPT-01'!$O$10:$O108))/2,0)*0.9</f>
        <v>27953.100000000002</v>
      </c>
      <c r="AG100" s="6">
        <f>ROUNDDOWN(('SPT-01'!$M108*'TABELA AUXILIAR'!$J$5+SUM('SPT-01'!$P$10:$P108))/2,0)*0.9</f>
        <v>32533.200000000001</v>
      </c>
    </row>
    <row r="101" spans="10:33" x14ac:dyDescent="0.25">
      <c r="J101" s="1">
        <v>80.400000000000006</v>
      </c>
      <c r="K101" s="6">
        <f>ROUNDDOWN(('SPT-01'!$M136*'TABELA AUXILIAR'!$J$3+SUM('SPT-01'!$N$37:$N136))/2,0)*0.9</f>
        <v>31131</v>
      </c>
      <c r="L101" s="6">
        <f>ROUNDDOWN(('SPT-01'!$M136*'TABELA AUXILIAR'!$J$4+SUM('SPT-01'!$O$37:$O136))/2,0)*0.9</f>
        <v>33899.4</v>
      </c>
      <c r="M101" s="6">
        <f>ROUNDDOWN(('SPT-01'!$M136*'TABELA AUXILIAR'!$J$5+SUM('SPT-01'!$P$37:$P136))/2,0)*0.9</f>
        <v>39432.6</v>
      </c>
      <c r="N101" s="2"/>
      <c r="O101" s="8">
        <v>78.599999999999994</v>
      </c>
      <c r="P101" s="6">
        <f>ROUNDDOWN(('SPT-01'!$M133*'TABELA AUXILIAR'!$J$3+SUM('SPT-01'!$N$34:$N133))/2,0)*0.9</f>
        <v>30783.600000000002</v>
      </c>
      <c r="Q101" s="6">
        <f>ROUNDDOWN(('SPT-01'!$M133*'TABELA AUXILIAR'!$J$4+SUM('SPT-01'!$O$34:$O133))/2,0)*0.9</f>
        <v>33520.5</v>
      </c>
      <c r="R101" s="6">
        <f>ROUNDDOWN(('SPT-01'!$M133*'TABELA AUXILIAR'!$J$5+SUM('SPT-01'!$P$34:$P133))/2,0)*0.9</f>
        <v>38991.599999999999</v>
      </c>
      <c r="T101" s="8">
        <v>73.799999999999898</v>
      </c>
      <c r="U101" s="6">
        <f>ROUNDDOWN(('SPT-01'!$M125*'TABELA AUXILIAR'!$J$3+SUM('SPT-01'!$N$26:$N125))/2,0)*0.9</f>
        <v>29529</v>
      </c>
      <c r="V101" s="6">
        <f>ROUNDDOWN(('SPT-01'!$M125*'TABELA AUXILIAR'!$J$4+SUM('SPT-01'!$O$26:$O125))/2,0)*0.9</f>
        <v>32156.100000000002</v>
      </c>
      <c r="W101" s="6">
        <f>ROUNDDOWN(('SPT-01'!$M125*'TABELA AUXILIAR'!$J$5+SUM('SPT-01'!$P$26:$P125))/2,0)*0.9</f>
        <v>37406.700000000004</v>
      </c>
      <c r="Y101" s="8">
        <v>68.999999999999901</v>
      </c>
      <c r="Z101" s="6">
        <f>ROUNDDOWN(('SPT-01'!$M117*'TABELA AUXILIAR'!$J$3+SUM('SPT-01'!$N$18:$N117))/2,0)*0.9</f>
        <v>27906.3</v>
      </c>
      <c r="AA101" s="6">
        <f>ROUNDDOWN(('SPT-01'!$M117*'TABELA AUXILIAR'!$J$4+SUM('SPT-01'!$O$18:$O117))/2,0)*0.9</f>
        <v>30391.200000000001</v>
      </c>
      <c r="AB101" s="6">
        <f>ROUNDDOWN(('SPT-01'!$M117*'TABELA AUXILIAR'!$J$5+SUM('SPT-01'!$P$18:$P117))/2,0)*0.9</f>
        <v>35359.200000000004</v>
      </c>
      <c r="AD101" s="8">
        <v>64.199999999999903</v>
      </c>
      <c r="AE101" s="6">
        <f>ROUNDDOWN(('SPT-01'!$M109*'TABELA AUXILIAR'!$J$3+SUM('SPT-01'!$N$10:$N109))/2,0)*0.9</f>
        <v>25988.400000000001</v>
      </c>
      <c r="AF101" s="6">
        <f>ROUNDDOWN(('SPT-01'!$M109*'TABELA AUXILIAR'!$J$4+SUM('SPT-01'!$O$10:$O109))/2,0)*0.9</f>
        <v>28305.9</v>
      </c>
      <c r="AG101" s="6">
        <f>ROUNDDOWN(('SPT-01'!$M109*'TABELA AUXILIAR'!$J$5+SUM('SPT-01'!$P$10:$P109))/2,0)*0.9</f>
        <v>32941.800000000003</v>
      </c>
    </row>
    <row r="102" spans="10:33" x14ac:dyDescent="0.25">
      <c r="J102" s="1">
        <v>81</v>
      </c>
      <c r="K102" s="6">
        <f>ROUNDDOWN(('SPT-01'!$M137*'TABELA AUXILIAR'!$J$3+SUM('SPT-01'!$N$37:$N137))/2,0)*0.9</f>
        <v>31498.2</v>
      </c>
      <c r="L102" s="6">
        <f>ROUNDDOWN(('SPT-01'!$M137*'TABELA AUXILIAR'!$J$4+SUM('SPT-01'!$O$37:$O137))/2,0)*0.9</f>
        <v>34298.1</v>
      </c>
      <c r="M102" s="6">
        <f>ROUNDDOWN(('SPT-01'!$M137*'TABELA AUXILIAR'!$J$5+SUM('SPT-01'!$P$37:$P137))/2,0)*0.9</f>
        <v>39894.300000000003</v>
      </c>
      <c r="N102" s="2"/>
      <c r="O102" s="8">
        <v>79.2</v>
      </c>
      <c r="P102" s="6">
        <f>ROUNDDOWN(('SPT-01'!$M134*'TABELA AUXILIAR'!$J$3+SUM('SPT-01'!$N$34:$N134))/2,0)*0.9</f>
        <v>31146.3</v>
      </c>
      <c r="Q102" s="6">
        <f>ROUNDDOWN(('SPT-01'!$M134*'TABELA AUXILIAR'!$J$4+SUM('SPT-01'!$O$34:$O134))/2,0)*0.9</f>
        <v>33914.700000000004</v>
      </c>
      <c r="R102" s="6">
        <f>ROUNDDOWN(('SPT-01'!$M134*'TABELA AUXILIAR'!$J$5+SUM('SPT-01'!$P$34:$P134))/2,0)*0.9</f>
        <v>39447.9</v>
      </c>
      <c r="T102" s="8">
        <v>74.400000000000006</v>
      </c>
      <c r="U102" s="6">
        <f>ROUNDDOWN(('SPT-01'!$M126*'TABELA AUXILIAR'!$J$3+SUM('SPT-01'!$N$26:$N126))/2,0)*0.9</f>
        <v>29880</v>
      </c>
      <c r="V102" s="6">
        <f>ROUNDDOWN(('SPT-01'!$M126*'TABELA AUXILIAR'!$J$4+SUM('SPT-01'!$O$26:$O126))/2,0)*0.9</f>
        <v>32536.799999999999</v>
      </c>
      <c r="W102" s="6">
        <f>ROUNDDOWN(('SPT-01'!$M126*'TABELA AUXILIAR'!$J$5+SUM('SPT-01'!$P$26:$P126))/2,0)*0.9</f>
        <v>37847.700000000004</v>
      </c>
      <c r="Y102" s="8">
        <v>69.599999999999895</v>
      </c>
      <c r="Z102" s="6">
        <f>ROUNDDOWN(('SPT-01'!$M118*'TABELA AUXILIAR'!$J$3+SUM('SPT-01'!$N$18:$N118))/2,0)*0.9</f>
        <v>28245.600000000002</v>
      </c>
      <c r="AA102" s="6">
        <f>ROUNDDOWN(('SPT-01'!$M118*'TABELA AUXILIAR'!$J$4+SUM('SPT-01'!$O$18:$O118))/2,0)*0.9</f>
        <v>30759.3</v>
      </c>
      <c r="AB102" s="6">
        <f>ROUNDDOWN(('SPT-01'!$M118*'TABELA AUXILIAR'!$J$5+SUM('SPT-01'!$P$18:$P118))/2,0)*0.9</f>
        <v>35785.800000000003</v>
      </c>
      <c r="AD102" s="8">
        <v>64.799999999999898</v>
      </c>
      <c r="AE102" s="6">
        <f>ROUNDDOWN(('SPT-01'!$M110*'TABELA AUXILIAR'!$J$3+SUM('SPT-01'!$N$10:$N110))/2,0)*0.9</f>
        <v>26315.100000000002</v>
      </c>
      <c r="AF102" s="6">
        <f>ROUNDDOWN(('SPT-01'!$M110*'TABELA AUXILIAR'!$J$4+SUM('SPT-01'!$O$10:$O110))/2,0)*0.9</f>
        <v>28661.4</v>
      </c>
      <c r="AG102" s="6">
        <f>ROUNDDOWN(('SPT-01'!$M110*'TABELA AUXILIAR'!$J$5+SUM('SPT-01'!$P$10:$P110))/2,0)*0.9</f>
        <v>33353.1</v>
      </c>
    </row>
    <row r="103" spans="10:33" x14ac:dyDescent="0.25">
      <c r="J103" s="1">
        <v>81.599999999999994</v>
      </c>
      <c r="K103" s="6">
        <f>ROUNDDOWN(('SPT-01'!$M138*'TABELA AUXILIAR'!$J$3+SUM('SPT-01'!$N$37:$N138))/2,0)*0.9</f>
        <v>31866.3</v>
      </c>
      <c r="L103" s="6">
        <f>ROUNDDOWN(('SPT-01'!$M138*'TABELA AUXILIAR'!$J$4+SUM('SPT-01'!$O$37:$O138))/2,0)*0.9</f>
        <v>34697.700000000004</v>
      </c>
      <c r="M103" s="6">
        <f>ROUNDDOWN(('SPT-01'!$M138*'TABELA AUXILIAR'!$J$5+SUM('SPT-01'!$P$37:$P138))/2,0)*0.9</f>
        <v>40356.9</v>
      </c>
      <c r="N103" s="2"/>
      <c r="O103" s="8">
        <v>79.8</v>
      </c>
      <c r="P103" s="6">
        <f>ROUNDDOWN(('SPT-01'!$M135*'TABELA AUXILIAR'!$J$3+SUM('SPT-01'!$N$34:$N135))/2,0)*0.9</f>
        <v>31509.9</v>
      </c>
      <c r="Q103" s="6">
        <f>ROUNDDOWN(('SPT-01'!$M135*'TABELA AUXILIAR'!$J$4+SUM('SPT-01'!$O$34:$O135))/2,0)*0.9</f>
        <v>34309.800000000003</v>
      </c>
      <c r="R103" s="6">
        <f>ROUNDDOWN(('SPT-01'!$M135*'TABELA AUXILIAR'!$J$5+SUM('SPT-01'!$P$34:$P135))/2,0)*0.9</f>
        <v>39905.1</v>
      </c>
      <c r="T103" s="8">
        <v>75</v>
      </c>
      <c r="U103" s="6">
        <f>ROUNDDOWN(('SPT-01'!$M127*'TABELA AUXILIAR'!$J$3+SUM('SPT-01'!$N$26:$N127))/2,0)*0.9</f>
        <v>30231.9</v>
      </c>
      <c r="V103" s="6">
        <f>ROUNDDOWN(('SPT-01'!$M127*'TABELA AUXILIAR'!$J$4+SUM('SPT-01'!$O$26:$O127))/2,0)*0.9</f>
        <v>32919.300000000003</v>
      </c>
      <c r="W103" s="6">
        <f>ROUNDDOWN(('SPT-01'!$M127*'TABELA AUXILIAR'!$J$5+SUM('SPT-01'!$P$26:$P127))/2,0)*0.9</f>
        <v>38290.5</v>
      </c>
      <c r="Y103" s="8">
        <v>70.199999999999903</v>
      </c>
      <c r="Z103" s="6">
        <f>ROUNDDOWN(('SPT-01'!$M119*'TABELA AUXILIAR'!$J$3+SUM('SPT-01'!$N$18:$N119))/2,0)*0.9</f>
        <v>28585.8</v>
      </c>
      <c r="AA103" s="6">
        <f>ROUNDDOWN(('SPT-01'!$M119*'TABELA AUXILIAR'!$J$4+SUM('SPT-01'!$O$18:$O119))/2,0)*0.9</f>
        <v>31129.200000000001</v>
      </c>
      <c r="AB103" s="6">
        <f>ROUNDDOWN(('SPT-01'!$M119*'TABELA AUXILIAR'!$J$5+SUM('SPT-01'!$P$18:$P119))/2,0)*0.9</f>
        <v>36214.200000000004</v>
      </c>
      <c r="AD103" s="8">
        <v>65.399999999999906</v>
      </c>
      <c r="AE103" s="6">
        <f>ROUNDDOWN(('SPT-01'!$M111*'TABELA AUXILIAR'!$J$3+SUM('SPT-01'!$N$10:$N111))/2,0)*0.9</f>
        <v>26643.600000000002</v>
      </c>
      <c r="AF103" s="6">
        <f>ROUNDDOWN(('SPT-01'!$M111*'TABELA AUXILIAR'!$J$4+SUM('SPT-01'!$O$10:$O111))/2,0)*0.9</f>
        <v>29017.8</v>
      </c>
      <c r="AG103" s="6">
        <f>ROUNDDOWN(('SPT-01'!$M111*'TABELA AUXILIAR'!$J$5+SUM('SPT-01'!$P$10:$P111))/2,0)*0.9</f>
        <v>33766.200000000004</v>
      </c>
    </row>
    <row r="104" spans="10:33" x14ac:dyDescent="0.25">
      <c r="J104" s="1">
        <v>82.2</v>
      </c>
      <c r="K104" s="6">
        <f>ROUNDDOWN(('SPT-01'!$M139*'TABELA AUXILIAR'!$J$3+SUM('SPT-01'!$N$37:$N139))/2,0)*0.9</f>
        <v>32236.2</v>
      </c>
      <c r="L104" s="6">
        <f>ROUNDDOWN(('SPT-01'!$M139*'TABELA AUXILIAR'!$J$4+SUM('SPT-01'!$O$37:$O139))/2,0)*0.9</f>
        <v>35100</v>
      </c>
      <c r="M104" s="6">
        <f>ROUNDDOWN(('SPT-01'!$M139*'TABELA AUXILIAR'!$J$5+SUM('SPT-01'!$P$37:$P139))/2,0)*0.9</f>
        <v>40822.200000000004</v>
      </c>
      <c r="N104" s="2"/>
      <c r="O104" s="8">
        <v>80.400000000000006</v>
      </c>
      <c r="P104" s="6">
        <f>ROUNDDOWN(('SPT-01'!$M136*'TABELA AUXILIAR'!$J$3+SUM('SPT-01'!$N$34:$N136))/2,0)*0.9</f>
        <v>31875.3</v>
      </c>
      <c r="Q104" s="6">
        <f>ROUNDDOWN(('SPT-01'!$M136*'TABELA AUXILIAR'!$J$4+SUM('SPT-01'!$O$34:$O136))/2,0)*0.9</f>
        <v>34706.700000000004</v>
      </c>
      <c r="R104" s="6">
        <f>ROUNDDOWN(('SPT-01'!$M136*'TABELA AUXILIAR'!$J$5+SUM('SPT-01'!$P$34:$P136))/2,0)*0.9</f>
        <v>40365</v>
      </c>
      <c r="T104" s="8">
        <v>75.599999999999994</v>
      </c>
      <c r="U104" s="6">
        <f>ROUNDDOWN(('SPT-01'!$M128*'TABELA AUXILIAR'!$J$3+SUM('SPT-01'!$N$26:$N128))/2,0)*0.9</f>
        <v>30586.5</v>
      </c>
      <c r="V104" s="6">
        <f>ROUNDDOWN(('SPT-01'!$M128*'TABELA AUXILIAR'!$J$4+SUM('SPT-01'!$O$26:$O128))/2,0)*0.9</f>
        <v>33303.599999999999</v>
      </c>
      <c r="W104" s="6">
        <f>ROUNDDOWN(('SPT-01'!$M128*'TABELA AUXILIAR'!$J$5+SUM('SPT-01'!$P$26:$P128))/2,0)*0.9</f>
        <v>38736</v>
      </c>
      <c r="Y104" s="8">
        <v>70.799999999999898</v>
      </c>
      <c r="Z104" s="6">
        <f>ROUNDDOWN(('SPT-01'!$M120*'TABELA AUXILIAR'!$J$3+SUM('SPT-01'!$N$18:$N120))/2,0)*0.9</f>
        <v>28927.8</v>
      </c>
      <c r="AA104" s="6">
        <f>ROUNDDOWN(('SPT-01'!$M120*'TABELA AUXILIAR'!$J$4+SUM('SPT-01'!$O$18:$O120))/2,0)*0.9</f>
        <v>31500.9</v>
      </c>
      <c r="AB104" s="6">
        <f>ROUNDDOWN(('SPT-01'!$M120*'TABELA AUXILIAR'!$J$5+SUM('SPT-01'!$P$18:$P120))/2,0)*0.9</f>
        <v>36644.400000000001</v>
      </c>
      <c r="AD104" s="8">
        <v>65.999999999999901</v>
      </c>
      <c r="AE104" s="6">
        <f>ROUNDDOWN(('SPT-01'!$M112*'TABELA AUXILIAR'!$J$3+SUM('SPT-01'!$N$10:$N112))/2,0)*0.9</f>
        <v>26973</v>
      </c>
      <c r="AF104" s="6">
        <f>ROUNDDOWN(('SPT-01'!$M112*'TABELA AUXILIAR'!$J$4+SUM('SPT-01'!$O$10:$O112))/2,0)*0.9</f>
        <v>29376</v>
      </c>
      <c r="AG104" s="6">
        <f>ROUNDDOWN(('SPT-01'!$M112*'TABELA AUXILIAR'!$J$5+SUM('SPT-01'!$P$10:$P112))/2,0)*0.9</f>
        <v>34181.1</v>
      </c>
    </row>
    <row r="105" spans="10:33" x14ac:dyDescent="0.25">
      <c r="J105" s="1">
        <v>82.8</v>
      </c>
      <c r="K105" s="6">
        <f>ROUNDDOWN(('SPT-01'!$M140*'TABELA AUXILIAR'!$J$3+SUM('SPT-01'!$N$37:$N140))/2,0)*0.9</f>
        <v>32607</v>
      </c>
      <c r="L105" s="6">
        <f>ROUNDDOWN(('SPT-01'!$M140*'TABELA AUXILIAR'!$J$4+SUM('SPT-01'!$O$37:$O140))/2,0)*0.9</f>
        <v>35503.200000000004</v>
      </c>
      <c r="M105" s="6">
        <f>ROUNDDOWN(('SPT-01'!$M140*'TABELA AUXILIAR'!$J$5+SUM('SPT-01'!$P$37:$P140))/2,0)*0.9</f>
        <v>41288.400000000001</v>
      </c>
      <c r="N105" s="2"/>
      <c r="O105" s="8">
        <v>81</v>
      </c>
      <c r="P105" s="6">
        <f>ROUNDDOWN(('SPT-01'!$M137*'TABELA AUXILIAR'!$J$3+SUM('SPT-01'!$N$34:$N137))/2,0)*0.9</f>
        <v>32242.5</v>
      </c>
      <c r="Q105" s="6">
        <f>ROUNDDOWN(('SPT-01'!$M137*'TABELA AUXILIAR'!$J$4+SUM('SPT-01'!$O$34:$O137))/2,0)*0.9</f>
        <v>35105.4</v>
      </c>
      <c r="R105" s="6">
        <f>ROUNDDOWN(('SPT-01'!$M137*'TABELA AUXILIAR'!$J$5+SUM('SPT-01'!$P$34:$P137))/2,0)*0.9</f>
        <v>40826.700000000004</v>
      </c>
      <c r="T105" s="8">
        <v>76.2</v>
      </c>
      <c r="U105" s="6">
        <f>ROUNDDOWN(('SPT-01'!$M129*'TABELA AUXILIAR'!$J$3+SUM('SPT-01'!$N$26:$N129))/2,0)*0.9</f>
        <v>30941.100000000002</v>
      </c>
      <c r="V105" s="6">
        <f>ROUNDDOWN(('SPT-01'!$M129*'TABELA AUXILIAR'!$J$4+SUM('SPT-01'!$O$26:$O129))/2,0)*0.9</f>
        <v>33689.700000000004</v>
      </c>
      <c r="W105" s="6">
        <f>ROUNDDOWN(('SPT-01'!$M129*'TABELA AUXILIAR'!$J$5+SUM('SPT-01'!$P$26:$P129))/2,0)*0.9</f>
        <v>39182.400000000001</v>
      </c>
      <c r="Y105" s="8">
        <v>71.399999999999906</v>
      </c>
      <c r="Z105" s="6">
        <f>ROUNDDOWN(('SPT-01'!$M121*'TABELA AUXILIAR'!$J$3+SUM('SPT-01'!$N$18:$N121))/2,0)*0.9</f>
        <v>29270.7</v>
      </c>
      <c r="AA105" s="6">
        <f>ROUNDDOWN(('SPT-01'!$M121*'TABELA AUXILIAR'!$J$4+SUM('SPT-01'!$O$18:$O121))/2,0)*0.9</f>
        <v>31873.5</v>
      </c>
      <c r="AB105" s="6">
        <f>ROUNDDOWN(('SPT-01'!$M121*'TABELA AUXILIAR'!$J$5+SUM('SPT-01'!$P$18:$P121))/2,0)*0.9</f>
        <v>37076.400000000001</v>
      </c>
      <c r="AD105" s="8">
        <v>66.599999999999895</v>
      </c>
      <c r="AE105" s="6">
        <f>ROUNDDOWN(('SPT-01'!$M113*'TABELA AUXILIAR'!$J$3+SUM('SPT-01'!$N$10:$N113))/2,0)*0.9</f>
        <v>27304.2</v>
      </c>
      <c r="AF105" s="6">
        <f>ROUNDDOWN(('SPT-01'!$M113*'TABELA AUXILIAR'!$J$4+SUM('SPT-01'!$O$10:$O113))/2,0)*0.9</f>
        <v>29736</v>
      </c>
      <c r="AG105" s="6">
        <f>ROUNDDOWN(('SPT-01'!$M113*'TABELA AUXILIAR'!$J$5+SUM('SPT-01'!$P$10:$P113))/2,0)*0.9</f>
        <v>34597.800000000003</v>
      </c>
    </row>
    <row r="106" spans="10:33" x14ac:dyDescent="0.25">
      <c r="J106" s="1">
        <v>83.4</v>
      </c>
      <c r="K106" s="6">
        <f>ROUNDDOWN(('SPT-01'!$M141*'TABELA AUXILIAR'!$J$3+SUM('SPT-01'!$N$37:$N141))/2,0)*0.9</f>
        <v>32979.599999999999</v>
      </c>
      <c r="L106" s="6">
        <f>ROUNDDOWN(('SPT-01'!$M141*'TABELA AUXILIAR'!$J$4+SUM('SPT-01'!$O$37:$O141))/2,0)*0.9</f>
        <v>35908.200000000004</v>
      </c>
      <c r="M106" s="6">
        <f>ROUNDDOWN(('SPT-01'!$M141*'TABELA AUXILIAR'!$J$5+SUM('SPT-01'!$P$37:$P141))/2,0)*0.9</f>
        <v>41757.300000000003</v>
      </c>
      <c r="N106" s="2"/>
      <c r="O106" s="8">
        <v>81.599999999999994</v>
      </c>
      <c r="P106" s="6">
        <f>ROUNDDOWN(('SPT-01'!$M138*'TABELA AUXILIAR'!$J$3+SUM('SPT-01'!$N$34:$N138))/2,0)*0.9</f>
        <v>32610.600000000002</v>
      </c>
      <c r="Q106" s="6">
        <f>ROUNDDOWN(('SPT-01'!$M138*'TABELA AUXILIAR'!$J$4+SUM('SPT-01'!$O$34:$O138))/2,0)*0.9</f>
        <v>35505.9</v>
      </c>
      <c r="R106" s="6">
        <f>ROUNDDOWN(('SPT-01'!$M138*'TABELA AUXILIAR'!$J$5+SUM('SPT-01'!$P$34:$P138))/2,0)*0.9</f>
        <v>41289.300000000003</v>
      </c>
      <c r="T106" s="8">
        <v>76.8</v>
      </c>
      <c r="U106" s="6">
        <f>ROUNDDOWN(('SPT-01'!$M130*'TABELA AUXILIAR'!$J$3+SUM('SPT-01'!$N$26:$N130))/2,0)*0.9</f>
        <v>31298.400000000001</v>
      </c>
      <c r="V106" s="6">
        <f>ROUNDDOWN(('SPT-01'!$M130*'TABELA AUXILIAR'!$J$4+SUM('SPT-01'!$O$26:$O130))/2,0)*0.9</f>
        <v>34077.599999999999</v>
      </c>
      <c r="W106" s="6">
        <f>ROUNDDOWN(('SPT-01'!$M130*'TABELA AUXILIAR'!$J$5+SUM('SPT-01'!$P$26:$P130))/2,0)*0.9</f>
        <v>39631.5</v>
      </c>
      <c r="Y106" s="8">
        <v>71.999999999999901</v>
      </c>
      <c r="Z106" s="6">
        <f>ROUNDDOWN(('SPT-01'!$M122*'TABELA AUXILIAR'!$J$3+SUM('SPT-01'!$N$18:$N122))/2,0)*0.9</f>
        <v>29616.3</v>
      </c>
      <c r="AA106" s="6">
        <f>ROUNDDOWN(('SPT-01'!$M122*'TABELA AUXILIAR'!$J$4+SUM('SPT-01'!$O$18:$O122))/2,0)*0.9</f>
        <v>32248.799999999999</v>
      </c>
      <c r="AB106" s="6">
        <f>ROUNDDOWN(('SPT-01'!$M122*'TABELA AUXILIAR'!$J$5+SUM('SPT-01'!$P$18:$P122))/2,0)*0.9</f>
        <v>37510.200000000004</v>
      </c>
      <c r="AD106" s="8">
        <v>67.199999999999903</v>
      </c>
      <c r="AE106" s="6">
        <f>ROUNDDOWN(('SPT-01'!$M114*'TABELA AUXILIAR'!$J$3+SUM('SPT-01'!$N$10:$N114))/2,0)*0.9</f>
        <v>27637.200000000001</v>
      </c>
      <c r="AF106" s="6">
        <f>ROUNDDOWN(('SPT-01'!$M114*'TABELA AUXILIAR'!$J$4+SUM('SPT-01'!$O$10:$O114))/2,0)*0.9</f>
        <v>30096.9</v>
      </c>
      <c r="AG106" s="6">
        <f>ROUNDDOWN(('SPT-01'!$M114*'TABELA AUXILIAR'!$J$5+SUM('SPT-01'!$P$10:$P114))/2,0)*0.9</f>
        <v>35016.300000000003</v>
      </c>
    </row>
    <row r="107" spans="10:33" x14ac:dyDescent="0.25">
      <c r="J107" s="1">
        <v>84</v>
      </c>
      <c r="K107" s="6">
        <f>ROUNDDOWN(('SPT-01'!$M142*'TABELA AUXILIAR'!$J$3+SUM('SPT-01'!$N$37:$N142))/2,0)*0.9</f>
        <v>33354</v>
      </c>
      <c r="L107" s="6">
        <f>ROUNDDOWN(('SPT-01'!$M142*'TABELA AUXILIAR'!$J$4+SUM('SPT-01'!$O$37:$O142))/2,0)*0.9</f>
        <v>36314.1</v>
      </c>
      <c r="M107" s="6">
        <f>ROUNDDOWN(('SPT-01'!$M142*'TABELA AUXILIAR'!$J$5+SUM('SPT-01'!$P$37:$P142))/2,0)*0.9</f>
        <v>42227.1</v>
      </c>
      <c r="N107" s="2"/>
      <c r="O107" s="8">
        <v>82.2</v>
      </c>
      <c r="P107" s="6">
        <f>ROUNDDOWN(('SPT-01'!$M139*'TABELA AUXILIAR'!$J$3+SUM('SPT-01'!$N$34:$N139))/2,0)*0.9</f>
        <v>32980.5</v>
      </c>
      <c r="Q107" s="6">
        <f>ROUNDDOWN(('SPT-01'!$M139*'TABELA AUXILIAR'!$J$4+SUM('SPT-01'!$O$34:$O139))/2,0)*0.9</f>
        <v>35907.300000000003</v>
      </c>
      <c r="R107" s="6">
        <f>ROUNDDOWN(('SPT-01'!$M139*'TABELA AUXILIAR'!$J$5+SUM('SPT-01'!$P$34:$P139))/2,0)*0.9</f>
        <v>41754.6</v>
      </c>
      <c r="T107" s="8">
        <v>77.400000000000006</v>
      </c>
      <c r="U107" s="6">
        <f>ROUNDDOWN(('SPT-01'!$M131*'TABELA AUXILIAR'!$J$3+SUM('SPT-01'!$N$26:$N131))/2,0)*0.9</f>
        <v>31656.600000000002</v>
      </c>
      <c r="V107" s="6">
        <f>ROUNDDOWN(('SPT-01'!$M131*'TABELA AUXILIAR'!$J$4+SUM('SPT-01'!$O$26:$O131))/2,0)*0.9</f>
        <v>34466.400000000001</v>
      </c>
      <c r="W107" s="6">
        <f>ROUNDDOWN(('SPT-01'!$M131*'TABELA AUXILIAR'!$J$5+SUM('SPT-01'!$P$26:$P131))/2,0)*0.9</f>
        <v>40081.5</v>
      </c>
      <c r="Y107" s="8">
        <v>72.599999999999895</v>
      </c>
      <c r="Z107" s="6">
        <f>ROUNDDOWN(('SPT-01'!$M123*'TABELA AUXILIAR'!$J$3+SUM('SPT-01'!$N$18:$N123))/2,0)*0.9</f>
        <v>29961.9</v>
      </c>
      <c r="AA107" s="6">
        <f>ROUNDDOWN(('SPT-01'!$M123*'TABELA AUXILIAR'!$J$4+SUM('SPT-01'!$O$18:$O123))/2,0)*0.9</f>
        <v>32625</v>
      </c>
      <c r="AB107" s="6">
        <f>ROUNDDOWN(('SPT-01'!$M123*'TABELA AUXILIAR'!$J$5+SUM('SPT-01'!$P$18:$P123))/2,0)*0.9</f>
        <v>37945.800000000003</v>
      </c>
      <c r="AD107" s="8">
        <v>67.799999999999898</v>
      </c>
      <c r="AE107" s="6">
        <f>ROUNDDOWN(('SPT-01'!$M115*'TABELA AUXILIAR'!$J$3+SUM('SPT-01'!$N$10:$N115))/2,0)*0.9</f>
        <v>27971.100000000002</v>
      </c>
      <c r="AF107" s="6">
        <f>ROUNDDOWN(('SPT-01'!$M115*'TABELA AUXILIAR'!$J$4+SUM('SPT-01'!$O$10:$O115))/2,0)*0.9</f>
        <v>30460.5</v>
      </c>
      <c r="AG107" s="6">
        <f>ROUNDDOWN(('SPT-01'!$M115*'TABELA AUXILIAR'!$J$5+SUM('SPT-01'!$P$10:$P115))/2,0)*0.9</f>
        <v>35436.6</v>
      </c>
    </row>
    <row r="108" spans="10:33" x14ac:dyDescent="0.25">
      <c r="J108" s="1">
        <v>84.6</v>
      </c>
      <c r="K108" s="6">
        <f>ROUNDDOWN(('SPT-01'!$M143*'TABELA AUXILIAR'!$J$3+SUM('SPT-01'!$N$37:$N143))/2,0)*0.9</f>
        <v>33729.300000000003</v>
      </c>
      <c r="L108" s="6">
        <f>ROUNDDOWN(('SPT-01'!$M143*'TABELA AUXILIAR'!$J$4+SUM('SPT-01'!$O$37:$O143))/2,0)*0.9</f>
        <v>36721.800000000003</v>
      </c>
      <c r="M108" s="6">
        <f>ROUNDDOWN(('SPT-01'!$M143*'TABELA AUXILIAR'!$J$5+SUM('SPT-01'!$P$37:$P143))/2,0)*0.9</f>
        <v>42699.6</v>
      </c>
      <c r="N108" s="2"/>
      <c r="O108" s="8">
        <v>82.8</v>
      </c>
      <c r="P108" s="6">
        <f>ROUNDDOWN(('SPT-01'!$M140*'TABELA AUXILIAR'!$J$3+SUM('SPT-01'!$N$34:$N140))/2,0)*0.9</f>
        <v>33351.300000000003</v>
      </c>
      <c r="Q108" s="6">
        <f>ROUNDDOWN(('SPT-01'!$M140*'TABELA AUXILIAR'!$J$4+SUM('SPT-01'!$O$34:$O140))/2,0)*0.9</f>
        <v>36310.5</v>
      </c>
      <c r="R108" s="6">
        <f>ROUNDDOWN(('SPT-01'!$M140*'TABELA AUXILIAR'!$J$5+SUM('SPT-01'!$P$34:$P140))/2,0)*0.9</f>
        <v>42220.800000000003</v>
      </c>
      <c r="T108" s="8">
        <v>78</v>
      </c>
      <c r="U108" s="6">
        <f>ROUNDDOWN(('SPT-01'!$M132*'TABELA AUXILIAR'!$J$3+SUM('SPT-01'!$N$26:$N132))/2,0)*0.9</f>
        <v>32015.7</v>
      </c>
      <c r="V108" s="6">
        <f>ROUNDDOWN(('SPT-01'!$M132*'TABELA AUXILIAR'!$J$4+SUM('SPT-01'!$O$26:$O132))/2,0)*0.9</f>
        <v>34857</v>
      </c>
      <c r="W108" s="6">
        <f>ROUNDDOWN(('SPT-01'!$M132*'TABELA AUXILIAR'!$J$5+SUM('SPT-01'!$P$26:$P132))/2,0)*0.9</f>
        <v>40534.200000000004</v>
      </c>
      <c r="Y108" s="8">
        <v>73.199999999999903</v>
      </c>
      <c r="Z108" s="6">
        <f>ROUNDDOWN(('SPT-01'!$M124*'TABELA AUXILIAR'!$J$3+SUM('SPT-01'!$N$18:$N124))/2,0)*0.9</f>
        <v>30310.2</v>
      </c>
      <c r="AA108" s="6">
        <f>ROUNDDOWN(('SPT-01'!$M124*'TABELA AUXILIAR'!$J$4+SUM('SPT-01'!$O$18:$O124))/2,0)*0.9</f>
        <v>33003</v>
      </c>
      <c r="AB108" s="6">
        <f>ROUNDDOWN(('SPT-01'!$M124*'TABELA AUXILIAR'!$J$5+SUM('SPT-01'!$P$18:$P124))/2,0)*0.9</f>
        <v>38383.200000000004</v>
      </c>
      <c r="AD108" s="8">
        <v>68.399999999999906</v>
      </c>
      <c r="AE108" s="6">
        <f>ROUNDDOWN(('SPT-01'!$M116*'TABELA AUXILIAR'!$J$3+SUM('SPT-01'!$N$10:$N116))/2,0)*0.9</f>
        <v>28307.7</v>
      </c>
      <c r="AF108" s="6">
        <f>ROUNDDOWN(('SPT-01'!$M116*'TABELA AUXILIAR'!$J$4+SUM('SPT-01'!$O$10:$O116))/2,0)*0.9</f>
        <v>30825</v>
      </c>
      <c r="AG108" s="6">
        <f>ROUNDDOWN(('SPT-01'!$M116*'TABELA AUXILIAR'!$J$5+SUM('SPT-01'!$P$10:$P116))/2,0)*0.9</f>
        <v>35859.599999999999</v>
      </c>
    </row>
    <row r="109" spans="10:33" x14ac:dyDescent="0.25">
      <c r="J109" s="1">
        <v>85.2</v>
      </c>
      <c r="K109" s="6">
        <f>ROUNDDOWN(('SPT-01'!$M144*'TABELA AUXILIAR'!$J$3+SUM('SPT-01'!$N$37:$N144))/2,0)*0.9</f>
        <v>34106.400000000001</v>
      </c>
      <c r="L109" s="6">
        <f>ROUNDDOWN(('SPT-01'!$M144*'TABELA AUXILIAR'!$J$4+SUM('SPT-01'!$O$37:$O144))/2,0)*0.9</f>
        <v>37131.300000000003</v>
      </c>
      <c r="M109" s="6">
        <f>ROUNDDOWN(('SPT-01'!$M144*'TABELA AUXILIAR'!$J$5+SUM('SPT-01'!$P$37:$P144))/2,0)*0.9</f>
        <v>43173</v>
      </c>
      <c r="N109" s="2"/>
      <c r="O109" s="8">
        <v>83.4</v>
      </c>
      <c r="P109" s="6">
        <f>ROUNDDOWN(('SPT-01'!$M141*'TABELA AUXILIAR'!$J$3+SUM('SPT-01'!$N$34:$N141))/2,0)*0.9</f>
        <v>33723.9</v>
      </c>
      <c r="Q109" s="6">
        <f>ROUNDDOWN(('SPT-01'!$M141*'TABELA AUXILIAR'!$J$4+SUM('SPT-01'!$O$34:$O141))/2,0)*0.9</f>
        <v>36715.5</v>
      </c>
      <c r="R109" s="6">
        <f>ROUNDDOWN(('SPT-01'!$M141*'TABELA AUXILIAR'!$J$5+SUM('SPT-01'!$P$34:$P141))/2,0)*0.9</f>
        <v>42689.700000000004</v>
      </c>
      <c r="T109" s="8">
        <v>78.599999999999994</v>
      </c>
      <c r="U109" s="6">
        <f>ROUNDDOWN(('SPT-01'!$M133*'TABELA AUXILIAR'!$J$3+SUM('SPT-01'!$N$26:$N133))/2,0)*0.9</f>
        <v>32376.600000000002</v>
      </c>
      <c r="V109" s="6">
        <f>ROUNDDOWN(('SPT-01'!$M133*'TABELA AUXILIAR'!$J$4+SUM('SPT-01'!$O$26:$O133))/2,0)*0.9</f>
        <v>35249.4</v>
      </c>
      <c r="W109" s="6">
        <f>ROUNDDOWN(('SPT-01'!$M133*'TABELA AUXILIAR'!$J$5+SUM('SPT-01'!$P$26:$P133))/2,0)*0.9</f>
        <v>40987.800000000003</v>
      </c>
      <c r="Y109" s="8">
        <v>73.799999999999898</v>
      </c>
      <c r="Z109" s="6">
        <f>ROUNDDOWN(('SPT-01'!$M125*'TABELA AUXILIAR'!$J$3+SUM('SPT-01'!$N$18:$N125))/2,0)*0.9</f>
        <v>30659.4</v>
      </c>
      <c r="AA109" s="6">
        <f>ROUNDDOWN(('SPT-01'!$M125*'TABELA AUXILIAR'!$J$4+SUM('SPT-01'!$O$18:$O125))/2,0)*0.9</f>
        <v>33381.9</v>
      </c>
      <c r="AB109" s="6">
        <f>ROUNDDOWN(('SPT-01'!$M125*'TABELA AUXILIAR'!$J$5+SUM('SPT-01'!$P$18:$P125))/2,0)*0.9</f>
        <v>38822.400000000001</v>
      </c>
      <c r="AD109" s="8">
        <v>68.999999999999901</v>
      </c>
      <c r="AE109" s="6">
        <f>ROUNDDOWN(('SPT-01'!$M117*'TABELA AUXILIAR'!$J$3+SUM('SPT-01'!$N$10:$N117))/2,0)*0.9</f>
        <v>28644.3</v>
      </c>
      <c r="AF109" s="6">
        <f>ROUNDDOWN(('SPT-01'!$M117*'TABELA AUXILIAR'!$J$4+SUM('SPT-01'!$O$10:$O117))/2,0)*0.9</f>
        <v>31192.2</v>
      </c>
      <c r="AG109" s="6">
        <f>ROUNDDOWN(('SPT-01'!$M117*'TABELA AUXILIAR'!$J$5+SUM('SPT-01'!$P$10:$P117))/2,0)*0.9</f>
        <v>36283.5</v>
      </c>
    </row>
    <row r="110" spans="10:33" x14ac:dyDescent="0.25">
      <c r="J110" s="1">
        <v>85.8</v>
      </c>
      <c r="K110" s="6">
        <f>ROUNDDOWN(('SPT-01'!$M145*'TABELA AUXILIAR'!$J$3+SUM('SPT-01'!$N$37:$N145))/2,0)*0.9</f>
        <v>34484.400000000001</v>
      </c>
      <c r="L110" s="6">
        <f>ROUNDDOWN(('SPT-01'!$M145*'TABELA AUXILIAR'!$J$4+SUM('SPT-01'!$O$37:$O145))/2,0)*0.9</f>
        <v>37542.6</v>
      </c>
      <c r="M110" s="6">
        <f>ROUNDDOWN(('SPT-01'!$M145*'TABELA AUXILIAR'!$J$5+SUM('SPT-01'!$P$37:$P145))/2,0)*0.9</f>
        <v>43649.1</v>
      </c>
      <c r="N110" s="2"/>
      <c r="O110" s="8">
        <v>84</v>
      </c>
      <c r="P110" s="6">
        <f>ROUNDDOWN(('SPT-01'!$M142*'TABELA AUXILIAR'!$J$3+SUM('SPT-01'!$N$34:$N142))/2,0)*0.9</f>
        <v>34098.300000000003</v>
      </c>
      <c r="Q110" s="6">
        <f>ROUNDDOWN(('SPT-01'!$M142*'TABELA AUXILIAR'!$J$4+SUM('SPT-01'!$O$34:$O142))/2,0)*0.9</f>
        <v>37121.4</v>
      </c>
      <c r="R110" s="6">
        <f>ROUNDDOWN(('SPT-01'!$M142*'TABELA AUXILIAR'!$J$5+SUM('SPT-01'!$P$34:$P142))/2,0)*0.9</f>
        <v>43159.5</v>
      </c>
      <c r="T110" s="8">
        <v>79.2</v>
      </c>
      <c r="U110" s="6">
        <f>ROUNDDOWN(('SPT-01'!$M134*'TABELA AUXILIAR'!$J$3+SUM('SPT-01'!$N$26:$N134))/2,0)*0.9</f>
        <v>32739.3</v>
      </c>
      <c r="V110" s="6">
        <f>ROUNDDOWN(('SPT-01'!$M134*'TABELA AUXILIAR'!$J$4+SUM('SPT-01'!$O$26:$O134))/2,0)*0.9</f>
        <v>35643.599999999999</v>
      </c>
      <c r="W110" s="6">
        <f>ROUNDDOWN(('SPT-01'!$M134*'TABELA AUXILIAR'!$J$5+SUM('SPT-01'!$P$26:$P134))/2,0)*0.9</f>
        <v>41444.1</v>
      </c>
      <c r="Y110" s="8">
        <v>74.400000000000006</v>
      </c>
      <c r="Z110" s="6">
        <f>ROUNDDOWN(('SPT-01'!$M126*'TABELA AUXILIAR'!$J$3+SUM('SPT-01'!$N$18:$N126))/2,0)*0.9</f>
        <v>31010.400000000001</v>
      </c>
      <c r="AA110" s="6">
        <f>ROUNDDOWN(('SPT-01'!$M126*'TABELA AUXILIAR'!$J$4+SUM('SPT-01'!$O$18:$O126))/2,0)*0.9</f>
        <v>33763.5</v>
      </c>
      <c r="AB110" s="6">
        <f>ROUNDDOWN(('SPT-01'!$M126*'TABELA AUXILIAR'!$J$5+SUM('SPT-01'!$P$18:$P126))/2,0)*0.9</f>
        <v>39263.4</v>
      </c>
      <c r="AD110" s="8">
        <v>69.599999999999895</v>
      </c>
      <c r="AE110" s="6">
        <f>ROUNDDOWN(('SPT-01'!$M118*'TABELA AUXILIAR'!$J$3+SUM('SPT-01'!$N$10:$N118))/2,0)*0.9</f>
        <v>28983.600000000002</v>
      </c>
      <c r="AF110" s="6">
        <f>ROUNDDOWN(('SPT-01'!$M118*'TABELA AUXILIAR'!$J$4+SUM('SPT-01'!$O$10:$O118))/2,0)*0.9</f>
        <v>31560.3</v>
      </c>
      <c r="AG110" s="6">
        <f>ROUNDDOWN(('SPT-01'!$M118*'TABELA AUXILIAR'!$J$5+SUM('SPT-01'!$P$10:$P118))/2,0)*0.9</f>
        <v>36710.1</v>
      </c>
    </row>
    <row r="111" spans="10:33" x14ac:dyDescent="0.25">
      <c r="J111" s="1">
        <v>86.4</v>
      </c>
      <c r="K111" s="6">
        <f>ROUNDDOWN(('SPT-01'!$M146*'TABELA AUXILIAR'!$J$3+SUM('SPT-01'!$N$37:$N146))/2,0)*0.9</f>
        <v>34864.200000000004</v>
      </c>
      <c r="L111" s="6">
        <f>ROUNDDOWN(('SPT-01'!$M146*'TABELA AUXILIAR'!$J$4+SUM('SPT-01'!$O$37:$O146))/2,0)*0.9</f>
        <v>37954.800000000003</v>
      </c>
      <c r="M111" s="6">
        <f>ROUNDDOWN(('SPT-01'!$M146*'TABELA AUXILIAR'!$J$5+SUM('SPT-01'!$P$37:$P146))/2,0)*0.9</f>
        <v>44126.1</v>
      </c>
      <c r="N111" s="2"/>
      <c r="O111" s="8">
        <v>84.6</v>
      </c>
      <c r="P111" s="6">
        <f>ROUNDDOWN(('SPT-01'!$M143*'TABELA AUXILIAR'!$J$3+SUM('SPT-01'!$N$34:$N143))/2,0)*0.9</f>
        <v>34473.599999999999</v>
      </c>
      <c r="Q111" s="6">
        <f>ROUNDDOWN(('SPT-01'!$M143*'TABELA AUXILIAR'!$J$4+SUM('SPT-01'!$O$34:$O143))/2,0)*0.9</f>
        <v>37530</v>
      </c>
      <c r="R111" s="6">
        <f>ROUNDDOWN(('SPT-01'!$M143*'TABELA AUXILIAR'!$J$5+SUM('SPT-01'!$P$34:$P143))/2,0)*0.9</f>
        <v>43632</v>
      </c>
      <c r="T111" s="8">
        <v>79.8</v>
      </c>
      <c r="U111" s="6">
        <f>ROUNDDOWN(('SPT-01'!$M135*'TABELA AUXILIAR'!$J$3+SUM('SPT-01'!$N$26:$N135))/2,0)*0.9</f>
        <v>33103.800000000003</v>
      </c>
      <c r="V111" s="6">
        <f>ROUNDDOWN(('SPT-01'!$M135*'TABELA AUXILIAR'!$J$4+SUM('SPT-01'!$O$26:$O135))/2,0)*0.9</f>
        <v>36038.700000000004</v>
      </c>
      <c r="W111" s="6">
        <f>ROUNDDOWN(('SPT-01'!$M135*'TABELA AUXILIAR'!$J$5+SUM('SPT-01'!$P$26:$P135))/2,0)*0.9</f>
        <v>41901.300000000003</v>
      </c>
      <c r="Y111" s="8">
        <v>75</v>
      </c>
      <c r="Z111" s="6">
        <f>ROUNDDOWN(('SPT-01'!$M127*'TABELA AUXILIAR'!$J$3+SUM('SPT-01'!$N$18:$N127))/2,0)*0.9</f>
        <v>31362.3</v>
      </c>
      <c r="AA111" s="6">
        <f>ROUNDDOWN(('SPT-01'!$M127*'TABELA AUXILIAR'!$J$4+SUM('SPT-01'!$O$18:$O127))/2,0)*0.9</f>
        <v>34146</v>
      </c>
      <c r="AB111" s="6">
        <f>ROUNDDOWN(('SPT-01'!$M127*'TABELA AUXILIAR'!$J$5+SUM('SPT-01'!$P$18:$P127))/2,0)*0.9</f>
        <v>39707.1</v>
      </c>
      <c r="AD111" s="8">
        <v>70.199999999999903</v>
      </c>
      <c r="AE111" s="6">
        <f>ROUNDDOWN(('SPT-01'!$M119*'TABELA AUXILIAR'!$J$3+SUM('SPT-01'!$N$10:$N119))/2,0)*0.9</f>
        <v>29323.8</v>
      </c>
      <c r="AF111" s="6">
        <f>ROUNDDOWN(('SPT-01'!$M119*'TABELA AUXILIAR'!$J$4+SUM('SPT-01'!$O$10:$O119))/2,0)*0.9</f>
        <v>31930.2</v>
      </c>
      <c r="AG111" s="6">
        <f>ROUNDDOWN(('SPT-01'!$M119*'TABELA AUXILIAR'!$J$5+SUM('SPT-01'!$P$10:$P119))/2,0)*0.9</f>
        <v>37138.5</v>
      </c>
    </row>
    <row r="112" spans="10:33" x14ac:dyDescent="0.25">
      <c r="J112" s="1">
        <v>87</v>
      </c>
      <c r="K112" s="6">
        <f>ROUNDDOWN(('SPT-01'!$M147*'TABELA AUXILIAR'!$J$3+SUM('SPT-01'!$N$37:$N147))/2,0)*0.9</f>
        <v>35244.9</v>
      </c>
      <c r="L112" s="6">
        <f>ROUNDDOWN(('SPT-01'!$M147*'TABELA AUXILIAR'!$J$4+SUM('SPT-01'!$O$37:$O147))/2,0)*0.9</f>
        <v>38368.800000000003</v>
      </c>
      <c r="M112" s="6">
        <f>ROUNDDOWN(('SPT-01'!$M147*'TABELA AUXILIAR'!$J$5+SUM('SPT-01'!$P$37:$P147))/2,0)*0.9</f>
        <v>44604.9</v>
      </c>
      <c r="N112" s="2"/>
      <c r="O112" s="8">
        <v>85.2</v>
      </c>
      <c r="P112" s="6">
        <f>ROUNDDOWN(('SPT-01'!$M144*'TABELA AUXILIAR'!$J$3+SUM('SPT-01'!$N$34:$N144))/2,0)*0.9</f>
        <v>34850.700000000004</v>
      </c>
      <c r="Q112" s="6">
        <f>ROUNDDOWN(('SPT-01'!$M144*'TABELA AUXILIAR'!$J$4+SUM('SPT-01'!$O$34:$O144))/2,0)*0.9</f>
        <v>37938.6</v>
      </c>
      <c r="R112" s="6">
        <f>ROUNDDOWN(('SPT-01'!$M144*'TABELA AUXILIAR'!$J$5+SUM('SPT-01'!$P$34:$P144))/2,0)*0.9</f>
        <v>44105.4</v>
      </c>
      <c r="T112" s="8">
        <v>80.400000000000006</v>
      </c>
      <c r="U112" s="6">
        <f>ROUNDDOWN(('SPT-01'!$M136*'TABELA AUXILIAR'!$J$3+SUM('SPT-01'!$N$26:$N136))/2,0)*0.9</f>
        <v>33469.200000000004</v>
      </c>
      <c r="V112" s="6">
        <f>ROUNDDOWN(('SPT-01'!$M136*'TABELA AUXILIAR'!$J$4+SUM('SPT-01'!$O$26:$O136))/2,0)*0.9</f>
        <v>36435.599999999999</v>
      </c>
      <c r="W112" s="6">
        <f>ROUNDDOWN(('SPT-01'!$M136*'TABELA AUXILIAR'!$J$5+SUM('SPT-01'!$P$26:$P136))/2,0)*0.9</f>
        <v>42361.200000000004</v>
      </c>
      <c r="Y112" s="8">
        <v>75.599999999999994</v>
      </c>
      <c r="Z112" s="6">
        <f>ROUNDDOWN(('SPT-01'!$M128*'TABELA AUXILIAR'!$J$3+SUM('SPT-01'!$N$18:$N128))/2,0)*0.9</f>
        <v>31716</v>
      </c>
      <c r="AA112" s="6">
        <f>ROUNDDOWN(('SPT-01'!$M128*'TABELA AUXILIAR'!$J$4+SUM('SPT-01'!$O$18:$O128))/2,0)*0.9</f>
        <v>34530.300000000003</v>
      </c>
      <c r="AB112" s="6">
        <f>ROUNDDOWN(('SPT-01'!$M128*'TABELA AUXILIAR'!$J$5+SUM('SPT-01'!$P$18:$P128))/2,0)*0.9</f>
        <v>40151.700000000004</v>
      </c>
      <c r="AD112" s="8">
        <v>70.799999999999898</v>
      </c>
      <c r="AE112" s="6">
        <f>ROUNDDOWN(('SPT-01'!$M120*'TABELA AUXILIAR'!$J$3+SUM('SPT-01'!$N$10:$N120))/2,0)*0.9</f>
        <v>29665.8</v>
      </c>
      <c r="AF112" s="6">
        <f>ROUNDDOWN(('SPT-01'!$M120*'TABELA AUXILIAR'!$J$4+SUM('SPT-01'!$O$10:$O120))/2,0)*0.9</f>
        <v>32301</v>
      </c>
      <c r="AG112" s="6">
        <f>ROUNDDOWN(('SPT-01'!$M120*'TABELA AUXILIAR'!$J$5+SUM('SPT-01'!$P$10:$P120))/2,0)*0.9</f>
        <v>37568.700000000004</v>
      </c>
    </row>
    <row r="113" spans="10:33" x14ac:dyDescent="0.25">
      <c r="J113" s="1">
        <v>87.6</v>
      </c>
      <c r="K113" s="6">
        <f>ROUNDDOWN(('SPT-01'!$M148*'TABELA AUXILIAR'!$J$3+SUM('SPT-01'!$N$37:$N148))/2,0)*0.9</f>
        <v>35627.4</v>
      </c>
      <c r="L113" s="6">
        <f>ROUNDDOWN(('SPT-01'!$M148*'TABELA AUXILIAR'!$J$4+SUM('SPT-01'!$O$37:$O148))/2,0)*0.9</f>
        <v>38784.6</v>
      </c>
      <c r="M113" s="6">
        <f>ROUNDDOWN(('SPT-01'!$M148*'TABELA AUXILIAR'!$J$5+SUM('SPT-01'!$P$37:$P148))/2,0)*0.9</f>
        <v>45085.5</v>
      </c>
      <c r="N113" s="2"/>
      <c r="O113" s="8">
        <v>85.8</v>
      </c>
      <c r="P113" s="6">
        <f>ROUNDDOWN(('SPT-01'!$M145*'TABELA AUXILIAR'!$J$3+SUM('SPT-01'!$N$34:$N145))/2,0)*0.9</f>
        <v>35228.700000000004</v>
      </c>
      <c r="Q113" s="6">
        <f>ROUNDDOWN(('SPT-01'!$M145*'TABELA AUXILIAR'!$J$4+SUM('SPT-01'!$O$34:$O145))/2,0)*0.9</f>
        <v>38349.9</v>
      </c>
      <c r="R113" s="6">
        <f>ROUNDDOWN(('SPT-01'!$M145*'TABELA AUXILIAR'!$J$5+SUM('SPT-01'!$P$34:$P145))/2,0)*0.9</f>
        <v>44580.6</v>
      </c>
      <c r="T113" s="8">
        <v>81</v>
      </c>
      <c r="U113" s="6">
        <f>ROUNDDOWN(('SPT-01'!$M137*'TABELA AUXILIAR'!$J$3+SUM('SPT-01'!$N$26:$N137))/2,0)*0.9</f>
        <v>33835.5</v>
      </c>
      <c r="V113" s="6">
        <f>ROUNDDOWN(('SPT-01'!$M137*'TABELA AUXILIAR'!$J$4+SUM('SPT-01'!$O$26:$O137))/2,0)*0.9</f>
        <v>36834.300000000003</v>
      </c>
      <c r="W113" s="6">
        <f>ROUNDDOWN(('SPT-01'!$M137*'TABELA AUXILIAR'!$J$5+SUM('SPT-01'!$P$26:$P137))/2,0)*0.9</f>
        <v>42822</v>
      </c>
      <c r="Y113" s="8">
        <v>76.2</v>
      </c>
      <c r="Z113" s="6">
        <f>ROUNDDOWN(('SPT-01'!$M129*'TABELA AUXILIAR'!$J$3+SUM('SPT-01'!$N$18:$N129))/2,0)*0.9</f>
        <v>32071.5</v>
      </c>
      <c r="AA113" s="6">
        <f>ROUNDDOWN(('SPT-01'!$M129*'TABELA AUXILIAR'!$J$4+SUM('SPT-01'!$O$18:$O129))/2,0)*0.9</f>
        <v>34916.400000000001</v>
      </c>
      <c r="AB113" s="6">
        <f>ROUNDDOWN(('SPT-01'!$M129*'TABELA AUXILIAR'!$J$5+SUM('SPT-01'!$P$18:$P129))/2,0)*0.9</f>
        <v>40598.1</v>
      </c>
      <c r="AD113" s="8">
        <v>71.399999999999906</v>
      </c>
      <c r="AE113" s="6">
        <f>ROUNDDOWN(('SPT-01'!$M121*'TABELA AUXILIAR'!$J$3+SUM('SPT-01'!$N$10:$N121))/2,0)*0.9</f>
        <v>30008.7</v>
      </c>
      <c r="AF113" s="6">
        <f>ROUNDDOWN(('SPT-01'!$M121*'TABELA AUXILIAR'!$J$4+SUM('SPT-01'!$O$10:$O121))/2,0)*0.9</f>
        <v>32674.5</v>
      </c>
      <c r="AG113" s="6">
        <f>ROUNDDOWN(('SPT-01'!$M121*'TABELA AUXILIAR'!$J$5+SUM('SPT-01'!$P$10:$P121))/2,0)*0.9</f>
        <v>38000.700000000004</v>
      </c>
    </row>
    <row r="114" spans="10:33" x14ac:dyDescent="0.25">
      <c r="J114" s="1">
        <v>88.2</v>
      </c>
      <c r="K114" s="6">
        <f>ROUNDDOWN(('SPT-01'!$M149*'TABELA AUXILIAR'!$J$3+SUM('SPT-01'!$N$37:$N149))/2,0)*0.9</f>
        <v>36011.700000000004</v>
      </c>
      <c r="L114" s="6">
        <f>ROUNDDOWN(('SPT-01'!$M149*'TABELA AUXILIAR'!$J$4+SUM('SPT-01'!$O$37:$O149))/2,0)*0.9</f>
        <v>39201.300000000003</v>
      </c>
      <c r="M114" s="6">
        <f>ROUNDDOWN(('SPT-01'!$M149*'TABELA AUXILIAR'!$J$5+SUM('SPT-01'!$P$37:$P149))/2,0)*0.9</f>
        <v>45568.800000000003</v>
      </c>
      <c r="N114" s="2"/>
      <c r="O114" s="8">
        <v>86.4</v>
      </c>
      <c r="P114" s="6">
        <f>ROUNDDOWN(('SPT-01'!$M146*'TABELA AUXILIAR'!$J$3+SUM('SPT-01'!$N$34:$N146))/2,0)*0.9</f>
        <v>35608.5</v>
      </c>
      <c r="Q114" s="6">
        <f>ROUNDDOWN(('SPT-01'!$M146*'TABELA AUXILIAR'!$J$4+SUM('SPT-01'!$O$34:$O146))/2,0)*0.9</f>
        <v>38762.1</v>
      </c>
      <c r="R114" s="6">
        <f>ROUNDDOWN(('SPT-01'!$M146*'TABELA AUXILIAR'!$J$5+SUM('SPT-01'!$P$34:$P146))/2,0)*0.9</f>
        <v>45058.5</v>
      </c>
      <c r="T114" s="8">
        <v>81.599999999999994</v>
      </c>
      <c r="U114" s="6">
        <f>ROUNDDOWN(('SPT-01'!$M138*'TABELA AUXILIAR'!$J$3+SUM('SPT-01'!$N$26:$N138))/2,0)*0.9</f>
        <v>34203.599999999999</v>
      </c>
      <c r="V114" s="6">
        <f>ROUNDDOWN(('SPT-01'!$M138*'TABELA AUXILIAR'!$J$4+SUM('SPT-01'!$O$26:$O138))/2,0)*0.9</f>
        <v>37234.800000000003</v>
      </c>
      <c r="W114" s="6">
        <f>ROUNDDOWN(('SPT-01'!$M138*'TABELA AUXILIAR'!$J$5+SUM('SPT-01'!$P$26:$P138))/2,0)*0.9</f>
        <v>43285.5</v>
      </c>
      <c r="Y114" s="8">
        <v>76.8</v>
      </c>
      <c r="Z114" s="6">
        <f>ROUNDDOWN(('SPT-01'!$M130*'TABELA AUXILIAR'!$J$3+SUM('SPT-01'!$N$18:$N130))/2,0)*0.9</f>
        <v>32428.799999999999</v>
      </c>
      <c r="AA114" s="6">
        <f>ROUNDDOWN(('SPT-01'!$M130*'TABELA AUXILIAR'!$J$4+SUM('SPT-01'!$O$18:$O130))/2,0)*0.9</f>
        <v>35304.300000000003</v>
      </c>
      <c r="AB114" s="6">
        <f>ROUNDDOWN(('SPT-01'!$M130*'TABELA AUXILIAR'!$J$5+SUM('SPT-01'!$P$18:$P130))/2,0)*0.9</f>
        <v>41047.200000000004</v>
      </c>
      <c r="AD114" s="8">
        <v>71.999999999999901</v>
      </c>
      <c r="AE114" s="6">
        <f>ROUNDDOWN(('SPT-01'!$M122*'TABELA AUXILIAR'!$J$3+SUM('SPT-01'!$N$10:$N122))/2,0)*0.9</f>
        <v>30354.3</v>
      </c>
      <c r="AF114" s="6">
        <f>ROUNDDOWN(('SPT-01'!$M122*'TABELA AUXILIAR'!$J$4+SUM('SPT-01'!$O$10:$O122))/2,0)*0.9</f>
        <v>33048.9</v>
      </c>
      <c r="AG114" s="6">
        <f>ROUNDDOWN(('SPT-01'!$M122*'TABELA AUXILIAR'!$J$5+SUM('SPT-01'!$P$10:$P122))/2,0)*0.9</f>
        <v>38434.5</v>
      </c>
    </row>
    <row r="115" spans="10:33" x14ac:dyDescent="0.25">
      <c r="J115" s="1">
        <v>88.8</v>
      </c>
      <c r="K115" s="6">
        <f>ROUNDDOWN(('SPT-01'!$M150*'TABELA AUXILIAR'!$J$3+SUM('SPT-01'!$N$37:$N150))/2,0)*0.9</f>
        <v>36396.9</v>
      </c>
      <c r="L115" s="6">
        <f>ROUNDDOWN(('SPT-01'!$M150*'TABELA AUXILIAR'!$J$4+SUM('SPT-01'!$O$37:$O150))/2,0)*0.9</f>
        <v>39619.800000000003</v>
      </c>
      <c r="M115" s="6">
        <f>ROUNDDOWN(('SPT-01'!$M150*'TABELA AUXILIAR'!$J$5+SUM('SPT-01'!$P$37:$P150))/2,0)*0.9</f>
        <v>46053</v>
      </c>
      <c r="N115" s="2"/>
      <c r="O115" s="8">
        <v>87</v>
      </c>
      <c r="P115" s="6">
        <f>ROUNDDOWN(('SPT-01'!$M147*'TABELA AUXILIAR'!$J$3+SUM('SPT-01'!$N$34:$N147))/2,0)*0.9</f>
        <v>35989.200000000004</v>
      </c>
      <c r="Q115" s="6">
        <f>ROUNDDOWN(('SPT-01'!$M147*'TABELA AUXILIAR'!$J$4+SUM('SPT-01'!$O$34:$O147))/2,0)*0.9</f>
        <v>39176.1</v>
      </c>
      <c r="R115" s="6">
        <f>ROUNDDOWN(('SPT-01'!$M147*'TABELA AUXILIAR'!$J$5+SUM('SPT-01'!$P$34:$P147))/2,0)*0.9</f>
        <v>45537.3</v>
      </c>
      <c r="T115" s="8">
        <v>82.2</v>
      </c>
      <c r="U115" s="6">
        <f>ROUNDDOWN(('SPT-01'!$M139*'TABELA AUXILIAR'!$J$3+SUM('SPT-01'!$N$26:$N139))/2,0)*0.9</f>
        <v>34573.5</v>
      </c>
      <c r="V115" s="6">
        <f>ROUNDDOWN(('SPT-01'!$M139*'TABELA AUXILIAR'!$J$4+SUM('SPT-01'!$O$26:$O139))/2,0)*0.9</f>
        <v>37636.200000000004</v>
      </c>
      <c r="W115" s="6">
        <f>ROUNDDOWN(('SPT-01'!$M139*'TABELA AUXILIAR'!$J$5+SUM('SPT-01'!$P$26:$P139))/2,0)*0.9</f>
        <v>43749.9</v>
      </c>
      <c r="Y115" s="8">
        <v>77.400000000000006</v>
      </c>
      <c r="Z115" s="6">
        <f>ROUNDDOWN(('SPT-01'!$M131*'TABELA AUXILIAR'!$J$3+SUM('SPT-01'!$N$18:$N131))/2,0)*0.9</f>
        <v>32786.1</v>
      </c>
      <c r="AA115" s="6">
        <f>ROUNDDOWN(('SPT-01'!$M131*'TABELA AUXILIAR'!$J$4+SUM('SPT-01'!$O$18:$O131))/2,0)*0.9</f>
        <v>35693.1</v>
      </c>
      <c r="AB115" s="6">
        <f>ROUNDDOWN(('SPT-01'!$M131*'TABELA AUXILIAR'!$J$5+SUM('SPT-01'!$P$18:$P131))/2,0)*0.9</f>
        <v>41497.200000000004</v>
      </c>
      <c r="AD115" s="8">
        <v>72.599999999999895</v>
      </c>
      <c r="AE115" s="6">
        <f>ROUNDDOWN(('SPT-01'!$M123*'TABELA AUXILIAR'!$J$3+SUM('SPT-01'!$N$10:$N123))/2,0)*0.9</f>
        <v>30699.9</v>
      </c>
      <c r="AF115" s="6">
        <f>ROUNDDOWN(('SPT-01'!$M123*'TABELA AUXILIAR'!$J$4+SUM('SPT-01'!$O$10:$O123))/2,0)*0.9</f>
        <v>33425.1</v>
      </c>
      <c r="AG115" s="6">
        <f>ROUNDDOWN(('SPT-01'!$M123*'TABELA AUXILIAR'!$J$5+SUM('SPT-01'!$P$10:$P123))/2,0)*0.9</f>
        <v>38870.1</v>
      </c>
    </row>
    <row r="116" spans="10:33" x14ac:dyDescent="0.25">
      <c r="J116" s="1">
        <v>89.4</v>
      </c>
      <c r="K116" s="6">
        <f>ROUNDDOWN(('SPT-01'!$M151*'TABELA AUXILIAR'!$J$3+SUM('SPT-01'!$N$37:$N151))/2,0)*0.9</f>
        <v>36783.9</v>
      </c>
      <c r="L116" s="6">
        <f>ROUNDDOWN(('SPT-01'!$M151*'TABELA AUXILIAR'!$J$4+SUM('SPT-01'!$O$37:$O151))/2,0)*0.9</f>
        <v>40040.1</v>
      </c>
      <c r="M116" s="6">
        <f>ROUNDDOWN(('SPT-01'!$M151*'TABELA AUXILIAR'!$J$5+SUM('SPT-01'!$P$37:$P151))/2,0)*0.9</f>
        <v>46539</v>
      </c>
      <c r="N116" s="2"/>
      <c r="O116" s="8">
        <v>87.6</v>
      </c>
      <c r="P116" s="6">
        <f>ROUNDDOWN(('SPT-01'!$M148*'TABELA AUXILIAR'!$J$3+SUM('SPT-01'!$N$34:$N148))/2,0)*0.9</f>
        <v>36371.700000000004</v>
      </c>
      <c r="Q116" s="6">
        <f>ROUNDDOWN(('SPT-01'!$M148*'TABELA AUXILIAR'!$J$4+SUM('SPT-01'!$O$34:$O148))/2,0)*0.9</f>
        <v>39591.9</v>
      </c>
      <c r="R116" s="6">
        <f>ROUNDDOWN(('SPT-01'!$M148*'TABELA AUXILIAR'!$J$5+SUM('SPT-01'!$P$34:$P148))/2,0)*0.9</f>
        <v>46017.9</v>
      </c>
      <c r="T116" s="8">
        <v>82.8</v>
      </c>
      <c r="U116" s="6">
        <f>ROUNDDOWN(('SPT-01'!$M140*'TABELA AUXILIAR'!$J$3+SUM('SPT-01'!$N$26:$N140))/2,0)*0.9</f>
        <v>34945.200000000004</v>
      </c>
      <c r="V116" s="6">
        <f>ROUNDDOWN(('SPT-01'!$M140*'TABELA AUXILIAR'!$J$4+SUM('SPT-01'!$O$26:$O140))/2,0)*0.9</f>
        <v>38039.4</v>
      </c>
      <c r="W116" s="6">
        <f>ROUNDDOWN(('SPT-01'!$M140*'TABELA AUXILIAR'!$J$5+SUM('SPT-01'!$P$26:$P140))/2,0)*0.9</f>
        <v>44217</v>
      </c>
      <c r="Y116" s="8">
        <v>78</v>
      </c>
      <c r="Z116" s="6">
        <f>ROUNDDOWN(('SPT-01'!$M132*'TABELA AUXILIAR'!$J$3+SUM('SPT-01'!$N$18:$N132))/2,0)*0.9</f>
        <v>33146.1</v>
      </c>
      <c r="AA116" s="6">
        <f>ROUNDDOWN(('SPT-01'!$M132*'TABELA AUXILIAR'!$J$4+SUM('SPT-01'!$O$18:$O132))/2,0)*0.9</f>
        <v>36083.700000000004</v>
      </c>
      <c r="AB116" s="6">
        <f>ROUNDDOWN(('SPT-01'!$M132*'TABELA AUXILIAR'!$J$5+SUM('SPT-01'!$P$18:$P132))/2,0)*0.9</f>
        <v>41949.9</v>
      </c>
      <c r="AD116" s="8">
        <v>73.199999999999903</v>
      </c>
      <c r="AE116" s="6">
        <f>ROUNDDOWN(('SPT-01'!$M124*'TABELA AUXILIAR'!$J$3+SUM('SPT-01'!$N$10:$N124))/2,0)*0.9</f>
        <v>31048.2</v>
      </c>
      <c r="AF116" s="6">
        <f>ROUNDDOWN(('SPT-01'!$M124*'TABELA AUXILIAR'!$J$4+SUM('SPT-01'!$O$10:$O124))/2,0)*0.9</f>
        <v>33803.1</v>
      </c>
      <c r="AG116" s="6">
        <f>ROUNDDOWN(('SPT-01'!$M124*'TABELA AUXILIAR'!$J$5+SUM('SPT-01'!$P$10:$P124))/2,0)*0.9</f>
        <v>39307.5</v>
      </c>
    </row>
    <row r="117" spans="10:33" x14ac:dyDescent="0.25">
      <c r="J117" s="1">
        <v>90</v>
      </c>
      <c r="K117" s="6">
        <f>ROUNDDOWN(('SPT-01'!$M152*'TABELA AUXILIAR'!$J$3+SUM('SPT-01'!$N$37:$N152))/2,0)*0.9</f>
        <v>37171.800000000003</v>
      </c>
      <c r="L117" s="6">
        <f>ROUNDDOWN(('SPT-01'!$M152*'TABELA AUXILIAR'!$J$4+SUM('SPT-01'!$O$37:$O152))/2,0)*0.9</f>
        <v>40461.300000000003</v>
      </c>
      <c r="M117" s="6">
        <f>ROUNDDOWN(('SPT-01'!$M152*'TABELA AUXILIAR'!$J$5+SUM('SPT-01'!$P$37:$P152))/2,0)*0.9</f>
        <v>47026.8</v>
      </c>
      <c r="N117" s="2"/>
      <c r="O117" s="8">
        <v>88.2</v>
      </c>
      <c r="P117" s="6">
        <f>ROUNDDOWN(('SPT-01'!$M149*'TABELA AUXILIAR'!$J$3+SUM('SPT-01'!$N$34:$N149))/2,0)*0.9</f>
        <v>36756</v>
      </c>
      <c r="Q117" s="6">
        <f>ROUNDDOWN(('SPT-01'!$M149*'TABELA AUXILIAR'!$J$4+SUM('SPT-01'!$O$34:$O149))/2,0)*0.9</f>
        <v>40008.6</v>
      </c>
      <c r="R117" s="6">
        <f>ROUNDDOWN(('SPT-01'!$M149*'TABELA AUXILIAR'!$J$5+SUM('SPT-01'!$P$34:$P149))/2,0)*0.9</f>
        <v>46500.3</v>
      </c>
      <c r="T117" s="8">
        <v>83.4</v>
      </c>
      <c r="U117" s="6">
        <f>ROUNDDOWN(('SPT-01'!$M141*'TABELA AUXILIAR'!$J$3+SUM('SPT-01'!$N$26:$N141))/2,0)*0.9</f>
        <v>35317.800000000003</v>
      </c>
      <c r="V117" s="6">
        <f>ROUNDDOWN(('SPT-01'!$M141*'TABELA AUXILIAR'!$J$4+SUM('SPT-01'!$O$26:$O141))/2,0)*0.9</f>
        <v>38444.400000000001</v>
      </c>
      <c r="W117" s="6">
        <f>ROUNDDOWN(('SPT-01'!$M141*'TABELA AUXILIAR'!$J$5+SUM('SPT-01'!$P$26:$P141))/2,0)*0.9</f>
        <v>44685</v>
      </c>
      <c r="Y117" s="8">
        <v>78.599999999999994</v>
      </c>
      <c r="Z117" s="6">
        <f>ROUNDDOWN(('SPT-01'!$M133*'TABELA AUXILIAR'!$J$3+SUM('SPT-01'!$N$18:$N133))/2,0)*0.9</f>
        <v>33507</v>
      </c>
      <c r="AA117" s="6">
        <f>ROUNDDOWN(('SPT-01'!$M133*'TABELA AUXILIAR'!$J$4+SUM('SPT-01'!$O$18:$O133))/2,0)*0.9</f>
        <v>36476.1</v>
      </c>
      <c r="AB117" s="6">
        <f>ROUNDDOWN(('SPT-01'!$M133*'TABELA AUXILIAR'!$J$5+SUM('SPT-01'!$P$18:$P133))/2,0)*0.9</f>
        <v>42403.5</v>
      </c>
      <c r="AD117" s="8">
        <v>73.799999999999898</v>
      </c>
      <c r="AE117" s="6">
        <f>ROUNDDOWN(('SPT-01'!$M125*'TABELA AUXILIAR'!$J$3+SUM('SPT-01'!$N$10:$N125))/2,0)*0.9</f>
        <v>31397.4</v>
      </c>
      <c r="AF117" s="6">
        <f>ROUNDDOWN(('SPT-01'!$M125*'TABELA AUXILIAR'!$J$4+SUM('SPT-01'!$O$10:$O125))/2,0)*0.9</f>
        <v>34182.9</v>
      </c>
      <c r="AG117" s="6">
        <f>ROUNDDOWN(('SPT-01'!$M125*'TABELA AUXILIAR'!$J$5+SUM('SPT-01'!$P$10:$P125))/2,0)*0.9</f>
        <v>39746.700000000004</v>
      </c>
    </row>
    <row r="118" spans="10:33" x14ac:dyDescent="0.25">
      <c r="J118" s="1">
        <v>90.6</v>
      </c>
      <c r="K118" s="6">
        <f>ROUNDDOWN(('SPT-01'!$M153*'TABELA AUXILIAR'!$J$3+SUM('SPT-01'!$N$37:$N153))/2,0)*0.9</f>
        <v>37561.5</v>
      </c>
      <c r="L118" s="6">
        <f>ROUNDDOWN(('SPT-01'!$M153*'TABELA AUXILIAR'!$J$4+SUM('SPT-01'!$O$37:$O153))/2,0)*0.9</f>
        <v>40884.300000000003</v>
      </c>
      <c r="M118" s="6">
        <f>ROUNDDOWN(('SPT-01'!$M153*'TABELA AUXILIAR'!$J$5+SUM('SPT-01'!$P$37:$P153))/2,0)*0.9</f>
        <v>47516.4</v>
      </c>
      <c r="N118" s="2"/>
      <c r="O118" s="8">
        <v>88.8</v>
      </c>
      <c r="P118" s="6">
        <f>ROUNDDOWN(('SPT-01'!$M150*'TABELA AUXILIAR'!$J$3+SUM('SPT-01'!$N$34:$N150))/2,0)*0.9</f>
        <v>37141.200000000004</v>
      </c>
      <c r="Q118" s="6">
        <f>ROUNDDOWN(('SPT-01'!$M150*'TABELA AUXILIAR'!$J$4+SUM('SPT-01'!$O$34:$O150))/2,0)*0.9</f>
        <v>40427.1</v>
      </c>
      <c r="R118" s="6">
        <f>ROUNDDOWN(('SPT-01'!$M150*'TABELA AUXILIAR'!$J$5+SUM('SPT-01'!$P$34:$P150))/2,0)*0.9</f>
        <v>46985.4</v>
      </c>
      <c r="T118" s="8">
        <v>84</v>
      </c>
      <c r="U118" s="6">
        <f>ROUNDDOWN(('SPT-01'!$M142*'TABELA AUXILIAR'!$J$3+SUM('SPT-01'!$N$26:$N142))/2,0)*0.9</f>
        <v>35691.300000000003</v>
      </c>
      <c r="V118" s="6">
        <f>ROUNDDOWN(('SPT-01'!$M142*'TABELA AUXILIAR'!$J$4+SUM('SPT-01'!$O$26:$O142))/2,0)*0.9</f>
        <v>38850.300000000003</v>
      </c>
      <c r="W118" s="6">
        <f>ROUNDDOWN(('SPT-01'!$M142*'TABELA AUXILIAR'!$J$5+SUM('SPT-01'!$P$26:$P142))/2,0)*0.9</f>
        <v>45155.700000000004</v>
      </c>
      <c r="Y118" s="8">
        <v>79.2</v>
      </c>
      <c r="Z118" s="6">
        <f>ROUNDDOWN(('SPT-01'!$M134*'TABELA AUXILIAR'!$J$3+SUM('SPT-01'!$N$18:$N134))/2,0)*0.9</f>
        <v>33869.700000000004</v>
      </c>
      <c r="AA118" s="6">
        <f>ROUNDDOWN(('SPT-01'!$M134*'TABELA AUXILIAR'!$J$4+SUM('SPT-01'!$O$18:$O134))/2,0)*0.9</f>
        <v>36870.300000000003</v>
      </c>
      <c r="AB118" s="6">
        <f>ROUNDDOWN(('SPT-01'!$M134*'TABELA AUXILIAR'!$J$5+SUM('SPT-01'!$P$18:$P134))/2,0)*0.9</f>
        <v>42859.8</v>
      </c>
      <c r="AD118" s="8">
        <v>74.400000000000006</v>
      </c>
      <c r="AE118" s="6">
        <f>ROUNDDOWN(('SPT-01'!$M126*'TABELA AUXILIAR'!$J$3+SUM('SPT-01'!$N$10:$N126))/2,0)*0.9</f>
        <v>31748.400000000001</v>
      </c>
      <c r="AF118" s="6">
        <f>ROUNDDOWN(('SPT-01'!$M126*'TABELA AUXILIAR'!$J$4+SUM('SPT-01'!$O$10:$O126))/2,0)*0.9</f>
        <v>34564.5</v>
      </c>
      <c r="AG118" s="6">
        <f>ROUNDDOWN(('SPT-01'!$M126*'TABELA AUXILIAR'!$J$5+SUM('SPT-01'!$P$10:$P126))/2,0)*0.9</f>
        <v>40187.700000000004</v>
      </c>
    </row>
    <row r="119" spans="10:33" x14ac:dyDescent="0.25">
      <c r="J119" s="1">
        <v>91.2</v>
      </c>
      <c r="K119" s="6">
        <f>ROUNDDOWN(('SPT-01'!$M154*'TABELA AUXILIAR'!$J$3+SUM('SPT-01'!$N$37:$N154))/2,0)*0.9</f>
        <v>37952.1</v>
      </c>
      <c r="L119" s="6">
        <f>ROUNDDOWN(('SPT-01'!$M154*'TABELA AUXILIAR'!$J$4+SUM('SPT-01'!$O$37:$O154))/2,0)*0.9</f>
        <v>41309.1</v>
      </c>
      <c r="M119" s="6">
        <f>ROUNDDOWN(('SPT-01'!$M154*'TABELA AUXILIAR'!$J$5+SUM('SPT-01'!$P$37:$P154))/2,0)*0.9</f>
        <v>48007.8</v>
      </c>
      <c r="N119" s="2"/>
      <c r="O119" s="8">
        <v>89.4</v>
      </c>
      <c r="P119" s="6">
        <f>ROUNDDOWN(('SPT-01'!$M151*'TABELA AUXILIAR'!$J$3+SUM('SPT-01'!$N$34:$N151))/2,0)*0.9</f>
        <v>37528.200000000004</v>
      </c>
      <c r="Q119" s="6">
        <f>ROUNDDOWN(('SPT-01'!$M151*'TABELA AUXILIAR'!$J$4+SUM('SPT-01'!$O$34:$O151))/2,0)*0.9</f>
        <v>40847.4</v>
      </c>
      <c r="R119" s="6">
        <f>ROUNDDOWN(('SPT-01'!$M151*'TABELA AUXILIAR'!$J$5+SUM('SPT-01'!$P$34:$P151))/2,0)*0.9</f>
        <v>47471.4</v>
      </c>
      <c r="T119" s="8">
        <v>84.6</v>
      </c>
      <c r="U119" s="6">
        <f>ROUNDDOWN(('SPT-01'!$M143*'TABELA AUXILIAR'!$J$3+SUM('SPT-01'!$N$26:$N143))/2,0)*0.9</f>
        <v>36066.6</v>
      </c>
      <c r="V119" s="6">
        <f>ROUNDDOWN(('SPT-01'!$M143*'TABELA AUXILIAR'!$J$4+SUM('SPT-01'!$O$26:$O143))/2,0)*0.9</f>
        <v>39258.9</v>
      </c>
      <c r="W119" s="6">
        <f>ROUNDDOWN(('SPT-01'!$M143*'TABELA AUXILIAR'!$J$5+SUM('SPT-01'!$P$26:$P143))/2,0)*0.9</f>
        <v>45627.3</v>
      </c>
      <c r="Y119" s="8">
        <v>79.8</v>
      </c>
      <c r="Z119" s="6">
        <f>ROUNDDOWN(('SPT-01'!$M135*'TABELA AUXILIAR'!$J$3+SUM('SPT-01'!$N$18:$N135))/2,0)*0.9</f>
        <v>34234.200000000004</v>
      </c>
      <c r="AA119" s="6">
        <f>ROUNDDOWN(('SPT-01'!$M135*'TABELA AUXILIAR'!$J$4+SUM('SPT-01'!$O$18:$O135))/2,0)*0.9</f>
        <v>37265.4</v>
      </c>
      <c r="AB119" s="6">
        <f>ROUNDDOWN(('SPT-01'!$M135*'TABELA AUXILIAR'!$J$5+SUM('SPT-01'!$P$18:$P135))/2,0)*0.9</f>
        <v>43317</v>
      </c>
      <c r="AD119" s="8">
        <v>75</v>
      </c>
      <c r="AE119" s="6">
        <f>ROUNDDOWN(('SPT-01'!$M127*'TABELA AUXILIAR'!$J$3+SUM('SPT-01'!$N$10:$N127))/2,0)*0.9</f>
        <v>32100.3</v>
      </c>
      <c r="AF119" s="6">
        <f>ROUNDDOWN(('SPT-01'!$M127*'TABELA AUXILIAR'!$J$4+SUM('SPT-01'!$O$10:$O127))/2,0)*0.9</f>
        <v>34947</v>
      </c>
      <c r="AG119" s="6">
        <f>ROUNDDOWN(('SPT-01'!$M127*'TABELA AUXILIAR'!$J$5+SUM('SPT-01'!$P$10:$P127))/2,0)*0.9</f>
        <v>40631.4</v>
      </c>
    </row>
    <row r="120" spans="10:33" x14ac:dyDescent="0.25">
      <c r="J120" s="1">
        <v>91.8</v>
      </c>
      <c r="K120" s="6">
        <f>ROUNDDOWN(('SPT-01'!$M155*'TABELA AUXILIAR'!$J$3+SUM('SPT-01'!$N$37:$N155))/2,0)*0.9</f>
        <v>38344.5</v>
      </c>
      <c r="L120" s="6">
        <f>ROUNDDOWN(('SPT-01'!$M155*'TABELA AUXILIAR'!$J$4+SUM('SPT-01'!$O$37:$O155))/2,0)*0.9</f>
        <v>41734.800000000003</v>
      </c>
      <c r="M120" s="6">
        <f>ROUNDDOWN(('SPT-01'!$M155*'TABELA AUXILIAR'!$J$5+SUM('SPT-01'!$P$37:$P155))/2,0)*0.9</f>
        <v>48500.1</v>
      </c>
      <c r="N120" s="2"/>
      <c r="O120" s="8">
        <v>90</v>
      </c>
      <c r="P120" s="6">
        <f>ROUNDDOWN(('SPT-01'!$M152*'TABELA AUXILIAR'!$J$3+SUM('SPT-01'!$N$34:$N152))/2,0)*0.9</f>
        <v>37916.1</v>
      </c>
      <c r="Q120" s="6">
        <f>ROUNDDOWN(('SPT-01'!$M152*'TABELA AUXILIAR'!$J$4+SUM('SPT-01'!$O$34:$O152))/2,0)*0.9</f>
        <v>41268.6</v>
      </c>
      <c r="R120" s="6">
        <f>ROUNDDOWN(('SPT-01'!$M152*'TABELA AUXILIAR'!$J$5+SUM('SPT-01'!$P$34:$P152))/2,0)*0.9</f>
        <v>47959.200000000004</v>
      </c>
      <c r="T120" s="8">
        <v>85.2</v>
      </c>
      <c r="U120" s="6">
        <f>ROUNDDOWN(('SPT-01'!$M144*'TABELA AUXILIAR'!$J$3+SUM('SPT-01'!$N$26:$N144))/2,0)*0.9</f>
        <v>36443.700000000004</v>
      </c>
      <c r="V120" s="6">
        <f>ROUNDDOWN(('SPT-01'!$M144*'TABELA AUXILIAR'!$J$4+SUM('SPT-01'!$O$26:$O144))/2,0)*0.9</f>
        <v>39668.400000000001</v>
      </c>
      <c r="W120" s="6">
        <f>ROUNDDOWN(('SPT-01'!$M144*'TABELA AUXILIAR'!$J$5+SUM('SPT-01'!$P$26:$P144))/2,0)*0.9</f>
        <v>46101.599999999999</v>
      </c>
      <c r="Y120" s="8">
        <v>80.400000000000006</v>
      </c>
      <c r="Z120" s="6">
        <f>ROUNDDOWN(('SPT-01'!$M136*'TABELA AUXILIAR'!$J$3+SUM('SPT-01'!$N$18:$N136))/2,0)*0.9</f>
        <v>34599.599999999999</v>
      </c>
      <c r="AA120" s="6">
        <f>ROUNDDOWN(('SPT-01'!$M136*'TABELA AUXILIAR'!$J$4+SUM('SPT-01'!$O$18:$O136))/2,0)*0.9</f>
        <v>37662.300000000003</v>
      </c>
      <c r="AB120" s="6">
        <f>ROUNDDOWN(('SPT-01'!$M136*'TABELA AUXILIAR'!$J$5+SUM('SPT-01'!$P$18:$P136))/2,0)*0.9</f>
        <v>43776.9</v>
      </c>
      <c r="AD120" s="8">
        <v>75.599999999999994</v>
      </c>
      <c r="AE120" s="6">
        <f>ROUNDDOWN(('SPT-01'!$M128*'TABELA AUXILIAR'!$J$3+SUM('SPT-01'!$N$10:$N128))/2,0)*0.9</f>
        <v>32454</v>
      </c>
      <c r="AF120" s="6">
        <f>ROUNDDOWN(('SPT-01'!$M128*'TABELA AUXILIAR'!$J$4+SUM('SPT-01'!$O$10:$O128))/2,0)*0.9</f>
        <v>35331.300000000003</v>
      </c>
      <c r="AG120" s="6">
        <f>ROUNDDOWN(('SPT-01'!$M128*'TABELA AUXILIAR'!$J$5+SUM('SPT-01'!$P$10:$P128))/2,0)*0.9</f>
        <v>41076</v>
      </c>
    </row>
    <row r="121" spans="10:33" x14ac:dyDescent="0.25">
      <c r="J121" s="1">
        <v>92.4</v>
      </c>
      <c r="K121" s="6">
        <f>ROUNDDOWN(('SPT-01'!$M156*'TABELA AUXILIAR'!$J$3+SUM('SPT-01'!$N$37:$N156))/2,0)*0.9</f>
        <v>38737.800000000003</v>
      </c>
      <c r="L121" s="6">
        <f>ROUNDDOWN(('SPT-01'!$M156*'TABELA AUXILIAR'!$J$4+SUM('SPT-01'!$O$37:$O156))/2,0)*0.9</f>
        <v>42162.3</v>
      </c>
      <c r="M121" s="6">
        <f>ROUNDDOWN(('SPT-01'!$M156*'TABELA AUXILIAR'!$J$5+SUM('SPT-01'!$P$37:$P156))/2,0)*0.9</f>
        <v>48995.1</v>
      </c>
      <c r="N121" s="2"/>
      <c r="O121" s="8">
        <v>90.6</v>
      </c>
      <c r="P121" s="6">
        <f>ROUNDDOWN(('SPT-01'!$M153*'TABELA AUXILIAR'!$J$3+SUM('SPT-01'!$N$34:$N153))/2,0)*0.9</f>
        <v>38305.800000000003</v>
      </c>
      <c r="Q121" s="6">
        <f>ROUNDDOWN(('SPT-01'!$M153*'TABELA AUXILIAR'!$J$4+SUM('SPT-01'!$O$34:$O153))/2,0)*0.9</f>
        <v>41691.599999999999</v>
      </c>
      <c r="R121" s="6">
        <f>ROUNDDOWN(('SPT-01'!$M153*'TABELA AUXILIAR'!$J$5+SUM('SPT-01'!$P$34:$P153))/2,0)*0.9</f>
        <v>48448.800000000003</v>
      </c>
      <c r="T121" s="8">
        <v>85.8</v>
      </c>
      <c r="U121" s="6">
        <f>ROUNDDOWN(('SPT-01'!$M145*'TABELA AUXILIAR'!$J$3+SUM('SPT-01'!$N$26:$N145))/2,0)*0.9</f>
        <v>36821.700000000004</v>
      </c>
      <c r="V121" s="6">
        <f>ROUNDDOWN(('SPT-01'!$M145*'TABELA AUXILIAR'!$J$4+SUM('SPT-01'!$O$26:$O145))/2,0)*0.9</f>
        <v>40078.800000000003</v>
      </c>
      <c r="W121" s="6">
        <f>ROUNDDOWN(('SPT-01'!$M145*'TABELA AUXILIAR'!$J$5+SUM('SPT-01'!$P$26:$P145))/2,0)*0.9</f>
        <v>46576.800000000003</v>
      </c>
      <c r="Y121" s="8">
        <v>81</v>
      </c>
      <c r="Z121" s="6">
        <f>ROUNDDOWN(('SPT-01'!$M137*'TABELA AUXILIAR'!$J$3+SUM('SPT-01'!$N$18:$N137))/2,0)*0.9</f>
        <v>34965.9</v>
      </c>
      <c r="AA121" s="6">
        <f>ROUNDDOWN(('SPT-01'!$M137*'TABELA AUXILIAR'!$J$4+SUM('SPT-01'!$O$18:$O137))/2,0)*0.9</f>
        <v>38061</v>
      </c>
      <c r="AB121" s="6">
        <f>ROUNDDOWN(('SPT-01'!$M137*'TABELA AUXILIAR'!$J$5+SUM('SPT-01'!$P$18:$P137))/2,0)*0.9</f>
        <v>44238.6</v>
      </c>
      <c r="AD121" s="8">
        <v>76.2</v>
      </c>
      <c r="AE121" s="6">
        <f>ROUNDDOWN(('SPT-01'!$M129*'TABELA AUXILIAR'!$J$3+SUM('SPT-01'!$N$10:$N129))/2,0)*0.9</f>
        <v>32809.5</v>
      </c>
      <c r="AF121" s="6">
        <f>ROUNDDOWN(('SPT-01'!$M129*'TABELA AUXILIAR'!$J$4+SUM('SPT-01'!$O$10:$O129))/2,0)*0.9</f>
        <v>35717.4</v>
      </c>
      <c r="AG121" s="6">
        <f>ROUNDDOWN(('SPT-01'!$M129*'TABELA AUXILIAR'!$J$5+SUM('SPT-01'!$P$10:$P129))/2,0)*0.9</f>
        <v>41522.400000000001</v>
      </c>
    </row>
    <row r="122" spans="10:33" x14ac:dyDescent="0.25">
      <c r="J122" s="1">
        <v>93</v>
      </c>
      <c r="K122" s="6">
        <f>ROUNDDOWN(('SPT-01'!$M157*'TABELA AUXILIAR'!$J$3+SUM('SPT-01'!$N$37:$N157))/2,0)*0.9</f>
        <v>39132.9</v>
      </c>
      <c r="L122" s="6">
        <f>ROUNDDOWN(('SPT-01'!$M157*'TABELA AUXILIAR'!$J$4+SUM('SPT-01'!$O$37:$O157))/2,0)*0.9</f>
        <v>42591.6</v>
      </c>
      <c r="M122" s="6">
        <f>ROUNDDOWN(('SPT-01'!$M157*'TABELA AUXILIAR'!$J$5+SUM('SPT-01'!$P$37:$P157))/2,0)*0.9</f>
        <v>49491.9</v>
      </c>
      <c r="N122" s="2"/>
      <c r="O122" s="8">
        <v>91.2</v>
      </c>
      <c r="P122" s="6">
        <f>ROUNDDOWN(('SPT-01'!$M154*'TABELA AUXILIAR'!$J$3+SUM('SPT-01'!$N$34:$N154))/2,0)*0.9</f>
        <v>38696.400000000001</v>
      </c>
      <c r="Q122" s="6">
        <f>ROUNDDOWN(('SPT-01'!$M154*'TABELA AUXILIAR'!$J$4+SUM('SPT-01'!$O$34:$O154))/2,0)*0.9</f>
        <v>42116.4</v>
      </c>
      <c r="R122" s="6">
        <f>ROUNDDOWN(('SPT-01'!$M154*'TABELA AUXILIAR'!$J$5+SUM('SPT-01'!$P$34:$P154))/2,0)*0.9</f>
        <v>48939.3</v>
      </c>
      <c r="T122" s="8">
        <v>86.4</v>
      </c>
      <c r="U122" s="6">
        <f>ROUNDDOWN(('SPT-01'!$M146*'TABELA AUXILIAR'!$J$3+SUM('SPT-01'!$N$26:$N146))/2,0)*0.9</f>
        <v>37201.5</v>
      </c>
      <c r="V122" s="6">
        <f>ROUNDDOWN(('SPT-01'!$M146*'TABELA AUXILIAR'!$J$4+SUM('SPT-01'!$O$26:$O146))/2,0)*0.9</f>
        <v>40491</v>
      </c>
      <c r="W122" s="6">
        <f>ROUNDDOWN(('SPT-01'!$M146*'TABELA AUXILIAR'!$J$5+SUM('SPT-01'!$P$26:$P146))/2,0)*0.9</f>
        <v>47054.700000000004</v>
      </c>
      <c r="Y122" s="8">
        <v>81.599999999999994</v>
      </c>
      <c r="Z122" s="6">
        <f>ROUNDDOWN(('SPT-01'!$M138*'TABELA AUXILIAR'!$J$3+SUM('SPT-01'!$N$18:$N138))/2,0)*0.9</f>
        <v>35334</v>
      </c>
      <c r="AA122" s="6">
        <f>ROUNDDOWN(('SPT-01'!$M138*'TABELA AUXILIAR'!$J$4+SUM('SPT-01'!$O$18:$O138))/2,0)*0.9</f>
        <v>38461.5</v>
      </c>
      <c r="AB122" s="6">
        <f>ROUNDDOWN(('SPT-01'!$M138*'TABELA AUXILIAR'!$J$5+SUM('SPT-01'!$P$18:$P138))/2,0)*0.9</f>
        <v>44701.200000000004</v>
      </c>
      <c r="AD122" s="8">
        <v>76.8</v>
      </c>
      <c r="AE122" s="6">
        <f>ROUNDDOWN(('SPT-01'!$M130*'TABELA AUXILIAR'!$J$3+SUM('SPT-01'!$N$10:$N130))/2,0)*0.9</f>
        <v>33165.9</v>
      </c>
      <c r="AF122" s="6">
        <f>ROUNDDOWN(('SPT-01'!$M130*'TABELA AUXILIAR'!$J$4+SUM('SPT-01'!$O$10:$O130))/2,0)*0.9</f>
        <v>36104.400000000001</v>
      </c>
      <c r="AG122" s="6">
        <f>ROUNDDOWN(('SPT-01'!$M130*'TABELA AUXILIAR'!$J$5+SUM('SPT-01'!$P$10:$P130))/2,0)*0.9</f>
        <v>41971.5</v>
      </c>
    </row>
    <row r="123" spans="10:33" x14ac:dyDescent="0.25">
      <c r="J123" s="1">
        <v>93.6</v>
      </c>
      <c r="K123" s="6">
        <f>ROUNDDOWN(('SPT-01'!$M158*'TABELA AUXILIAR'!$J$3+SUM('SPT-01'!$N$37:$N158))/2,0)*0.9</f>
        <v>39528.9</v>
      </c>
      <c r="L123" s="6">
        <f>ROUNDDOWN(('SPT-01'!$M158*'TABELA AUXILIAR'!$J$4+SUM('SPT-01'!$O$37:$O158))/2,0)*0.9</f>
        <v>43021.8</v>
      </c>
      <c r="M123" s="6">
        <f>ROUNDDOWN(('SPT-01'!$M158*'TABELA AUXILIAR'!$J$5+SUM('SPT-01'!$P$37:$P158))/2,0)*0.9</f>
        <v>49989.599999999999</v>
      </c>
      <c r="N123" s="2"/>
      <c r="O123" s="8">
        <v>91.8</v>
      </c>
      <c r="P123" s="6">
        <f>ROUNDDOWN(('SPT-01'!$M155*'TABELA AUXILIAR'!$J$3+SUM('SPT-01'!$N$34:$N155))/2,0)*0.9</f>
        <v>39088.800000000003</v>
      </c>
      <c r="Q123" s="6">
        <f>ROUNDDOWN(('SPT-01'!$M155*'TABELA AUXILIAR'!$J$4+SUM('SPT-01'!$O$34:$O155))/2,0)*0.9</f>
        <v>42543</v>
      </c>
      <c r="R123" s="6">
        <f>ROUNDDOWN(('SPT-01'!$M155*'TABELA AUXILIAR'!$J$5+SUM('SPT-01'!$P$34:$P155))/2,0)*0.9</f>
        <v>49432.5</v>
      </c>
      <c r="T123" s="8">
        <v>87</v>
      </c>
      <c r="U123" s="6">
        <f>ROUNDDOWN(('SPT-01'!$M147*'TABELA AUXILIAR'!$J$3+SUM('SPT-01'!$N$26:$N147))/2,0)*0.9</f>
        <v>37583.1</v>
      </c>
      <c r="V123" s="6">
        <f>ROUNDDOWN(('SPT-01'!$M147*'TABELA AUXILIAR'!$J$4+SUM('SPT-01'!$O$26:$O147))/2,0)*0.9</f>
        <v>40905</v>
      </c>
      <c r="W123" s="6">
        <f>ROUNDDOWN(('SPT-01'!$M147*'TABELA AUXILIAR'!$J$5+SUM('SPT-01'!$P$26:$P147))/2,0)*0.9</f>
        <v>47533.5</v>
      </c>
      <c r="Y123" s="8">
        <v>82.2</v>
      </c>
      <c r="Z123" s="6">
        <f>ROUNDDOWN(('SPT-01'!$M139*'TABELA AUXILIAR'!$J$3+SUM('SPT-01'!$N$18:$N139))/2,0)*0.9</f>
        <v>35703.9</v>
      </c>
      <c r="AA123" s="6">
        <f>ROUNDDOWN(('SPT-01'!$M139*'TABELA AUXILIAR'!$J$4+SUM('SPT-01'!$O$18:$O139))/2,0)*0.9</f>
        <v>38862.9</v>
      </c>
      <c r="AB123" s="6">
        <f>ROUNDDOWN(('SPT-01'!$M139*'TABELA AUXILIAR'!$J$5+SUM('SPT-01'!$P$18:$P139))/2,0)*0.9</f>
        <v>45166.5</v>
      </c>
      <c r="AD123" s="8">
        <v>77.400000000000006</v>
      </c>
      <c r="AE123" s="6">
        <f>ROUNDDOWN(('SPT-01'!$M131*'TABELA AUXILIAR'!$J$3+SUM('SPT-01'!$N$10:$N131))/2,0)*0.9</f>
        <v>33524.1</v>
      </c>
      <c r="AF123" s="6">
        <f>ROUNDDOWN(('SPT-01'!$M131*'TABELA AUXILIAR'!$J$4+SUM('SPT-01'!$O$10:$O131))/2,0)*0.9</f>
        <v>36494.1</v>
      </c>
      <c r="AG123" s="6">
        <f>ROUNDDOWN(('SPT-01'!$M131*'TABELA AUXILIAR'!$J$5+SUM('SPT-01'!$P$10:$P131))/2,0)*0.9</f>
        <v>42421.5</v>
      </c>
    </row>
    <row r="124" spans="10:33" x14ac:dyDescent="0.25">
      <c r="J124" s="1">
        <v>94.2</v>
      </c>
      <c r="K124" s="6">
        <f>ROUNDDOWN(('SPT-01'!$M159*'TABELA AUXILIAR'!$J$3+SUM('SPT-01'!$N$37:$N159))/2,0)*0.9</f>
        <v>39926.700000000004</v>
      </c>
      <c r="L124" s="6">
        <f>ROUNDDOWN(('SPT-01'!$M159*'TABELA AUXILIAR'!$J$4+SUM('SPT-01'!$O$37:$O159))/2,0)*0.9</f>
        <v>43453.8</v>
      </c>
      <c r="M124" s="6">
        <f>ROUNDDOWN(('SPT-01'!$M159*'TABELA AUXILIAR'!$J$5+SUM('SPT-01'!$P$37:$P159))/2,0)*0.9</f>
        <v>50489.1</v>
      </c>
      <c r="N124" s="2"/>
      <c r="O124" s="8">
        <v>92.4</v>
      </c>
      <c r="P124" s="6">
        <f>ROUNDDOWN(('SPT-01'!$M156*'TABELA AUXILIAR'!$J$3+SUM('SPT-01'!$N$34:$N156))/2,0)*0.9</f>
        <v>39482.1</v>
      </c>
      <c r="Q124" s="6">
        <f>ROUNDDOWN(('SPT-01'!$M156*'TABELA AUXILIAR'!$J$4+SUM('SPT-01'!$O$34:$O156))/2,0)*0.9</f>
        <v>42970.5</v>
      </c>
      <c r="R124" s="6">
        <f>ROUNDDOWN(('SPT-01'!$M156*'TABELA AUXILIAR'!$J$5+SUM('SPT-01'!$P$34:$P156))/2,0)*0.9</f>
        <v>49927.5</v>
      </c>
      <c r="T124" s="8">
        <v>87.6</v>
      </c>
      <c r="U124" s="6">
        <f>ROUNDDOWN(('SPT-01'!$M148*'TABELA AUXILIAR'!$J$3+SUM('SPT-01'!$N$26:$N148))/2,0)*0.9</f>
        <v>37965.599999999999</v>
      </c>
      <c r="V124" s="6">
        <f>ROUNDDOWN(('SPT-01'!$M148*'TABELA AUXILIAR'!$J$4+SUM('SPT-01'!$O$26:$O148))/2,0)*0.9</f>
        <v>41320.800000000003</v>
      </c>
      <c r="W124" s="6">
        <f>ROUNDDOWN(('SPT-01'!$M148*'TABELA AUXILIAR'!$J$5+SUM('SPT-01'!$P$26:$P148))/2,0)*0.9</f>
        <v>48014.1</v>
      </c>
      <c r="Y124" s="8">
        <v>82.8</v>
      </c>
      <c r="Z124" s="6">
        <f>ROUNDDOWN(('SPT-01'!$M140*'TABELA AUXILIAR'!$J$3+SUM('SPT-01'!$N$18:$N140))/2,0)*0.9</f>
        <v>36075.599999999999</v>
      </c>
      <c r="AA124" s="6">
        <f>ROUNDDOWN(('SPT-01'!$M140*'TABELA AUXILIAR'!$J$4+SUM('SPT-01'!$O$18:$O140))/2,0)*0.9</f>
        <v>39266.1</v>
      </c>
      <c r="AB124" s="6">
        <f>ROUNDDOWN(('SPT-01'!$M140*'TABELA AUXILIAR'!$J$5+SUM('SPT-01'!$P$18:$P140))/2,0)*0.9</f>
        <v>45632.700000000004</v>
      </c>
      <c r="AD124" s="8">
        <v>78</v>
      </c>
      <c r="AE124" s="6">
        <f>ROUNDDOWN(('SPT-01'!$M132*'TABELA AUXILIAR'!$J$3+SUM('SPT-01'!$N$10:$N132))/2,0)*0.9</f>
        <v>33884.1</v>
      </c>
      <c r="AF124" s="6">
        <f>ROUNDDOWN(('SPT-01'!$M132*'TABELA AUXILIAR'!$J$4+SUM('SPT-01'!$O$10:$O132))/2,0)*0.9</f>
        <v>36884.700000000004</v>
      </c>
      <c r="AG124" s="6">
        <f>ROUNDDOWN(('SPT-01'!$M132*'TABELA AUXILIAR'!$J$5+SUM('SPT-01'!$P$10:$P132))/2,0)*0.9</f>
        <v>42874.200000000004</v>
      </c>
    </row>
    <row r="125" spans="10:33" x14ac:dyDescent="0.25">
      <c r="J125" s="1">
        <v>94.8</v>
      </c>
      <c r="K125" s="6">
        <f>ROUNDDOWN(('SPT-01'!$M160*'TABELA AUXILIAR'!$J$3+SUM('SPT-01'!$N$37:$N160))/2,0)*0.9</f>
        <v>40326.300000000003</v>
      </c>
      <c r="L125" s="6">
        <f>ROUNDDOWN(('SPT-01'!$M160*'TABELA AUXILIAR'!$J$4+SUM('SPT-01'!$O$37:$O160))/2,0)*0.9</f>
        <v>43887.6</v>
      </c>
      <c r="M125" s="6">
        <f>ROUNDDOWN(('SPT-01'!$M160*'TABELA AUXILIAR'!$J$5+SUM('SPT-01'!$P$37:$P160))/2,0)*0.9</f>
        <v>50991.3</v>
      </c>
      <c r="N125" s="2"/>
      <c r="O125" s="8">
        <v>93</v>
      </c>
      <c r="P125" s="6">
        <f>ROUNDDOWN(('SPT-01'!$M157*'TABELA AUXILIAR'!$J$3+SUM('SPT-01'!$N$34:$N157))/2,0)*0.9</f>
        <v>39877.200000000004</v>
      </c>
      <c r="Q125" s="6">
        <f>ROUNDDOWN(('SPT-01'!$M157*'TABELA AUXILIAR'!$J$4+SUM('SPT-01'!$O$34:$O157))/2,0)*0.9</f>
        <v>43398.9</v>
      </c>
      <c r="R125" s="6">
        <f>ROUNDDOWN(('SPT-01'!$M157*'TABELA AUXILIAR'!$J$5+SUM('SPT-01'!$P$34:$P157))/2,0)*0.9</f>
        <v>50423.4</v>
      </c>
      <c r="T125" s="8">
        <v>88.2</v>
      </c>
      <c r="U125" s="6">
        <f>ROUNDDOWN(('SPT-01'!$M149*'TABELA AUXILIAR'!$J$3+SUM('SPT-01'!$N$26:$N149))/2,0)*0.9</f>
        <v>38349</v>
      </c>
      <c r="V125" s="6">
        <f>ROUNDDOWN(('SPT-01'!$M149*'TABELA AUXILIAR'!$J$4+SUM('SPT-01'!$O$26:$O149))/2,0)*0.9</f>
        <v>41737.5</v>
      </c>
      <c r="W125" s="6">
        <f>ROUNDDOWN(('SPT-01'!$M149*'TABELA AUXILIAR'!$J$5+SUM('SPT-01'!$P$26:$P149))/2,0)*0.9</f>
        <v>48496.5</v>
      </c>
      <c r="Y125" s="8">
        <v>83.4</v>
      </c>
      <c r="Z125" s="6">
        <f>ROUNDDOWN(('SPT-01'!$M141*'TABELA AUXILIAR'!$J$3+SUM('SPT-01'!$N$18:$N141))/2,0)*0.9</f>
        <v>36448.200000000004</v>
      </c>
      <c r="AA125" s="6">
        <f>ROUNDDOWN(('SPT-01'!$M141*'TABELA AUXILIAR'!$J$4+SUM('SPT-01'!$O$18:$O141))/2,0)*0.9</f>
        <v>39671.1</v>
      </c>
      <c r="AB125" s="6">
        <f>ROUNDDOWN(('SPT-01'!$M141*'TABELA AUXILIAR'!$J$5+SUM('SPT-01'!$P$18:$P141))/2,0)*0.9</f>
        <v>46101.599999999999</v>
      </c>
      <c r="AD125" s="8">
        <v>78.599999999999994</v>
      </c>
      <c r="AE125" s="6">
        <f>ROUNDDOWN(('SPT-01'!$M133*'TABELA AUXILIAR'!$J$3+SUM('SPT-01'!$N$10:$N133))/2,0)*0.9</f>
        <v>34245</v>
      </c>
      <c r="AF125" s="6">
        <f>ROUNDDOWN(('SPT-01'!$M133*'TABELA AUXILIAR'!$J$4+SUM('SPT-01'!$O$10:$O133))/2,0)*0.9</f>
        <v>37277.1</v>
      </c>
      <c r="AG125" s="6">
        <f>ROUNDDOWN(('SPT-01'!$M133*'TABELA AUXILIAR'!$J$5+SUM('SPT-01'!$P$10:$P133))/2,0)*0.9</f>
        <v>43327.8</v>
      </c>
    </row>
    <row r="126" spans="10:33" x14ac:dyDescent="0.25">
      <c r="J126" s="1">
        <v>95.4</v>
      </c>
      <c r="K126" s="6">
        <f>ROUNDDOWN(('SPT-01'!$M161*'TABELA AUXILIAR'!$J$3+SUM('SPT-01'!$N$37:$N161))/2,0)*0.9</f>
        <v>40725.9</v>
      </c>
      <c r="L126" s="6">
        <f>ROUNDDOWN(('SPT-01'!$M161*'TABELA AUXILIAR'!$J$4+SUM('SPT-01'!$O$37:$O161))/2,0)*0.9</f>
        <v>44322.3</v>
      </c>
      <c r="M126" s="6">
        <f>ROUNDDOWN(('SPT-01'!$M161*'TABELA AUXILIAR'!$J$5+SUM('SPT-01'!$P$37:$P161))/2,0)*0.9</f>
        <v>51494.400000000001</v>
      </c>
      <c r="N126" s="2"/>
      <c r="O126" s="8">
        <v>93.6</v>
      </c>
      <c r="P126" s="6">
        <f>ROUNDDOWN(('SPT-01'!$M158*'TABELA AUXILIAR'!$J$3+SUM('SPT-01'!$N$34:$N158))/2,0)*0.9</f>
        <v>40273.200000000004</v>
      </c>
      <c r="Q126" s="6">
        <f>ROUNDDOWN(('SPT-01'!$M158*'TABELA AUXILIAR'!$J$4+SUM('SPT-01'!$O$34:$O158))/2,0)*0.9</f>
        <v>43830</v>
      </c>
      <c r="R126" s="6">
        <f>ROUNDDOWN(('SPT-01'!$M158*'TABELA AUXILIAR'!$J$5+SUM('SPT-01'!$P$34:$P158))/2,0)*0.9</f>
        <v>50922</v>
      </c>
      <c r="T126" s="8">
        <v>88.8</v>
      </c>
      <c r="U126" s="6">
        <f>ROUNDDOWN(('SPT-01'!$M150*'TABELA AUXILIAR'!$J$3+SUM('SPT-01'!$N$26:$N150))/2,0)*0.9</f>
        <v>38734.200000000004</v>
      </c>
      <c r="V126" s="6">
        <f>ROUNDDOWN(('SPT-01'!$M150*'TABELA AUXILIAR'!$J$4+SUM('SPT-01'!$O$26:$O150))/2,0)*0.9</f>
        <v>42156</v>
      </c>
      <c r="W126" s="6">
        <f>ROUNDDOWN(('SPT-01'!$M150*'TABELA AUXILIAR'!$J$5+SUM('SPT-01'!$P$26:$P150))/2,0)*0.9</f>
        <v>48980.700000000004</v>
      </c>
      <c r="Y126" s="8">
        <v>84</v>
      </c>
      <c r="Z126" s="6">
        <f>ROUNDDOWN(('SPT-01'!$M142*'TABELA AUXILIAR'!$J$3+SUM('SPT-01'!$N$18:$N142))/2,0)*0.9</f>
        <v>36821.700000000004</v>
      </c>
      <c r="AA126" s="6">
        <f>ROUNDDOWN(('SPT-01'!$M142*'TABELA AUXILIAR'!$J$4+SUM('SPT-01'!$O$18:$O142))/2,0)*0.9</f>
        <v>40077</v>
      </c>
      <c r="AB126" s="6">
        <f>ROUNDDOWN(('SPT-01'!$M142*'TABELA AUXILIAR'!$J$5+SUM('SPT-01'!$P$18:$P142))/2,0)*0.9</f>
        <v>46571.4</v>
      </c>
      <c r="AD126" s="8">
        <v>79.2</v>
      </c>
      <c r="AE126" s="6">
        <f>ROUNDDOWN(('SPT-01'!$M134*'TABELA AUXILIAR'!$J$3+SUM('SPT-01'!$N$10:$N134))/2,0)*0.9</f>
        <v>34607.700000000004</v>
      </c>
      <c r="AF126" s="6">
        <f>ROUNDDOWN(('SPT-01'!$M134*'TABELA AUXILIAR'!$J$4+SUM('SPT-01'!$O$10:$O134))/2,0)*0.9</f>
        <v>37670.400000000001</v>
      </c>
      <c r="AG126" s="6">
        <f>ROUNDDOWN(('SPT-01'!$M134*'TABELA AUXILIAR'!$J$5+SUM('SPT-01'!$P$10:$P134))/2,0)*0.9</f>
        <v>43784.1</v>
      </c>
    </row>
    <row r="127" spans="10:33" x14ac:dyDescent="0.25">
      <c r="J127" s="1">
        <v>96</v>
      </c>
      <c r="K127" s="6">
        <f>ROUNDDOWN(('SPT-01'!$M162*'TABELA AUXILIAR'!$J$3+SUM('SPT-01'!$N$37:$N162))/2,0)*0.9</f>
        <v>41128.200000000004</v>
      </c>
      <c r="L127" s="6">
        <f>ROUNDDOWN(('SPT-01'!$M162*'TABELA AUXILIAR'!$J$4+SUM('SPT-01'!$O$37:$O162))/2,0)*0.9</f>
        <v>44758.8</v>
      </c>
      <c r="M127" s="6">
        <f>ROUNDDOWN(('SPT-01'!$M162*'TABELA AUXILIAR'!$J$5+SUM('SPT-01'!$P$37:$P162))/2,0)*0.9</f>
        <v>51999.3</v>
      </c>
      <c r="N127" s="2"/>
      <c r="O127" s="8">
        <v>94.2</v>
      </c>
      <c r="P127" s="6">
        <f>ROUNDDOWN(('SPT-01'!$M159*'TABELA AUXILIAR'!$J$3+SUM('SPT-01'!$N$34:$N159))/2,0)*0.9</f>
        <v>40671</v>
      </c>
      <c r="Q127" s="6">
        <f>ROUNDDOWN(('SPT-01'!$M159*'TABELA AUXILIAR'!$J$4+SUM('SPT-01'!$O$34:$O159))/2,0)*0.9</f>
        <v>44262</v>
      </c>
      <c r="R127" s="6">
        <f>ROUNDDOWN(('SPT-01'!$M159*'TABELA AUXILIAR'!$J$5+SUM('SPT-01'!$P$34:$P159))/2,0)*0.9</f>
        <v>51421.5</v>
      </c>
      <c r="T127" s="8">
        <v>89.4</v>
      </c>
      <c r="U127" s="6">
        <f>ROUNDDOWN(('SPT-01'!$M151*'TABELA AUXILIAR'!$J$3+SUM('SPT-01'!$N$26:$N151))/2,0)*0.9</f>
        <v>39121.200000000004</v>
      </c>
      <c r="V127" s="6">
        <f>ROUNDDOWN(('SPT-01'!$M151*'TABELA AUXILIAR'!$J$4+SUM('SPT-01'!$O$26:$O151))/2,0)*0.9</f>
        <v>42576.3</v>
      </c>
      <c r="W127" s="6">
        <f>ROUNDDOWN(('SPT-01'!$M151*'TABELA AUXILIAR'!$J$5+SUM('SPT-01'!$P$26:$P151))/2,0)*0.9</f>
        <v>49466.700000000004</v>
      </c>
      <c r="Y127" s="8">
        <v>84.6</v>
      </c>
      <c r="Z127" s="6">
        <f>ROUNDDOWN(('SPT-01'!$M143*'TABELA AUXILIAR'!$J$3+SUM('SPT-01'!$N$18:$N143))/2,0)*0.9</f>
        <v>37197</v>
      </c>
      <c r="AA127" s="6">
        <f>ROUNDDOWN(('SPT-01'!$M143*'TABELA AUXILIAR'!$J$4+SUM('SPT-01'!$O$18:$O143))/2,0)*0.9</f>
        <v>40484.700000000004</v>
      </c>
      <c r="AB127" s="6">
        <f>ROUNDDOWN(('SPT-01'!$M143*'TABELA AUXILIAR'!$J$5+SUM('SPT-01'!$P$18:$P143))/2,0)*0.9</f>
        <v>47043.9</v>
      </c>
      <c r="AD127" s="8">
        <v>79.8</v>
      </c>
      <c r="AE127" s="6">
        <f>ROUNDDOWN(('SPT-01'!$M135*'TABELA AUXILIAR'!$J$3+SUM('SPT-01'!$N$10:$N135))/2,0)*0.9</f>
        <v>34971.300000000003</v>
      </c>
      <c r="AF127" s="6">
        <f>ROUNDDOWN(('SPT-01'!$M135*'TABELA AUXILIAR'!$J$4+SUM('SPT-01'!$O$10:$O135))/2,0)*0.9</f>
        <v>38066.400000000001</v>
      </c>
      <c r="AG127" s="6">
        <f>ROUNDDOWN(('SPT-01'!$M135*'TABELA AUXILIAR'!$J$5+SUM('SPT-01'!$P$10:$P135))/2,0)*0.9</f>
        <v>44241.3</v>
      </c>
    </row>
    <row r="128" spans="10:33" x14ac:dyDescent="0.25">
      <c r="J128" s="1">
        <v>96.6</v>
      </c>
      <c r="K128" s="6">
        <f>ROUNDDOWN(('SPT-01'!$M163*'TABELA AUXILIAR'!$J$3+SUM('SPT-01'!$N$37:$N163))/2,0)*0.9</f>
        <v>41531.4</v>
      </c>
      <c r="L128" s="6">
        <f>ROUNDDOWN(('SPT-01'!$M163*'TABELA AUXILIAR'!$J$4+SUM('SPT-01'!$O$37:$O163))/2,0)*0.9</f>
        <v>45197.1</v>
      </c>
      <c r="M128" s="6">
        <f>ROUNDDOWN(('SPT-01'!$M163*'TABELA AUXILIAR'!$J$5+SUM('SPT-01'!$P$37:$P163))/2,0)*0.9</f>
        <v>52506</v>
      </c>
      <c r="N128" s="2"/>
      <c r="O128" s="8">
        <v>94.8</v>
      </c>
      <c r="P128" s="6">
        <f>ROUNDDOWN(('SPT-01'!$M160*'TABELA AUXILIAR'!$J$3+SUM('SPT-01'!$N$34:$N160))/2,0)*0.9</f>
        <v>41069.700000000004</v>
      </c>
      <c r="Q128" s="6">
        <f>ROUNDDOWN(('SPT-01'!$M160*'TABELA AUXILIAR'!$J$4+SUM('SPT-01'!$O$34:$O160))/2,0)*0.9</f>
        <v>44694.9</v>
      </c>
      <c r="R128" s="6">
        <f>ROUNDDOWN(('SPT-01'!$M160*'TABELA AUXILIAR'!$J$5+SUM('SPT-01'!$P$34:$P160))/2,0)*0.9</f>
        <v>51923.700000000004</v>
      </c>
      <c r="T128" s="8">
        <v>90</v>
      </c>
      <c r="U128" s="6">
        <f>ROUNDDOWN(('SPT-01'!$M152*'TABELA AUXILIAR'!$J$3+SUM('SPT-01'!$N$26:$N152))/2,0)*0.9</f>
        <v>39509.1</v>
      </c>
      <c r="V128" s="6">
        <f>ROUNDDOWN(('SPT-01'!$M152*'TABELA AUXILIAR'!$J$4+SUM('SPT-01'!$O$26:$O152))/2,0)*0.9</f>
        <v>42998.400000000001</v>
      </c>
      <c r="W128" s="6">
        <f>ROUNDDOWN(('SPT-01'!$M152*'TABELA AUXILIAR'!$J$5+SUM('SPT-01'!$P$26:$P152))/2,0)*0.9</f>
        <v>49954.5</v>
      </c>
      <c r="Y128" s="8">
        <v>85.2</v>
      </c>
      <c r="Z128" s="6">
        <f>ROUNDDOWN(('SPT-01'!$M144*'TABELA AUXILIAR'!$J$3+SUM('SPT-01'!$N$18:$N144))/2,0)*0.9</f>
        <v>37574.1</v>
      </c>
      <c r="AA128" s="6">
        <f>ROUNDDOWN(('SPT-01'!$M144*'TABELA AUXILIAR'!$J$4+SUM('SPT-01'!$O$18:$O144))/2,0)*0.9</f>
        <v>40894.200000000004</v>
      </c>
      <c r="AB128" s="6">
        <f>ROUNDDOWN(('SPT-01'!$M144*'TABELA AUXILIAR'!$J$5+SUM('SPT-01'!$P$18:$P144))/2,0)*0.9</f>
        <v>47517.3</v>
      </c>
      <c r="AD128" s="8">
        <v>80.400000000000006</v>
      </c>
      <c r="AE128" s="6">
        <f>ROUNDDOWN(('SPT-01'!$M136*'TABELA AUXILIAR'!$J$3+SUM('SPT-01'!$N$10:$N136))/2,0)*0.9</f>
        <v>35336.700000000004</v>
      </c>
      <c r="AF128" s="6">
        <f>ROUNDDOWN(('SPT-01'!$M136*'TABELA AUXILIAR'!$J$4+SUM('SPT-01'!$O$10:$O136))/2,0)*0.9</f>
        <v>38463.300000000003</v>
      </c>
      <c r="AG128" s="6">
        <f>ROUNDDOWN(('SPT-01'!$M136*'TABELA AUXILIAR'!$J$5+SUM('SPT-01'!$P$10:$P136))/2,0)*0.9</f>
        <v>44701.200000000004</v>
      </c>
    </row>
    <row r="129" spans="10:33" x14ac:dyDescent="0.25">
      <c r="J129" s="1">
        <v>97.2</v>
      </c>
      <c r="K129" s="6">
        <f>ROUNDDOWN(('SPT-01'!$M164*'TABELA AUXILIAR'!$J$3+SUM('SPT-01'!$N$37:$N164))/2,0)*0.9</f>
        <v>41935.5</v>
      </c>
      <c r="L129" s="6">
        <f>ROUNDDOWN(('SPT-01'!$M164*'TABELA AUXILIAR'!$J$4+SUM('SPT-01'!$O$37:$O164))/2,0)*0.9</f>
        <v>45636.3</v>
      </c>
      <c r="M129" s="6">
        <f>ROUNDDOWN(('SPT-01'!$M164*'TABELA AUXILIAR'!$J$5+SUM('SPT-01'!$P$37:$P164))/2,0)*0.9</f>
        <v>53014.5</v>
      </c>
      <c r="N129" s="2"/>
      <c r="O129" s="8">
        <v>95.4</v>
      </c>
      <c r="P129" s="6">
        <f>ROUNDDOWN(('SPT-01'!$M161*'TABELA AUXILIAR'!$J$3+SUM('SPT-01'!$N$34:$N161))/2,0)*0.9</f>
        <v>41470.200000000004</v>
      </c>
      <c r="Q129" s="6">
        <f>ROUNDDOWN(('SPT-01'!$M161*'TABELA AUXILIAR'!$J$4+SUM('SPT-01'!$O$34:$O161))/2,0)*0.9</f>
        <v>45130.5</v>
      </c>
      <c r="R129" s="6">
        <f>ROUNDDOWN(('SPT-01'!$M161*'TABELA AUXILIAR'!$J$5+SUM('SPT-01'!$P$34:$P161))/2,0)*0.9</f>
        <v>52426.8</v>
      </c>
      <c r="T129" s="8">
        <v>90.6</v>
      </c>
      <c r="U129" s="6">
        <f>ROUNDDOWN(('SPT-01'!$M153*'TABELA AUXILIAR'!$J$3+SUM('SPT-01'!$N$26:$N153))/2,0)*0.9</f>
        <v>39898.800000000003</v>
      </c>
      <c r="V129" s="6">
        <f>ROUNDDOWN(('SPT-01'!$M153*'TABELA AUXILIAR'!$J$4+SUM('SPT-01'!$O$26:$O153))/2,0)*0.9</f>
        <v>43421.4</v>
      </c>
      <c r="W129" s="6">
        <f>ROUNDDOWN(('SPT-01'!$M153*'TABELA AUXILIAR'!$J$5+SUM('SPT-01'!$P$26:$P153))/2,0)*0.9</f>
        <v>50444.1</v>
      </c>
      <c r="Y129" s="8">
        <v>85.8</v>
      </c>
      <c r="Z129" s="6">
        <f>ROUNDDOWN(('SPT-01'!$M145*'TABELA AUXILIAR'!$J$3+SUM('SPT-01'!$N$18:$N145))/2,0)*0.9</f>
        <v>37952.1</v>
      </c>
      <c r="AA129" s="6">
        <f>ROUNDDOWN(('SPT-01'!$M145*'TABELA AUXILIAR'!$J$4+SUM('SPT-01'!$O$18:$O145))/2,0)*0.9</f>
        <v>41305.5</v>
      </c>
      <c r="AB129" s="6">
        <f>ROUNDDOWN(('SPT-01'!$M145*'TABELA AUXILIAR'!$J$5+SUM('SPT-01'!$P$18:$P145))/2,0)*0.9</f>
        <v>47992.5</v>
      </c>
      <c r="AD129" s="8">
        <v>81</v>
      </c>
      <c r="AE129" s="6">
        <f>ROUNDDOWN(('SPT-01'!$M137*'TABELA AUXILIAR'!$J$3+SUM('SPT-01'!$N$10:$N137))/2,0)*0.9</f>
        <v>35703.9</v>
      </c>
      <c r="AF129" s="6">
        <f>ROUNDDOWN(('SPT-01'!$M137*'TABELA AUXILIAR'!$J$4+SUM('SPT-01'!$O$10:$O137))/2,0)*0.9</f>
        <v>38862</v>
      </c>
      <c r="AG129" s="6">
        <f>ROUNDDOWN(('SPT-01'!$M137*'TABELA AUXILIAR'!$J$5+SUM('SPT-01'!$P$10:$P137))/2,0)*0.9</f>
        <v>45162.9</v>
      </c>
    </row>
    <row r="130" spans="10:33" x14ac:dyDescent="0.25">
      <c r="J130" s="1">
        <v>97.8</v>
      </c>
      <c r="K130" s="6">
        <f>ROUNDDOWN(('SPT-01'!$M165*'TABELA AUXILIAR'!$J$3+SUM('SPT-01'!$N$37:$N165))/2,0)*0.9</f>
        <v>42341.4</v>
      </c>
      <c r="L130" s="6">
        <f>ROUNDDOWN(('SPT-01'!$M165*'TABELA AUXILIAR'!$J$4+SUM('SPT-01'!$O$37:$O165))/2,0)*0.9</f>
        <v>46077.3</v>
      </c>
      <c r="M130" s="6">
        <f>ROUNDDOWN(('SPT-01'!$M165*'TABELA AUXILIAR'!$J$5+SUM('SPT-01'!$P$37:$P165))/2,0)*0.9</f>
        <v>53523.9</v>
      </c>
      <c r="N130" s="2"/>
      <c r="O130" s="8">
        <v>96</v>
      </c>
      <c r="P130" s="6">
        <f>ROUNDDOWN(('SPT-01'!$M162*'TABELA AUXILIAR'!$J$3+SUM('SPT-01'!$N$34:$N162))/2,0)*0.9</f>
        <v>41872.5</v>
      </c>
      <c r="Q130" s="6">
        <f>ROUNDDOWN(('SPT-01'!$M162*'TABELA AUXILIAR'!$J$4+SUM('SPT-01'!$O$34:$O162))/2,0)*0.9</f>
        <v>45567</v>
      </c>
      <c r="R130" s="6">
        <f>ROUNDDOWN(('SPT-01'!$M162*'TABELA AUXILIAR'!$J$5+SUM('SPT-01'!$P$34:$P162))/2,0)*0.9</f>
        <v>52931.700000000004</v>
      </c>
      <c r="T130" s="8">
        <v>91.2</v>
      </c>
      <c r="U130" s="6">
        <f>ROUNDDOWN(('SPT-01'!$M154*'TABELA AUXILIAR'!$J$3+SUM('SPT-01'!$N$26:$N154))/2,0)*0.9</f>
        <v>40289.4</v>
      </c>
      <c r="V130" s="6">
        <f>ROUNDDOWN(('SPT-01'!$M154*'TABELA AUXILIAR'!$J$4+SUM('SPT-01'!$O$26:$O154))/2,0)*0.9</f>
        <v>43845.3</v>
      </c>
      <c r="W130" s="6">
        <f>ROUNDDOWN(('SPT-01'!$M154*'TABELA AUXILIAR'!$J$5+SUM('SPT-01'!$P$26:$P154))/2,0)*0.9</f>
        <v>50935.5</v>
      </c>
      <c r="Y130" s="8">
        <v>86.4</v>
      </c>
      <c r="Z130" s="6">
        <f>ROUNDDOWN(('SPT-01'!$M146*'TABELA AUXILIAR'!$J$3+SUM('SPT-01'!$N$18:$N146))/2,0)*0.9</f>
        <v>38331.9</v>
      </c>
      <c r="AA130" s="6">
        <f>ROUNDDOWN(('SPT-01'!$M146*'TABELA AUXILIAR'!$J$4+SUM('SPT-01'!$O$18:$O146))/2,0)*0.9</f>
        <v>41717.700000000004</v>
      </c>
      <c r="AB130" s="6">
        <f>ROUNDDOWN(('SPT-01'!$M146*'TABELA AUXILIAR'!$J$5+SUM('SPT-01'!$P$18:$P146))/2,0)*0.9</f>
        <v>48470.400000000001</v>
      </c>
      <c r="AD130" s="8">
        <v>81.599999999999994</v>
      </c>
      <c r="AE130" s="6">
        <f>ROUNDDOWN(('SPT-01'!$M138*'TABELA AUXILIAR'!$J$3+SUM('SPT-01'!$N$10:$N138))/2,0)*0.9</f>
        <v>36072</v>
      </c>
      <c r="AF130" s="6">
        <f>ROUNDDOWN(('SPT-01'!$M138*'TABELA AUXILIAR'!$J$4+SUM('SPT-01'!$O$10:$O138))/2,0)*0.9</f>
        <v>39261.599999999999</v>
      </c>
      <c r="AG130" s="6">
        <f>ROUNDDOWN(('SPT-01'!$M138*'TABELA AUXILIAR'!$J$5+SUM('SPT-01'!$P$10:$P138))/2,0)*0.9</f>
        <v>45625.5</v>
      </c>
    </row>
    <row r="131" spans="10:33" x14ac:dyDescent="0.25">
      <c r="J131" s="1">
        <v>98.4</v>
      </c>
      <c r="K131" s="6">
        <f>ROUNDDOWN(('SPT-01'!$M166*'TABELA AUXILIAR'!$J$3+SUM('SPT-01'!$N$37:$N166))/2,0)*0.9</f>
        <v>42749.1</v>
      </c>
      <c r="L131" s="6">
        <f>ROUNDDOWN(('SPT-01'!$M166*'TABELA AUXILIAR'!$J$4+SUM('SPT-01'!$O$37:$O166))/2,0)*0.9</f>
        <v>46519.200000000004</v>
      </c>
      <c r="M131" s="6">
        <f>ROUNDDOWN(('SPT-01'!$M166*'TABELA AUXILIAR'!$J$5+SUM('SPT-01'!$P$37:$P166))/2,0)*0.9</f>
        <v>54036</v>
      </c>
      <c r="N131" s="2"/>
      <c r="O131" s="8">
        <v>96.6</v>
      </c>
      <c r="P131" s="6">
        <f>ROUNDDOWN(('SPT-01'!$M163*'TABELA AUXILIAR'!$J$3+SUM('SPT-01'!$N$34:$N163))/2,0)*0.9</f>
        <v>42275.700000000004</v>
      </c>
      <c r="Q131" s="6">
        <f>ROUNDDOWN(('SPT-01'!$M163*'TABELA AUXILIAR'!$J$4+SUM('SPT-01'!$O$34:$O163))/2,0)*0.9</f>
        <v>46004.4</v>
      </c>
      <c r="R131" s="6">
        <f>ROUNDDOWN(('SPT-01'!$M163*'TABELA AUXILIAR'!$J$5+SUM('SPT-01'!$P$34:$P163))/2,0)*0.9</f>
        <v>53438.400000000001</v>
      </c>
      <c r="T131" s="8">
        <v>91.8</v>
      </c>
      <c r="U131" s="6">
        <f>ROUNDDOWN(('SPT-01'!$M155*'TABELA AUXILIAR'!$J$3+SUM('SPT-01'!$N$26:$N155))/2,0)*0.9</f>
        <v>40681.800000000003</v>
      </c>
      <c r="V131" s="6">
        <f>ROUNDDOWN(('SPT-01'!$M155*'TABELA AUXILIAR'!$J$4+SUM('SPT-01'!$O$26:$O155))/2,0)*0.9</f>
        <v>44271.9</v>
      </c>
      <c r="W131" s="6">
        <f>ROUNDDOWN(('SPT-01'!$M155*'TABELA AUXILIAR'!$J$5+SUM('SPT-01'!$P$26:$P155))/2,0)*0.9</f>
        <v>51428.700000000004</v>
      </c>
      <c r="Y131" s="8">
        <v>87</v>
      </c>
      <c r="Z131" s="6">
        <f>ROUNDDOWN(('SPT-01'!$M147*'TABELA AUXILIAR'!$J$3+SUM('SPT-01'!$N$18:$N147))/2,0)*0.9</f>
        <v>38713.5</v>
      </c>
      <c r="AA131" s="6">
        <f>ROUNDDOWN(('SPT-01'!$M147*'TABELA AUXILIAR'!$J$4+SUM('SPT-01'!$O$18:$O147))/2,0)*0.9</f>
        <v>42131.700000000004</v>
      </c>
      <c r="AB131" s="6">
        <f>ROUNDDOWN(('SPT-01'!$M147*'TABELA AUXILIAR'!$J$5+SUM('SPT-01'!$P$18:$P147))/2,0)*0.9</f>
        <v>48949.200000000004</v>
      </c>
      <c r="AD131" s="8">
        <v>82.2</v>
      </c>
      <c r="AE131" s="6">
        <f>ROUNDDOWN(('SPT-01'!$M139*'TABELA AUXILIAR'!$J$3+SUM('SPT-01'!$N$10:$N139))/2,0)*0.9</f>
        <v>36441.9</v>
      </c>
      <c r="AF131" s="6">
        <f>ROUNDDOWN(('SPT-01'!$M139*'TABELA AUXILIAR'!$J$4+SUM('SPT-01'!$O$10:$O139))/2,0)*0.9</f>
        <v>39663.9</v>
      </c>
      <c r="AG131" s="6">
        <f>ROUNDDOWN(('SPT-01'!$M139*'TABELA AUXILIAR'!$J$5+SUM('SPT-01'!$P$10:$P139))/2,0)*0.9</f>
        <v>46090.8</v>
      </c>
    </row>
    <row r="132" spans="10:33" x14ac:dyDescent="0.25">
      <c r="J132" s="1">
        <v>99</v>
      </c>
      <c r="K132" s="6">
        <f>ROUNDDOWN(('SPT-01'!$M167*'TABELA AUXILIAR'!$J$3+SUM('SPT-01'!$N$37:$N167))/2,0)*0.9</f>
        <v>43157.700000000004</v>
      </c>
      <c r="L132" s="6">
        <f>ROUNDDOWN(('SPT-01'!$M167*'TABELA AUXILIAR'!$J$4+SUM('SPT-01'!$O$37:$O167))/2,0)*0.9</f>
        <v>46962.9</v>
      </c>
      <c r="M132" s="6">
        <f>ROUNDDOWN(('SPT-01'!$M167*'TABELA AUXILIAR'!$J$5+SUM('SPT-01'!$P$37:$P167))/2,0)*0.9</f>
        <v>54549</v>
      </c>
      <c r="N132" s="2"/>
      <c r="O132" s="8">
        <v>97.2</v>
      </c>
      <c r="P132" s="6">
        <f>ROUNDDOWN(('SPT-01'!$M164*'TABELA AUXILIAR'!$J$3+SUM('SPT-01'!$N$34:$N164))/2,0)*0.9</f>
        <v>42679.8</v>
      </c>
      <c r="Q132" s="6">
        <f>ROUNDDOWN(('SPT-01'!$M164*'TABELA AUXILIAR'!$J$4+SUM('SPT-01'!$O$34:$O164))/2,0)*0.9</f>
        <v>46443.6</v>
      </c>
      <c r="R132" s="6">
        <f>ROUNDDOWN(('SPT-01'!$M164*'TABELA AUXILIAR'!$J$5+SUM('SPT-01'!$P$34:$P164))/2,0)*0.9</f>
        <v>53946</v>
      </c>
      <c r="T132" s="8">
        <v>92.4</v>
      </c>
      <c r="U132" s="6">
        <f>ROUNDDOWN(('SPT-01'!$M156*'TABELA AUXILIAR'!$J$3+SUM('SPT-01'!$N$26:$N156))/2,0)*0.9</f>
        <v>41075.1</v>
      </c>
      <c r="V132" s="6">
        <f>ROUNDDOWN(('SPT-01'!$M156*'TABELA AUXILIAR'!$J$4+SUM('SPT-01'!$O$26:$O156))/2,0)*0.9</f>
        <v>44699.4</v>
      </c>
      <c r="W132" s="6">
        <f>ROUNDDOWN(('SPT-01'!$M156*'TABELA AUXILIAR'!$J$5+SUM('SPT-01'!$P$26:$P156))/2,0)*0.9</f>
        <v>51923.700000000004</v>
      </c>
      <c r="Y132" s="8">
        <v>87.6</v>
      </c>
      <c r="Z132" s="6">
        <f>ROUNDDOWN(('SPT-01'!$M148*'TABELA AUXILIAR'!$J$3+SUM('SPT-01'!$N$18:$N148))/2,0)*0.9</f>
        <v>39096</v>
      </c>
      <c r="AA132" s="6">
        <f>ROUNDDOWN(('SPT-01'!$M148*'TABELA AUXILIAR'!$J$4+SUM('SPT-01'!$O$18:$O148))/2,0)*0.9</f>
        <v>42547.5</v>
      </c>
      <c r="AB132" s="6">
        <f>ROUNDDOWN(('SPT-01'!$M148*'TABELA AUXILIAR'!$J$5+SUM('SPT-01'!$P$18:$P148))/2,0)*0.9</f>
        <v>49429.8</v>
      </c>
      <c r="AD132" s="8">
        <v>82.8</v>
      </c>
      <c r="AE132" s="6">
        <f>ROUNDDOWN(('SPT-01'!$M140*'TABELA AUXILIAR'!$J$3+SUM('SPT-01'!$N$10:$N140))/2,0)*0.9</f>
        <v>36813.599999999999</v>
      </c>
      <c r="AF132" s="6">
        <f>ROUNDDOWN(('SPT-01'!$M140*'TABELA AUXILIAR'!$J$4+SUM('SPT-01'!$O$10:$O140))/2,0)*0.9</f>
        <v>40067.1</v>
      </c>
      <c r="AG132" s="6">
        <f>ROUNDDOWN(('SPT-01'!$M140*'TABELA AUXILIAR'!$J$5+SUM('SPT-01'!$P$10:$P140))/2,0)*0.9</f>
        <v>46557</v>
      </c>
    </row>
    <row r="133" spans="10:33" x14ac:dyDescent="0.25">
      <c r="J133" s="1">
        <v>99.6</v>
      </c>
      <c r="K133" s="6">
        <f>ROUNDDOWN(('SPT-01'!$M168*'TABELA AUXILIAR'!$J$3+SUM('SPT-01'!$N$37:$N168))/2,0)*0.9</f>
        <v>43567.200000000004</v>
      </c>
      <c r="L133" s="6">
        <f>ROUNDDOWN(('SPT-01'!$M168*'TABELA AUXILIAR'!$J$4+SUM('SPT-01'!$O$37:$O168))/2,0)*0.9</f>
        <v>47408.4</v>
      </c>
      <c r="M133" s="6">
        <f>ROUNDDOWN(('SPT-01'!$M168*'TABELA AUXILIAR'!$J$5+SUM('SPT-01'!$P$37:$P168))/2,0)*0.9</f>
        <v>55064.700000000004</v>
      </c>
      <c r="N133" s="2"/>
      <c r="O133" s="8">
        <v>97.8</v>
      </c>
      <c r="P133" s="6">
        <f>ROUNDDOWN(('SPT-01'!$M165*'TABELA AUXILIAR'!$J$3+SUM('SPT-01'!$N$34:$N165))/2,0)*0.9</f>
        <v>43085.700000000004</v>
      </c>
      <c r="Q133" s="6">
        <f>ROUNDDOWN(('SPT-01'!$M165*'TABELA AUXILIAR'!$J$4+SUM('SPT-01'!$O$34:$O165))/2,0)*0.9</f>
        <v>46884.6</v>
      </c>
      <c r="R133" s="6">
        <f>ROUNDDOWN(('SPT-01'!$M165*'TABELA AUXILIAR'!$J$5+SUM('SPT-01'!$P$34:$P165))/2,0)*0.9</f>
        <v>54456.3</v>
      </c>
      <c r="T133" s="8">
        <v>93</v>
      </c>
      <c r="U133" s="6">
        <f>ROUNDDOWN(('SPT-01'!$M157*'TABELA AUXILIAR'!$J$3+SUM('SPT-01'!$N$26:$N157))/2,0)*0.9</f>
        <v>41470.200000000004</v>
      </c>
      <c r="V133" s="6">
        <f>ROUNDDOWN(('SPT-01'!$M157*'TABELA AUXILIAR'!$J$4+SUM('SPT-01'!$O$26:$O157))/2,0)*0.9</f>
        <v>45127.8</v>
      </c>
      <c r="W133" s="6">
        <f>ROUNDDOWN(('SPT-01'!$M157*'TABELA AUXILIAR'!$J$5+SUM('SPT-01'!$P$26:$P157))/2,0)*0.9</f>
        <v>52419.6</v>
      </c>
      <c r="Y133" s="8">
        <v>88.2</v>
      </c>
      <c r="Z133" s="6">
        <f>ROUNDDOWN(('SPT-01'!$M149*'TABELA AUXILIAR'!$J$3+SUM('SPT-01'!$N$18:$N149))/2,0)*0.9</f>
        <v>39479.4</v>
      </c>
      <c r="AA133" s="6">
        <f>ROUNDDOWN(('SPT-01'!$M149*'TABELA AUXILIAR'!$J$4+SUM('SPT-01'!$O$18:$O149))/2,0)*0.9</f>
        <v>42964.200000000004</v>
      </c>
      <c r="AB133" s="6">
        <f>ROUNDDOWN(('SPT-01'!$M149*'TABELA AUXILIAR'!$J$5+SUM('SPT-01'!$P$18:$P149))/2,0)*0.9</f>
        <v>49913.1</v>
      </c>
      <c r="AD133" s="8">
        <v>83.4</v>
      </c>
      <c r="AE133" s="6">
        <f>ROUNDDOWN(('SPT-01'!$M141*'TABELA AUXILIAR'!$J$3+SUM('SPT-01'!$N$10:$N141))/2,0)*0.9</f>
        <v>37186.200000000004</v>
      </c>
      <c r="AF133" s="6">
        <f>ROUNDDOWN(('SPT-01'!$M141*'TABELA AUXILIAR'!$J$4+SUM('SPT-01'!$O$10:$O141))/2,0)*0.9</f>
        <v>40471.200000000004</v>
      </c>
      <c r="AG133" s="6">
        <f>ROUNDDOWN(('SPT-01'!$M141*'TABELA AUXILIAR'!$J$5+SUM('SPT-01'!$P$10:$P141))/2,0)*0.9</f>
        <v>47025.9</v>
      </c>
    </row>
    <row r="134" spans="10:33" x14ac:dyDescent="0.25">
      <c r="J134" s="1">
        <v>100.2</v>
      </c>
      <c r="K134" s="6">
        <f>ROUNDDOWN(('SPT-01'!$M169*'TABELA AUXILIAR'!$J$3+SUM('SPT-01'!$N$37:$N169))/2,0)*0.9</f>
        <v>43978.5</v>
      </c>
      <c r="L134" s="6">
        <f>ROUNDDOWN(('SPT-01'!$M169*'TABELA AUXILIAR'!$J$4+SUM('SPT-01'!$O$37:$O169))/2,0)*0.9</f>
        <v>47854.8</v>
      </c>
      <c r="M134" s="6">
        <f>ROUNDDOWN(('SPT-01'!$M169*'TABELA AUXILIAR'!$J$5+SUM('SPT-01'!$P$37:$P169))/2,0)*0.9</f>
        <v>55581.3</v>
      </c>
      <c r="N134" s="2"/>
      <c r="O134" s="8">
        <v>98.4</v>
      </c>
      <c r="P134" s="6">
        <f>ROUNDDOWN(('SPT-01'!$M166*'TABELA AUXILIAR'!$J$3+SUM('SPT-01'!$N$34:$N166))/2,0)*0.9</f>
        <v>43493.4</v>
      </c>
      <c r="Q134" s="6">
        <f>ROUNDDOWN(('SPT-01'!$M166*'TABELA AUXILIAR'!$J$4+SUM('SPT-01'!$O$34:$O166))/2,0)*0.9</f>
        <v>47327.4</v>
      </c>
      <c r="R134" s="6">
        <f>ROUNDDOWN(('SPT-01'!$M166*'TABELA AUXILIAR'!$J$5+SUM('SPT-01'!$P$34:$P166))/2,0)*0.9</f>
        <v>54968.4</v>
      </c>
      <c r="T134" s="8">
        <v>93.6</v>
      </c>
      <c r="U134" s="6">
        <f>ROUNDDOWN(('SPT-01'!$M158*'TABELA AUXILIAR'!$J$3+SUM('SPT-01'!$N$26:$N158))/2,0)*0.9</f>
        <v>41867.1</v>
      </c>
      <c r="V134" s="6">
        <f>ROUNDDOWN(('SPT-01'!$M158*'TABELA AUXILIAR'!$J$4+SUM('SPT-01'!$O$26:$O158))/2,0)*0.9</f>
        <v>45558.9</v>
      </c>
      <c r="W134" s="6">
        <f>ROUNDDOWN(('SPT-01'!$M158*'TABELA AUXILIAR'!$J$5+SUM('SPT-01'!$P$26:$P158))/2,0)*0.9</f>
        <v>52918.200000000004</v>
      </c>
      <c r="Y134" s="8">
        <v>88.8</v>
      </c>
      <c r="Z134" s="6">
        <f>ROUNDDOWN(('SPT-01'!$M150*'TABELA AUXILIAR'!$J$3+SUM('SPT-01'!$N$18:$N150))/2,0)*0.9</f>
        <v>39864.6</v>
      </c>
      <c r="AA134" s="6">
        <f>ROUNDDOWN(('SPT-01'!$M150*'TABELA AUXILIAR'!$J$4+SUM('SPT-01'!$O$18:$O150))/2,0)*0.9</f>
        <v>43382.700000000004</v>
      </c>
      <c r="AB134" s="6">
        <f>ROUNDDOWN(('SPT-01'!$M150*'TABELA AUXILIAR'!$J$5+SUM('SPT-01'!$P$18:$P150))/2,0)*0.9</f>
        <v>50397.3</v>
      </c>
      <c r="AD134" s="8">
        <v>84</v>
      </c>
      <c r="AE134" s="6">
        <f>ROUNDDOWN(('SPT-01'!$M142*'TABELA AUXILIAR'!$J$3+SUM('SPT-01'!$N$10:$N142))/2,0)*0.9</f>
        <v>37559.700000000004</v>
      </c>
      <c r="AF134" s="6">
        <f>ROUNDDOWN(('SPT-01'!$M142*'TABELA AUXILIAR'!$J$4+SUM('SPT-01'!$O$10:$O142))/2,0)*0.9</f>
        <v>40878</v>
      </c>
      <c r="AG134" s="6">
        <f>ROUNDDOWN(('SPT-01'!$M142*'TABELA AUXILIAR'!$J$5+SUM('SPT-01'!$P$10:$P142))/2,0)*0.9</f>
        <v>47495.700000000004</v>
      </c>
    </row>
    <row r="135" spans="10:33" x14ac:dyDescent="0.25">
      <c r="J135" s="1">
        <v>100.8</v>
      </c>
      <c r="K135" s="6">
        <f>ROUNDDOWN(('SPT-01'!$M170*'TABELA AUXILIAR'!$J$3+SUM('SPT-01'!$N$37:$N170))/2,0)*0.9</f>
        <v>44390.700000000004</v>
      </c>
      <c r="L135" s="6">
        <f>ROUNDDOWN(('SPT-01'!$M170*'TABELA AUXILIAR'!$J$4+SUM('SPT-01'!$O$37:$O170))/2,0)*0.9</f>
        <v>48303</v>
      </c>
      <c r="M135" s="6">
        <f>ROUNDDOWN(('SPT-01'!$M170*'TABELA AUXILIAR'!$J$5+SUM('SPT-01'!$P$37:$P170))/2,0)*0.9</f>
        <v>56099.700000000004</v>
      </c>
      <c r="N135" s="2"/>
      <c r="O135" s="8">
        <v>99</v>
      </c>
      <c r="P135" s="6">
        <f>ROUNDDOWN(('SPT-01'!$M167*'TABELA AUXILIAR'!$J$3+SUM('SPT-01'!$N$34:$N167))/2,0)*0.9</f>
        <v>43902</v>
      </c>
      <c r="Q135" s="6">
        <f>ROUNDDOWN(('SPT-01'!$M167*'TABELA AUXILIAR'!$J$4+SUM('SPT-01'!$O$34:$O167))/2,0)*0.9</f>
        <v>47771.1</v>
      </c>
      <c r="R135" s="6">
        <f>ROUNDDOWN(('SPT-01'!$M167*'TABELA AUXILIAR'!$J$5+SUM('SPT-01'!$P$34:$P167))/2,0)*0.9</f>
        <v>55481.4</v>
      </c>
      <c r="T135" s="8">
        <v>94.2</v>
      </c>
      <c r="U135" s="6">
        <f>ROUNDDOWN(('SPT-01'!$M159*'TABELA AUXILIAR'!$J$3+SUM('SPT-01'!$N$26:$N159))/2,0)*0.9</f>
        <v>42264</v>
      </c>
      <c r="V135" s="6">
        <f>ROUNDDOWN(('SPT-01'!$M159*'TABELA AUXILIAR'!$J$4+SUM('SPT-01'!$O$26:$O159))/2,0)*0.9</f>
        <v>45990.9</v>
      </c>
      <c r="W135" s="6">
        <f>ROUNDDOWN(('SPT-01'!$M159*'TABELA AUXILIAR'!$J$5+SUM('SPT-01'!$P$26:$P159))/2,0)*0.9</f>
        <v>53417.700000000004</v>
      </c>
      <c r="Y135" s="8">
        <v>89.4</v>
      </c>
      <c r="Z135" s="6">
        <f>ROUNDDOWN(('SPT-01'!$M151*'TABELA AUXILIAR'!$J$3+SUM('SPT-01'!$N$18:$N151))/2,0)*0.9</f>
        <v>40251.599999999999</v>
      </c>
      <c r="AA135" s="6">
        <f>ROUNDDOWN(('SPT-01'!$M151*'TABELA AUXILIAR'!$J$4+SUM('SPT-01'!$O$18:$O151))/2,0)*0.9</f>
        <v>43803</v>
      </c>
      <c r="AB135" s="6">
        <f>ROUNDDOWN(('SPT-01'!$M151*'TABELA AUXILIAR'!$J$5+SUM('SPT-01'!$P$18:$P151))/2,0)*0.9</f>
        <v>50883.3</v>
      </c>
      <c r="AD135" s="8">
        <v>84.6</v>
      </c>
      <c r="AE135" s="6">
        <f>ROUNDDOWN(('SPT-01'!$M143*'TABELA AUXILIAR'!$J$3+SUM('SPT-01'!$N$10:$N143))/2,0)*0.9</f>
        <v>37935</v>
      </c>
      <c r="AF135" s="6">
        <f>ROUNDDOWN(('SPT-01'!$M143*'TABELA AUXILIAR'!$J$4+SUM('SPT-01'!$O$10:$O143))/2,0)*0.9</f>
        <v>41285.700000000004</v>
      </c>
      <c r="AG135" s="6">
        <f>ROUNDDOWN(('SPT-01'!$M143*'TABELA AUXILIAR'!$J$5+SUM('SPT-01'!$P$10:$P143))/2,0)*0.9</f>
        <v>47968.200000000004</v>
      </c>
    </row>
    <row r="136" spans="10:33" x14ac:dyDescent="0.25">
      <c r="J136" s="1">
        <v>101.4</v>
      </c>
      <c r="K136" s="6">
        <f>ROUNDDOWN(('SPT-01'!$M171*'TABELA AUXILIAR'!$J$3+SUM('SPT-01'!$N$37:$N171))/2,0)*0.9</f>
        <v>44804.700000000004</v>
      </c>
      <c r="L136" s="6">
        <f>ROUNDDOWN(('SPT-01'!$M171*'TABELA AUXILIAR'!$J$4+SUM('SPT-01'!$O$37:$O171))/2,0)*0.9</f>
        <v>48753</v>
      </c>
      <c r="M136" s="6">
        <f>ROUNDDOWN(('SPT-01'!$M171*'TABELA AUXILIAR'!$J$5+SUM('SPT-01'!$P$37:$P171))/2,0)*0.9</f>
        <v>56619.9</v>
      </c>
      <c r="N136" s="2"/>
      <c r="O136" s="8">
        <v>99.6</v>
      </c>
      <c r="P136" s="6">
        <f>ROUNDDOWN(('SPT-01'!$M168*'TABELA AUXILIAR'!$J$3+SUM('SPT-01'!$N$34:$N168))/2,0)*0.9</f>
        <v>44311.5</v>
      </c>
      <c r="Q136" s="6">
        <f>ROUNDDOWN(('SPT-01'!$M168*'TABELA AUXILIAR'!$J$4+SUM('SPT-01'!$O$34:$O168))/2,0)*0.9</f>
        <v>48215.700000000004</v>
      </c>
      <c r="R136" s="6">
        <f>ROUNDDOWN(('SPT-01'!$M168*'TABELA AUXILIAR'!$J$5+SUM('SPT-01'!$P$34:$P168))/2,0)*0.9</f>
        <v>55996.200000000004</v>
      </c>
      <c r="T136" s="8">
        <v>94.8</v>
      </c>
      <c r="U136" s="6">
        <f>ROUNDDOWN(('SPT-01'!$M160*'TABELA AUXILIAR'!$J$3+SUM('SPT-01'!$N$26:$N160))/2,0)*0.9</f>
        <v>42663.6</v>
      </c>
      <c r="V136" s="6">
        <f>ROUNDDOWN(('SPT-01'!$M160*'TABELA AUXILIAR'!$J$4+SUM('SPT-01'!$O$26:$O160))/2,0)*0.9</f>
        <v>46423.8</v>
      </c>
      <c r="W136" s="6">
        <f>ROUNDDOWN(('SPT-01'!$M160*'TABELA AUXILIAR'!$J$5+SUM('SPT-01'!$P$26:$P160))/2,0)*0.9</f>
        <v>53919</v>
      </c>
      <c r="Y136" s="8">
        <v>90</v>
      </c>
      <c r="Z136" s="6">
        <f>ROUNDDOWN(('SPT-01'!$M152*'TABELA AUXILIAR'!$J$3+SUM('SPT-01'!$N$18:$N152))/2,0)*0.9</f>
        <v>40639.5</v>
      </c>
      <c r="AA136" s="6">
        <f>ROUNDDOWN(('SPT-01'!$M152*'TABELA AUXILIAR'!$J$4+SUM('SPT-01'!$O$18:$O152))/2,0)*0.9</f>
        <v>44224.200000000004</v>
      </c>
      <c r="AB136" s="6">
        <f>ROUNDDOWN(('SPT-01'!$M152*'TABELA AUXILIAR'!$J$5+SUM('SPT-01'!$P$18:$P152))/2,0)*0.9</f>
        <v>51371.1</v>
      </c>
      <c r="AD136" s="8">
        <v>85.2</v>
      </c>
      <c r="AE136" s="6">
        <f>ROUNDDOWN(('SPT-01'!$M144*'TABELA AUXILIAR'!$J$3+SUM('SPT-01'!$N$10:$N144))/2,0)*0.9</f>
        <v>38312.1</v>
      </c>
      <c r="AF136" s="6">
        <f>ROUNDDOWN(('SPT-01'!$M144*'TABELA AUXILIAR'!$J$4+SUM('SPT-01'!$O$10:$O144))/2,0)*0.9</f>
        <v>41695.200000000004</v>
      </c>
      <c r="AG136" s="6">
        <f>ROUNDDOWN(('SPT-01'!$M144*'TABELA AUXILIAR'!$J$5+SUM('SPT-01'!$P$10:$P144))/2,0)*0.9</f>
        <v>48441.599999999999</v>
      </c>
    </row>
    <row r="137" spans="10:33" x14ac:dyDescent="0.25">
      <c r="J137" s="1">
        <v>102</v>
      </c>
      <c r="K137" s="6">
        <f>ROUNDDOWN(('SPT-01'!$M172*'TABELA AUXILIAR'!$J$3+SUM('SPT-01'!$N$37:$N172))/2,0)*0.9</f>
        <v>45220.5</v>
      </c>
      <c r="L137" s="6">
        <f>ROUNDDOWN(('SPT-01'!$M172*'TABELA AUXILIAR'!$J$4+SUM('SPT-01'!$O$37:$O172))/2,0)*0.9</f>
        <v>49203.9</v>
      </c>
      <c r="M137" s="6">
        <f>ROUNDDOWN(('SPT-01'!$M172*'TABELA AUXILIAR'!$J$5+SUM('SPT-01'!$P$37:$P172))/2,0)*0.9</f>
        <v>57141</v>
      </c>
      <c r="N137" s="2"/>
      <c r="O137" s="8">
        <v>100.2</v>
      </c>
      <c r="P137" s="6">
        <f>ROUNDDOWN(('SPT-01'!$M169*'TABELA AUXILIAR'!$J$3+SUM('SPT-01'!$N$34:$N169))/2,0)*0.9</f>
        <v>44722.8</v>
      </c>
      <c r="Q137" s="6">
        <f>ROUNDDOWN(('SPT-01'!$M169*'TABELA AUXILIAR'!$J$4+SUM('SPT-01'!$O$34:$O169))/2,0)*0.9</f>
        <v>48663</v>
      </c>
      <c r="R137" s="6">
        <f>ROUNDDOWN(('SPT-01'!$M169*'TABELA AUXILIAR'!$J$5+SUM('SPT-01'!$P$34:$P169))/2,0)*0.9</f>
        <v>56513.700000000004</v>
      </c>
      <c r="T137" s="8">
        <v>95.4</v>
      </c>
      <c r="U137" s="6">
        <f>ROUNDDOWN(('SPT-01'!$M161*'TABELA AUXILIAR'!$J$3+SUM('SPT-01'!$N$26:$N161))/2,0)*0.9</f>
        <v>43064.1</v>
      </c>
      <c r="V137" s="6">
        <f>ROUNDDOWN(('SPT-01'!$M161*'TABELA AUXILIAR'!$J$4+SUM('SPT-01'!$O$26:$O161))/2,0)*0.9</f>
        <v>46859.4</v>
      </c>
      <c r="W137" s="6">
        <f>ROUNDDOWN(('SPT-01'!$M161*'TABELA AUXILIAR'!$J$5+SUM('SPT-01'!$P$26:$P161))/2,0)*0.9</f>
        <v>54422.1</v>
      </c>
      <c r="Y137" s="8">
        <v>90.6</v>
      </c>
      <c r="Z137" s="6">
        <f>ROUNDDOWN(('SPT-01'!$M153*'TABELA AUXILIAR'!$J$3+SUM('SPT-01'!$N$18:$N153))/2,0)*0.9</f>
        <v>41029.200000000004</v>
      </c>
      <c r="AA137" s="6">
        <f>ROUNDDOWN(('SPT-01'!$M153*'TABELA AUXILIAR'!$J$4+SUM('SPT-01'!$O$18:$O153))/2,0)*0.9</f>
        <v>44647.200000000004</v>
      </c>
      <c r="AB137" s="6">
        <f>ROUNDDOWN(('SPT-01'!$M153*'TABELA AUXILIAR'!$J$5+SUM('SPT-01'!$P$18:$P153))/2,0)*0.9</f>
        <v>51860.700000000004</v>
      </c>
      <c r="AD137" s="8">
        <v>85.8</v>
      </c>
      <c r="AE137" s="6">
        <f>ROUNDDOWN(('SPT-01'!$M145*'TABELA AUXILIAR'!$J$3+SUM('SPT-01'!$N$10:$N145))/2,0)*0.9</f>
        <v>38690.1</v>
      </c>
      <c r="AF137" s="6">
        <f>ROUNDDOWN(('SPT-01'!$M145*'TABELA AUXILIAR'!$J$4+SUM('SPT-01'!$O$10:$O145))/2,0)*0.9</f>
        <v>42106.5</v>
      </c>
      <c r="AG137" s="6">
        <f>ROUNDDOWN(('SPT-01'!$M145*'TABELA AUXILIAR'!$J$5+SUM('SPT-01'!$P$10:$P145))/2,0)*0.9</f>
        <v>48916.800000000003</v>
      </c>
    </row>
    <row r="138" spans="10:33" x14ac:dyDescent="0.25">
      <c r="J138" s="1">
        <v>102.6</v>
      </c>
      <c r="K138" s="6">
        <f>ROUNDDOWN(('SPT-01'!$M173*'TABELA AUXILIAR'!$J$3+SUM('SPT-01'!$N$37:$N173))/2,0)*0.9</f>
        <v>45636.3</v>
      </c>
      <c r="L138" s="6">
        <f>ROUNDDOWN(('SPT-01'!$M173*'TABELA AUXILIAR'!$J$4+SUM('SPT-01'!$O$37:$O173))/2,0)*0.9</f>
        <v>49656.6</v>
      </c>
      <c r="M138" s="6">
        <f>ROUNDDOWN(('SPT-01'!$M173*'TABELA AUXILIAR'!$J$5+SUM('SPT-01'!$P$37:$P173))/2,0)*0.9</f>
        <v>57664.800000000003</v>
      </c>
      <c r="N138" s="2"/>
      <c r="O138" s="8">
        <v>100.8</v>
      </c>
      <c r="P138" s="6">
        <f>ROUNDDOWN(('SPT-01'!$M170*'TABELA AUXILIAR'!$J$3+SUM('SPT-01'!$N$34:$N170))/2,0)*0.9</f>
        <v>45135</v>
      </c>
      <c r="Q138" s="6">
        <f>ROUNDDOWN(('SPT-01'!$M170*'TABELA AUXILIAR'!$J$4+SUM('SPT-01'!$O$34:$O170))/2,0)*0.9</f>
        <v>49110.3</v>
      </c>
      <c r="R138" s="6">
        <f>ROUNDDOWN(('SPT-01'!$M170*'TABELA AUXILIAR'!$J$5+SUM('SPT-01'!$P$34:$P170))/2,0)*0.9</f>
        <v>57032.1</v>
      </c>
      <c r="T138" s="8">
        <v>96</v>
      </c>
      <c r="U138" s="6">
        <f>ROUNDDOWN(('SPT-01'!$M162*'TABELA AUXILIAR'!$J$3+SUM('SPT-01'!$N$26:$N162))/2,0)*0.9</f>
        <v>43465.5</v>
      </c>
      <c r="V138" s="6">
        <f>ROUNDDOWN(('SPT-01'!$M162*'TABELA AUXILIAR'!$J$4+SUM('SPT-01'!$O$26:$O162))/2,0)*0.9</f>
        <v>47295.9</v>
      </c>
      <c r="W138" s="6">
        <f>ROUNDDOWN(('SPT-01'!$M162*'TABELA AUXILIAR'!$J$5+SUM('SPT-01'!$P$26:$P162))/2,0)*0.9</f>
        <v>54927</v>
      </c>
      <c r="Y138" s="8">
        <v>91.2</v>
      </c>
      <c r="Z138" s="6">
        <f>ROUNDDOWN(('SPT-01'!$M154*'TABELA AUXILIAR'!$J$3+SUM('SPT-01'!$N$18:$N154))/2,0)*0.9</f>
        <v>41419.800000000003</v>
      </c>
      <c r="AA138" s="6">
        <f>ROUNDDOWN(('SPT-01'!$M154*'TABELA AUXILIAR'!$J$4+SUM('SPT-01'!$O$18:$O154))/2,0)*0.9</f>
        <v>45072</v>
      </c>
      <c r="AB138" s="6">
        <f>ROUNDDOWN(('SPT-01'!$M154*'TABELA AUXILIAR'!$J$5+SUM('SPT-01'!$P$18:$P154))/2,0)*0.9</f>
        <v>52351.200000000004</v>
      </c>
      <c r="AD138" s="8">
        <v>86.4</v>
      </c>
      <c r="AE138" s="6">
        <f>ROUNDDOWN(('SPT-01'!$M146*'TABELA AUXILIAR'!$J$3+SUM('SPT-01'!$N$10:$N146))/2,0)*0.9</f>
        <v>39069.9</v>
      </c>
      <c r="AF138" s="6">
        <f>ROUNDDOWN(('SPT-01'!$M146*'TABELA AUXILIAR'!$J$4+SUM('SPT-01'!$O$10:$O146))/2,0)*0.9</f>
        <v>42518.700000000004</v>
      </c>
      <c r="AG138" s="6">
        <f>ROUNDDOWN(('SPT-01'!$M146*'TABELA AUXILIAR'!$J$5+SUM('SPT-01'!$P$10:$P146))/2,0)*0.9</f>
        <v>49394.700000000004</v>
      </c>
    </row>
    <row r="139" spans="10:33" x14ac:dyDescent="0.25">
      <c r="J139" s="1">
        <v>103.2</v>
      </c>
      <c r="K139" s="6">
        <f>ROUNDDOWN(('SPT-01'!$M174*'TABELA AUXILIAR'!$J$3+SUM('SPT-01'!$N$37:$N174))/2,0)*0.9</f>
        <v>46054.8</v>
      </c>
      <c r="L139" s="6">
        <f>ROUNDDOWN(('SPT-01'!$M174*'TABELA AUXILIAR'!$J$4+SUM('SPT-01'!$O$37:$O174))/2,0)*0.9</f>
        <v>50110.200000000004</v>
      </c>
      <c r="M139" s="6">
        <f>ROUNDDOWN(('SPT-01'!$M174*'TABELA AUXILIAR'!$J$5+SUM('SPT-01'!$P$37:$P174))/2,0)*0.9</f>
        <v>58189.5</v>
      </c>
      <c r="N139" s="2"/>
      <c r="O139" s="8">
        <v>101.4</v>
      </c>
      <c r="P139" s="6">
        <f>ROUNDDOWN(('SPT-01'!$M171*'TABELA AUXILIAR'!$J$3+SUM('SPT-01'!$N$34:$N171))/2,0)*0.9</f>
        <v>45549</v>
      </c>
      <c r="Q139" s="6">
        <f>ROUNDDOWN(('SPT-01'!$M171*'TABELA AUXILIAR'!$J$4+SUM('SPT-01'!$O$34:$O171))/2,0)*0.9</f>
        <v>49560.3</v>
      </c>
      <c r="R139" s="6">
        <f>ROUNDDOWN(('SPT-01'!$M171*'TABELA AUXILIAR'!$J$5+SUM('SPT-01'!$P$34:$P171))/2,0)*0.9</f>
        <v>57551.4</v>
      </c>
      <c r="T139" s="8">
        <v>96.6</v>
      </c>
      <c r="U139" s="6">
        <f>ROUNDDOWN(('SPT-01'!$M163*'TABELA AUXILIAR'!$J$3+SUM('SPT-01'!$N$26:$N163))/2,0)*0.9</f>
        <v>43868.700000000004</v>
      </c>
      <c r="V139" s="6">
        <f>ROUNDDOWN(('SPT-01'!$M163*'TABELA AUXILIAR'!$J$4+SUM('SPT-01'!$O$26:$O163))/2,0)*0.9</f>
        <v>47733.3</v>
      </c>
      <c r="W139" s="6">
        <f>ROUNDDOWN(('SPT-01'!$M163*'TABELA AUXILIAR'!$J$5+SUM('SPT-01'!$P$26:$P163))/2,0)*0.9</f>
        <v>55433.700000000004</v>
      </c>
      <c r="Y139" s="8">
        <v>91.8</v>
      </c>
      <c r="Z139" s="6">
        <f>ROUNDDOWN(('SPT-01'!$M155*'TABELA AUXILIAR'!$J$3+SUM('SPT-01'!$N$18:$N155))/2,0)*0.9</f>
        <v>41812.200000000004</v>
      </c>
      <c r="AA139" s="6">
        <f>ROUNDDOWN(('SPT-01'!$M155*'TABELA AUXILIAR'!$J$4+SUM('SPT-01'!$O$18:$O155))/2,0)*0.9</f>
        <v>45498.6</v>
      </c>
      <c r="AB139" s="6">
        <f>ROUNDDOWN(('SPT-01'!$M155*'TABELA AUXILIAR'!$J$5+SUM('SPT-01'!$P$18:$P155))/2,0)*0.9</f>
        <v>52844.4</v>
      </c>
      <c r="AD139" s="8">
        <v>87</v>
      </c>
      <c r="AE139" s="6">
        <f>ROUNDDOWN(('SPT-01'!$M147*'TABELA AUXILIAR'!$J$3+SUM('SPT-01'!$N$10:$N147))/2,0)*0.9</f>
        <v>39451.5</v>
      </c>
      <c r="AF139" s="6">
        <f>ROUNDDOWN(('SPT-01'!$M147*'TABELA AUXILIAR'!$J$4+SUM('SPT-01'!$O$10:$O147))/2,0)*0.9</f>
        <v>42932.700000000004</v>
      </c>
      <c r="AG139" s="6">
        <f>ROUNDDOWN(('SPT-01'!$M147*'TABELA AUXILIAR'!$J$5+SUM('SPT-01'!$P$10:$P147))/2,0)*0.9</f>
        <v>49873.5</v>
      </c>
    </row>
    <row r="140" spans="10:33" x14ac:dyDescent="0.25">
      <c r="J140" s="1">
        <v>103.8</v>
      </c>
      <c r="K140" s="6">
        <f>ROUNDDOWN(('SPT-01'!$M175*'TABELA AUXILIAR'!$J$3+SUM('SPT-01'!$N$37:$N175))/2,0)*0.9</f>
        <v>46474.200000000004</v>
      </c>
      <c r="L140" s="6">
        <f>ROUNDDOWN(('SPT-01'!$M175*'TABELA AUXILIAR'!$J$4+SUM('SPT-01'!$O$37:$O175))/2,0)*0.9</f>
        <v>50565.599999999999</v>
      </c>
      <c r="M140" s="6">
        <f>ROUNDDOWN(('SPT-01'!$M175*'TABELA AUXILIAR'!$J$5+SUM('SPT-01'!$P$37:$P175))/2,0)*0.9</f>
        <v>58716</v>
      </c>
      <c r="N140" s="2"/>
      <c r="O140" s="8">
        <v>102</v>
      </c>
      <c r="P140" s="6">
        <f>ROUNDDOWN(('SPT-01'!$M172*'TABELA AUXILIAR'!$J$3+SUM('SPT-01'!$N$34:$N172))/2,0)*0.9</f>
        <v>45964.800000000003</v>
      </c>
      <c r="Q140" s="6">
        <f>ROUNDDOWN(('SPT-01'!$M172*'TABELA AUXILIAR'!$J$4+SUM('SPT-01'!$O$34:$O172))/2,0)*0.9</f>
        <v>50011.200000000004</v>
      </c>
      <c r="R140" s="6">
        <f>ROUNDDOWN(('SPT-01'!$M172*'TABELA AUXILIAR'!$J$5+SUM('SPT-01'!$P$34:$P172))/2,0)*0.9</f>
        <v>58073.4</v>
      </c>
      <c r="T140" s="8">
        <v>97.2</v>
      </c>
      <c r="U140" s="6">
        <f>ROUNDDOWN(('SPT-01'!$M164*'TABELA AUXILIAR'!$J$3+SUM('SPT-01'!$N$26:$N164))/2,0)*0.9</f>
        <v>44273.700000000004</v>
      </c>
      <c r="V140" s="6">
        <f>ROUNDDOWN(('SPT-01'!$M164*'TABELA AUXILIAR'!$J$4+SUM('SPT-01'!$O$26:$O164))/2,0)*0.9</f>
        <v>48172.5</v>
      </c>
      <c r="W140" s="6">
        <f>ROUNDDOWN(('SPT-01'!$M164*'TABELA AUXILIAR'!$J$5+SUM('SPT-01'!$P$26:$P164))/2,0)*0.9</f>
        <v>55942.200000000004</v>
      </c>
      <c r="Y140" s="8">
        <v>92.4</v>
      </c>
      <c r="Z140" s="6">
        <f>ROUNDDOWN(('SPT-01'!$M156*'TABELA AUXILIAR'!$J$3+SUM('SPT-01'!$N$18:$N156))/2,0)*0.9</f>
        <v>42205.5</v>
      </c>
      <c r="AA140" s="6">
        <f>ROUNDDOWN(('SPT-01'!$M156*'TABELA AUXILIAR'!$J$4+SUM('SPT-01'!$O$18:$O156))/2,0)*0.9</f>
        <v>45926.1</v>
      </c>
      <c r="AB140" s="6">
        <f>ROUNDDOWN(('SPT-01'!$M156*'TABELA AUXILIAR'!$J$5+SUM('SPT-01'!$P$18:$P156))/2,0)*0.9</f>
        <v>53339.4</v>
      </c>
      <c r="AD140" s="8">
        <v>87.6</v>
      </c>
      <c r="AE140" s="6">
        <f>ROUNDDOWN(('SPT-01'!$M148*'TABELA AUXILIAR'!$J$3+SUM('SPT-01'!$N$10:$N148))/2,0)*0.9</f>
        <v>39834</v>
      </c>
      <c r="AF140" s="6">
        <f>ROUNDDOWN(('SPT-01'!$M148*'TABELA AUXILIAR'!$J$4+SUM('SPT-01'!$O$10:$O148))/2,0)*0.9</f>
        <v>43348.5</v>
      </c>
      <c r="AG140" s="6">
        <f>ROUNDDOWN(('SPT-01'!$M148*'TABELA AUXILIAR'!$J$5+SUM('SPT-01'!$P$10:$P148))/2,0)*0.9</f>
        <v>50354.1</v>
      </c>
    </row>
    <row r="141" spans="10:33" x14ac:dyDescent="0.25">
      <c r="J141" s="1">
        <v>104.4</v>
      </c>
      <c r="K141" s="6">
        <f>ROUNDDOWN(('SPT-01'!$M176*'TABELA AUXILIAR'!$J$3+SUM('SPT-01'!$N$37:$N176))/2,0)*0.9</f>
        <v>46894.5</v>
      </c>
      <c r="L141" s="6">
        <f>ROUNDDOWN(('SPT-01'!$M176*'TABELA AUXILIAR'!$J$4+SUM('SPT-01'!$O$37:$O176))/2,0)*0.9</f>
        <v>51021.9</v>
      </c>
      <c r="M141" s="6">
        <f>ROUNDDOWN(('SPT-01'!$M176*'TABELA AUXILIAR'!$J$5+SUM('SPT-01'!$P$37:$P176))/2,0)*0.9</f>
        <v>59244.3</v>
      </c>
      <c r="N141" s="2"/>
      <c r="O141" s="8">
        <v>102.6</v>
      </c>
      <c r="P141" s="6">
        <f>ROUNDDOWN(('SPT-01'!$M173*'TABELA AUXILIAR'!$J$3+SUM('SPT-01'!$N$34:$N173))/2,0)*0.9</f>
        <v>46380.6</v>
      </c>
      <c r="Q141" s="6">
        <f>ROUNDDOWN(('SPT-01'!$M173*'TABELA AUXILIAR'!$J$4+SUM('SPT-01'!$O$34:$O173))/2,0)*0.9</f>
        <v>50463.9</v>
      </c>
      <c r="R141" s="6">
        <f>ROUNDDOWN(('SPT-01'!$M173*'TABELA AUXILIAR'!$J$5+SUM('SPT-01'!$P$34:$P173))/2,0)*0.9</f>
        <v>58597.200000000004</v>
      </c>
      <c r="T141" s="8">
        <v>97.8</v>
      </c>
      <c r="U141" s="6">
        <f>ROUNDDOWN(('SPT-01'!$M165*'TABELA AUXILIAR'!$J$3+SUM('SPT-01'!$N$26:$N165))/2,0)*0.9</f>
        <v>44679.6</v>
      </c>
      <c r="V141" s="6">
        <f>ROUNDDOWN(('SPT-01'!$M165*'TABELA AUXILIAR'!$J$4+SUM('SPT-01'!$O$26:$O165))/2,0)*0.9</f>
        <v>48613.5</v>
      </c>
      <c r="W141" s="6">
        <f>ROUNDDOWN(('SPT-01'!$M165*'TABELA AUXILIAR'!$J$5+SUM('SPT-01'!$P$26:$P165))/2,0)*0.9</f>
        <v>56452.5</v>
      </c>
      <c r="Y141" s="8">
        <v>93</v>
      </c>
      <c r="Z141" s="6">
        <f>ROUNDDOWN(('SPT-01'!$M157*'TABELA AUXILIAR'!$J$3+SUM('SPT-01'!$N$18:$N157))/2,0)*0.9</f>
        <v>42600.6</v>
      </c>
      <c r="AA141" s="6">
        <f>ROUNDDOWN(('SPT-01'!$M157*'TABELA AUXILIAR'!$J$4+SUM('SPT-01'!$O$18:$O157))/2,0)*0.9</f>
        <v>46354.5</v>
      </c>
      <c r="AB141" s="6">
        <f>ROUNDDOWN(('SPT-01'!$M157*'TABELA AUXILIAR'!$J$5+SUM('SPT-01'!$P$18:$P157))/2,0)*0.9</f>
        <v>53835.3</v>
      </c>
      <c r="AD141" s="8">
        <v>88.2</v>
      </c>
      <c r="AE141" s="6">
        <f>ROUNDDOWN(('SPT-01'!$M149*'TABELA AUXILIAR'!$J$3+SUM('SPT-01'!$N$10:$N149))/2,0)*0.9</f>
        <v>40217.4</v>
      </c>
      <c r="AF141" s="6">
        <f>ROUNDDOWN(('SPT-01'!$M149*'TABELA AUXILIAR'!$J$4+SUM('SPT-01'!$O$10:$O149))/2,0)*0.9</f>
        <v>43765.200000000004</v>
      </c>
      <c r="AG141" s="6">
        <f>ROUNDDOWN(('SPT-01'!$M149*'TABELA AUXILIAR'!$J$5+SUM('SPT-01'!$P$10:$P149))/2,0)*0.9</f>
        <v>50837.4</v>
      </c>
    </row>
    <row r="142" spans="10:33" x14ac:dyDescent="0.25">
      <c r="J142" s="1">
        <v>105</v>
      </c>
      <c r="K142" s="6">
        <f>ROUNDDOWN(('SPT-01'!$M177*'TABELA AUXILIAR'!$J$3+SUM('SPT-01'!$N$37:$N177))/2,0)*0.9</f>
        <v>47315.700000000004</v>
      </c>
      <c r="L142" s="6">
        <f>ROUNDDOWN(('SPT-01'!$M177*'TABELA AUXILIAR'!$J$4+SUM('SPT-01'!$O$37:$O177))/2,0)*0.9</f>
        <v>51480</v>
      </c>
      <c r="M142" s="6">
        <f>ROUNDDOWN(('SPT-01'!$M177*'TABELA AUXILIAR'!$J$5+SUM('SPT-01'!$P$37:$P177))/2,0)*0.9</f>
        <v>59774.400000000001</v>
      </c>
      <c r="N142" s="2"/>
      <c r="O142" s="8">
        <v>103.2</v>
      </c>
      <c r="P142" s="6">
        <f>ROUNDDOWN(('SPT-01'!$M174*'TABELA AUXILIAR'!$J$3+SUM('SPT-01'!$N$34:$N174))/2,0)*0.9</f>
        <v>46799.1</v>
      </c>
      <c r="Q142" s="6">
        <f>ROUNDDOWN(('SPT-01'!$M174*'TABELA AUXILIAR'!$J$4+SUM('SPT-01'!$O$34:$O174))/2,0)*0.9</f>
        <v>50917.5</v>
      </c>
      <c r="R142" s="6">
        <f>ROUNDDOWN(('SPT-01'!$M174*'TABELA AUXILIAR'!$J$5+SUM('SPT-01'!$P$34:$P174))/2,0)*0.9</f>
        <v>59121.9</v>
      </c>
      <c r="T142" s="8">
        <v>98.4</v>
      </c>
      <c r="U142" s="6">
        <f>ROUNDDOWN(('SPT-01'!$M166*'TABELA AUXILIAR'!$J$3+SUM('SPT-01'!$N$26:$N166))/2,0)*0.9</f>
        <v>45086.400000000001</v>
      </c>
      <c r="V142" s="6">
        <f>ROUNDDOWN(('SPT-01'!$M166*'TABELA AUXILIAR'!$J$4+SUM('SPT-01'!$O$26:$O166))/2,0)*0.9</f>
        <v>49056.3</v>
      </c>
      <c r="W142" s="6">
        <f>ROUNDDOWN(('SPT-01'!$M166*'TABELA AUXILIAR'!$J$5+SUM('SPT-01'!$P$26:$P166))/2,0)*0.9</f>
        <v>56963.700000000004</v>
      </c>
      <c r="Y142" s="8">
        <v>93.6</v>
      </c>
      <c r="Z142" s="6">
        <f>ROUNDDOWN(('SPT-01'!$M158*'TABELA AUXILIAR'!$J$3+SUM('SPT-01'!$N$18:$N158))/2,0)*0.9</f>
        <v>42997.5</v>
      </c>
      <c r="AA142" s="6">
        <f>ROUNDDOWN(('SPT-01'!$M158*'TABELA AUXILIAR'!$J$4+SUM('SPT-01'!$O$18:$O158))/2,0)*0.9</f>
        <v>46785.599999999999</v>
      </c>
      <c r="AB142" s="6">
        <f>ROUNDDOWN(('SPT-01'!$M158*'TABELA AUXILIAR'!$J$5+SUM('SPT-01'!$P$18:$P158))/2,0)*0.9</f>
        <v>54333.9</v>
      </c>
      <c r="AD142" s="8">
        <v>88.8</v>
      </c>
      <c r="AE142" s="6">
        <f>ROUNDDOWN(('SPT-01'!$M150*'TABELA AUXILIAR'!$J$3+SUM('SPT-01'!$N$10:$N150))/2,0)*0.9</f>
        <v>40602.6</v>
      </c>
      <c r="AF142" s="6">
        <f>ROUNDDOWN(('SPT-01'!$M150*'TABELA AUXILIAR'!$J$4+SUM('SPT-01'!$O$10:$O150))/2,0)*0.9</f>
        <v>44183.700000000004</v>
      </c>
      <c r="AG142" s="6">
        <f>ROUNDDOWN(('SPT-01'!$M150*'TABELA AUXILIAR'!$J$5+SUM('SPT-01'!$P$10:$P150))/2,0)*0.9</f>
        <v>51321.599999999999</v>
      </c>
    </row>
    <row r="143" spans="10:33" x14ac:dyDescent="0.25">
      <c r="J143" s="1">
        <v>105.6</v>
      </c>
      <c r="K143" s="6">
        <f>ROUNDDOWN(('SPT-01'!$M178*'TABELA AUXILIAR'!$J$3+SUM('SPT-01'!$N$37:$N178))/2,0)*0.9</f>
        <v>47739.6</v>
      </c>
      <c r="L143" s="6">
        <f>ROUNDDOWN(('SPT-01'!$M178*'TABELA AUXILIAR'!$J$4+SUM('SPT-01'!$O$37:$O178))/2,0)*0.9</f>
        <v>51939.9</v>
      </c>
      <c r="M143" s="6">
        <f>ROUNDDOWN(('SPT-01'!$M178*'TABELA AUXILIAR'!$J$5+SUM('SPT-01'!$P$37:$P178))/2,0)*0.9</f>
        <v>60306.3</v>
      </c>
      <c r="N143" s="2"/>
      <c r="O143" s="8">
        <v>103.8</v>
      </c>
      <c r="P143" s="6">
        <f>ROUNDDOWN(('SPT-01'!$M175*'TABELA AUXILIAR'!$J$3+SUM('SPT-01'!$N$34:$N175))/2,0)*0.9</f>
        <v>47217.599999999999</v>
      </c>
      <c r="Q143" s="6">
        <f>ROUNDDOWN(('SPT-01'!$M175*'TABELA AUXILIAR'!$J$4+SUM('SPT-01'!$O$34:$O175))/2,0)*0.9</f>
        <v>51372.9</v>
      </c>
      <c r="R143" s="6">
        <f>ROUNDDOWN(('SPT-01'!$M175*'TABELA AUXILIAR'!$J$5+SUM('SPT-01'!$P$34:$P175))/2,0)*0.9</f>
        <v>59648.4</v>
      </c>
      <c r="T143" s="8">
        <v>99</v>
      </c>
      <c r="U143" s="6">
        <f>ROUNDDOWN(('SPT-01'!$M167*'TABELA AUXILIAR'!$J$3+SUM('SPT-01'!$N$26:$N167))/2,0)*0.9</f>
        <v>45495</v>
      </c>
      <c r="V143" s="6">
        <f>ROUNDDOWN(('SPT-01'!$M167*'TABELA AUXILIAR'!$J$4+SUM('SPT-01'!$O$26:$O167))/2,0)*0.9</f>
        <v>49500</v>
      </c>
      <c r="W143" s="6">
        <f>ROUNDDOWN(('SPT-01'!$M167*'TABELA AUXILIAR'!$J$5+SUM('SPT-01'!$P$26:$P167))/2,0)*0.9</f>
        <v>57477.599999999999</v>
      </c>
      <c r="Y143" s="8">
        <v>94.2</v>
      </c>
      <c r="Z143" s="6">
        <f>ROUNDDOWN(('SPT-01'!$M159*'TABELA AUXILIAR'!$J$3+SUM('SPT-01'!$N$18:$N159))/2,0)*0.9</f>
        <v>43394.400000000001</v>
      </c>
      <c r="AA143" s="6">
        <f>ROUNDDOWN(('SPT-01'!$M159*'TABELA AUXILIAR'!$J$4+SUM('SPT-01'!$O$18:$O159))/2,0)*0.9</f>
        <v>47217.599999999999</v>
      </c>
      <c r="AB143" s="6">
        <f>ROUNDDOWN(('SPT-01'!$M159*'TABELA AUXILIAR'!$J$5+SUM('SPT-01'!$P$18:$P159))/2,0)*0.9</f>
        <v>54833.4</v>
      </c>
      <c r="AD143" s="8">
        <v>89.4</v>
      </c>
      <c r="AE143" s="6">
        <f>ROUNDDOWN(('SPT-01'!$M151*'TABELA AUXILIAR'!$J$3+SUM('SPT-01'!$N$10:$N151))/2,0)*0.9</f>
        <v>40989.599999999999</v>
      </c>
      <c r="AF143" s="6">
        <f>ROUNDDOWN(('SPT-01'!$M151*'TABELA AUXILIAR'!$J$4+SUM('SPT-01'!$O$10:$O151))/2,0)*0.9</f>
        <v>44604</v>
      </c>
      <c r="AG143" s="6">
        <f>ROUNDDOWN(('SPT-01'!$M151*'TABELA AUXILIAR'!$J$5+SUM('SPT-01'!$P$10:$P151))/2,0)*0.9</f>
        <v>51807.6</v>
      </c>
    </row>
    <row r="144" spans="10:33" x14ac:dyDescent="0.25">
      <c r="J144" s="1">
        <v>106.2</v>
      </c>
      <c r="K144" s="6">
        <f>ROUNDDOWN(('SPT-01'!$M179*'TABELA AUXILIAR'!$J$3+SUM('SPT-01'!$N$37:$N179))/2,0)*0.9</f>
        <v>48163.5</v>
      </c>
      <c r="L144" s="6">
        <f>ROUNDDOWN(('SPT-01'!$M179*'TABELA AUXILIAR'!$J$4+SUM('SPT-01'!$O$37:$O179))/2,0)*0.9</f>
        <v>52400.700000000004</v>
      </c>
      <c r="M144" s="6">
        <f>ROUNDDOWN(('SPT-01'!$M179*'TABELA AUXILIAR'!$J$5+SUM('SPT-01'!$P$37:$P179))/2,0)*0.9</f>
        <v>60840</v>
      </c>
      <c r="N144" s="2"/>
      <c r="O144" s="8">
        <v>104.4</v>
      </c>
      <c r="P144" s="6">
        <f>ROUNDDOWN(('SPT-01'!$M176*'TABELA AUXILIAR'!$J$3+SUM('SPT-01'!$N$34:$N176))/2,0)*0.9</f>
        <v>47638.8</v>
      </c>
      <c r="Q144" s="6">
        <f>ROUNDDOWN(('SPT-01'!$M176*'TABELA AUXILIAR'!$J$4+SUM('SPT-01'!$O$34:$O176))/2,0)*0.9</f>
        <v>51829.200000000004</v>
      </c>
      <c r="R144" s="6">
        <f>ROUNDDOWN(('SPT-01'!$M176*'TABELA AUXILIAR'!$J$5+SUM('SPT-01'!$P$34:$P176))/2,0)*0.9</f>
        <v>60176.700000000004</v>
      </c>
      <c r="T144" s="8">
        <v>99.6</v>
      </c>
      <c r="U144" s="6">
        <f>ROUNDDOWN(('SPT-01'!$M168*'TABELA AUXILIAR'!$J$3+SUM('SPT-01'!$N$26:$N168))/2,0)*0.9</f>
        <v>45904.5</v>
      </c>
      <c r="V144" s="6">
        <f>ROUNDDOWN(('SPT-01'!$M168*'TABELA AUXILIAR'!$J$4+SUM('SPT-01'!$O$26:$O168))/2,0)*0.9</f>
        <v>49944.6</v>
      </c>
      <c r="W144" s="6">
        <f>ROUNDDOWN(('SPT-01'!$M168*'TABELA AUXILIAR'!$J$5+SUM('SPT-01'!$P$26:$P168))/2,0)*0.9</f>
        <v>57992.4</v>
      </c>
      <c r="Y144" s="8">
        <v>94.8</v>
      </c>
      <c r="Z144" s="6">
        <f>ROUNDDOWN(('SPT-01'!$M160*'TABELA AUXILIAR'!$J$3+SUM('SPT-01'!$N$18:$N160))/2,0)*0.9</f>
        <v>43794</v>
      </c>
      <c r="AA144" s="6">
        <f>ROUNDDOWN(('SPT-01'!$M160*'TABELA AUXILIAR'!$J$4+SUM('SPT-01'!$O$18:$O160))/2,0)*0.9</f>
        <v>47650.5</v>
      </c>
      <c r="AB144" s="6">
        <f>ROUNDDOWN(('SPT-01'!$M160*'TABELA AUXILIAR'!$J$5+SUM('SPT-01'!$P$18:$P160))/2,0)*0.9</f>
        <v>55335.6</v>
      </c>
      <c r="AD144" s="8">
        <v>90</v>
      </c>
      <c r="AE144" s="6">
        <f>ROUNDDOWN(('SPT-01'!$M152*'TABELA AUXILIAR'!$J$3+SUM('SPT-01'!$N$10:$N152))/2,0)*0.9</f>
        <v>41377.5</v>
      </c>
      <c r="AF144" s="6">
        <f>ROUNDDOWN(('SPT-01'!$M152*'TABELA AUXILIAR'!$J$4+SUM('SPT-01'!$O$10:$O152))/2,0)*0.9</f>
        <v>45025.200000000004</v>
      </c>
      <c r="AG144" s="6">
        <f>ROUNDDOWN(('SPT-01'!$M152*'TABELA AUXILIAR'!$J$5+SUM('SPT-01'!$P$10:$P152))/2,0)*0.9</f>
        <v>52295.4</v>
      </c>
    </row>
    <row r="145" spans="10:33" x14ac:dyDescent="0.25">
      <c r="J145" s="1">
        <v>106.8</v>
      </c>
      <c r="K145" s="6">
        <f>ROUNDDOWN(('SPT-01'!$M180*'TABELA AUXILIAR'!$J$3+SUM('SPT-01'!$N$37:$N180))/2,0)*0.9</f>
        <v>48589.200000000004</v>
      </c>
      <c r="L145" s="6">
        <f>ROUNDDOWN(('SPT-01'!$M180*'TABELA AUXILIAR'!$J$4+SUM('SPT-01'!$O$37:$O180))/2,0)*0.9</f>
        <v>52863.3</v>
      </c>
      <c r="M145" s="6">
        <f>ROUNDDOWN(('SPT-01'!$M180*'TABELA AUXILIAR'!$J$5+SUM('SPT-01'!$P$37:$P180))/2,0)*0.9</f>
        <v>61374.6</v>
      </c>
      <c r="N145" s="2"/>
      <c r="O145" s="8">
        <v>105</v>
      </c>
      <c r="P145" s="6">
        <f>ROUNDDOWN(('SPT-01'!$M177*'TABELA AUXILIAR'!$J$3+SUM('SPT-01'!$N$34:$N177))/2,0)*0.9</f>
        <v>48060</v>
      </c>
      <c r="Q145" s="6">
        <f>ROUNDDOWN(('SPT-01'!$M177*'TABELA AUXILIAR'!$J$4+SUM('SPT-01'!$O$34:$O177))/2,0)*0.9</f>
        <v>52288.200000000004</v>
      </c>
      <c r="R145" s="6">
        <f>ROUNDDOWN(('SPT-01'!$M177*'TABELA AUXILIAR'!$J$5+SUM('SPT-01'!$P$34:$P177))/2,0)*0.9</f>
        <v>60706.8</v>
      </c>
      <c r="T145" s="8">
        <v>100.2</v>
      </c>
      <c r="U145" s="6">
        <f>ROUNDDOWN(('SPT-01'!$M169*'TABELA AUXILIAR'!$J$3+SUM('SPT-01'!$N$26:$N169))/2,0)*0.9</f>
        <v>46315.8</v>
      </c>
      <c r="V145" s="6">
        <f>ROUNDDOWN(('SPT-01'!$M169*'TABELA AUXILIAR'!$J$4+SUM('SPT-01'!$O$26:$O169))/2,0)*0.9</f>
        <v>50391.9</v>
      </c>
      <c r="W145" s="6">
        <f>ROUNDDOWN(('SPT-01'!$M169*'TABELA AUXILIAR'!$J$5+SUM('SPT-01'!$P$26:$P169))/2,0)*0.9</f>
        <v>58509</v>
      </c>
      <c r="Y145" s="8">
        <v>95.4</v>
      </c>
      <c r="Z145" s="6">
        <f>ROUNDDOWN(('SPT-01'!$M161*'TABELA AUXILIAR'!$J$3+SUM('SPT-01'!$N$18:$N161))/2,0)*0.9</f>
        <v>44194.5</v>
      </c>
      <c r="AA145" s="6">
        <f>ROUNDDOWN(('SPT-01'!$M161*'TABELA AUXILIAR'!$J$4+SUM('SPT-01'!$O$18:$O161))/2,0)*0.9</f>
        <v>48086.1</v>
      </c>
      <c r="AB145" s="6">
        <f>ROUNDDOWN(('SPT-01'!$M161*'TABELA AUXILIAR'!$J$5+SUM('SPT-01'!$P$18:$P161))/2,0)*0.9</f>
        <v>55838.700000000004</v>
      </c>
      <c r="AD145" s="8">
        <v>90.6</v>
      </c>
      <c r="AE145" s="6">
        <f>ROUNDDOWN(('SPT-01'!$M153*'TABELA AUXILIAR'!$J$3+SUM('SPT-01'!$N$10:$N153))/2,0)*0.9</f>
        <v>41767.200000000004</v>
      </c>
      <c r="AF145" s="6">
        <f>ROUNDDOWN(('SPT-01'!$M153*'TABELA AUXILIAR'!$J$4+SUM('SPT-01'!$O$10:$O153))/2,0)*0.9</f>
        <v>45448.200000000004</v>
      </c>
      <c r="AG145" s="6">
        <f>ROUNDDOWN(('SPT-01'!$M153*'TABELA AUXILIAR'!$J$5+SUM('SPT-01'!$P$10:$P153))/2,0)*0.9</f>
        <v>52785</v>
      </c>
    </row>
    <row r="146" spans="10:33" x14ac:dyDescent="0.25">
      <c r="J146" s="1">
        <v>107.4</v>
      </c>
      <c r="K146" s="6">
        <f>ROUNDDOWN(('SPT-01'!$M181*'TABELA AUXILIAR'!$J$3+SUM('SPT-01'!$N$37:$N181))/2,0)*0.9</f>
        <v>49016.700000000004</v>
      </c>
      <c r="L146" s="6">
        <f>ROUNDDOWN(('SPT-01'!$M181*'TABELA AUXILIAR'!$J$4+SUM('SPT-01'!$O$37:$O181))/2,0)*0.9</f>
        <v>53326.8</v>
      </c>
      <c r="M146" s="6">
        <f>ROUNDDOWN(('SPT-01'!$M181*'TABELA AUXILIAR'!$J$5+SUM('SPT-01'!$P$37:$P181))/2,0)*0.9</f>
        <v>61911</v>
      </c>
      <c r="N146" s="2"/>
      <c r="O146" s="8">
        <v>105.6</v>
      </c>
      <c r="P146" s="6">
        <f>ROUNDDOWN(('SPT-01'!$M178*'TABELA AUXILIAR'!$J$3+SUM('SPT-01'!$N$34:$N178))/2,0)*0.9</f>
        <v>48483.9</v>
      </c>
      <c r="Q146" s="6">
        <f>ROUNDDOWN(('SPT-01'!$M178*'TABELA AUXILIAR'!$J$4+SUM('SPT-01'!$O$34:$O178))/2,0)*0.9</f>
        <v>52747.200000000004</v>
      </c>
      <c r="R146" s="6">
        <f>ROUNDDOWN(('SPT-01'!$M178*'TABELA AUXILIAR'!$J$5+SUM('SPT-01'!$P$34:$P178))/2,0)*0.9</f>
        <v>61238.700000000004</v>
      </c>
      <c r="T146" s="8">
        <v>100.8</v>
      </c>
      <c r="U146" s="6">
        <f>ROUNDDOWN(('SPT-01'!$M170*'TABELA AUXILIAR'!$J$3+SUM('SPT-01'!$N$26:$N170))/2,0)*0.9</f>
        <v>46728.9</v>
      </c>
      <c r="V146" s="6">
        <f>ROUNDDOWN(('SPT-01'!$M170*'TABELA AUXILIAR'!$J$4+SUM('SPT-01'!$O$26:$O170))/2,0)*0.9</f>
        <v>50840.1</v>
      </c>
      <c r="W146" s="6">
        <f>ROUNDDOWN(('SPT-01'!$M170*'TABELA AUXILIAR'!$J$5+SUM('SPT-01'!$P$26:$P170))/2,0)*0.9</f>
        <v>59027.4</v>
      </c>
      <c r="Y146" s="8">
        <v>96</v>
      </c>
      <c r="Z146" s="6">
        <f>ROUNDDOWN(('SPT-01'!$M162*'TABELA AUXILIAR'!$J$3+SUM('SPT-01'!$N$18:$N162))/2,0)*0.9</f>
        <v>44595.9</v>
      </c>
      <c r="AA146" s="6">
        <f>ROUNDDOWN(('SPT-01'!$M162*'TABELA AUXILIAR'!$J$4+SUM('SPT-01'!$O$18:$O162))/2,0)*0.9</f>
        <v>48522.6</v>
      </c>
      <c r="AB146" s="6">
        <f>ROUNDDOWN(('SPT-01'!$M162*'TABELA AUXILIAR'!$J$5+SUM('SPT-01'!$P$18:$P162))/2,0)*0.9</f>
        <v>56343.6</v>
      </c>
      <c r="AD146" s="8">
        <v>91.2</v>
      </c>
      <c r="AE146" s="6">
        <f>ROUNDDOWN(('SPT-01'!$M154*'TABELA AUXILIAR'!$J$3+SUM('SPT-01'!$N$10:$N154))/2,0)*0.9</f>
        <v>42157.8</v>
      </c>
      <c r="AF146" s="6">
        <f>ROUNDDOWN(('SPT-01'!$M154*'TABELA AUXILIAR'!$J$4+SUM('SPT-01'!$O$10:$O154))/2,0)*0.9</f>
        <v>45873</v>
      </c>
      <c r="AG146" s="6">
        <f>ROUNDDOWN(('SPT-01'!$M154*'TABELA AUXILIAR'!$J$5+SUM('SPT-01'!$P$10:$P154))/2,0)*0.9</f>
        <v>53275.5</v>
      </c>
    </row>
    <row r="147" spans="10:33" x14ac:dyDescent="0.25">
      <c r="J147" s="1">
        <v>108</v>
      </c>
      <c r="K147" s="6">
        <f>ROUNDDOWN(('SPT-01'!$M182*'TABELA AUXILIAR'!$J$3+SUM('SPT-01'!$N$37:$N182))/2,0)*0.9</f>
        <v>49445.1</v>
      </c>
      <c r="L147" s="6">
        <f>ROUNDDOWN(('SPT-01'!$M182*'TABELA AUXILIAR'!$J$4+SUM('SPT-01'!$O$37:$O182))/2,0)*0.9</f>
        <v>53792.1</v>
      </c>
      <c r="M147" s="6">
        <f>ROUNDDOWN(('SPT-01'!$M182*'TABELA AUXILIAR'!$J$5+SUM('SPT-01'!$P$37:$P182))/2,0)*0.9</f>
        <v>62449.200000000004</v>
      </c>
      <c r="N147" s="2"/>
      <c r="O147" s="8">
        <v>106.2</v>
      </c>
      <c r="P147" s="6">
        <f>ROUNDDOWN(('SPT-01'!$M179*'TABELA AUXILIAR'!$J$3+SUM('SPT-01'!$N$34:$N179))/2,0)*0.9</f>
        <v>48907.8</v>
      </c>
      <c r="Q147" s="6">
        <f>ROUNDDOWN(('SPT-01'!$M179*'TABELA AUXILIAR'!$J$4+SUM('SPT-01'!$O$34:$O179))/2,0)*0.9</f>
        <v>53208</v>
      </c>
      <c r="R147" s="6">
        <f>ROUNDDOWN(('SPT-01'!$M179*'TABELA AUXILIAR'!$J$5+SUM('SPT-01'!$P$34:$P179))/2,0)*0.9</f>
        <v>61771.5</v>
      </c>
      <c r="T147" s="8">
        <v>101.4</v>
      </c>
      <c r="U147" s="6">
        <f>ROUNDDOWN(('SPT-01'!$M171*'TABELA AUXILIAR'!$J$3+SUM('SPT-01'!$N$26:$N171))/2,0)*0.9</f>
        <v>47142.9</v>
      </c>
      <c r="V147" s="6">
        <f>ROUNDDOWN(('SPT-01'!$M171*'TABELA AUXILIAR'!$J$4+SUM('SPT-01'!$O$26:$O171))/2,0)*0.9</f>
        <v>51289.200000000004</v>
      </c>
      <c r="W147" s="6">
        <f>ROUNDDOWN(('SPT-01'!$M171*'TABELA AUXILIAR'!$J$5+SUM('SPT-01'!$P$26:$P171))/2,0)*0.9</f>
        <v>59547.6</v>
      </c>
      <c r="Y147" s="8">
        <v>96.6</v>
      </c>
      <c r="Z147" s="6">
        <f>ROUNDDOWN(('SPT-01'!$M163*'TABELA AUXILIAR'!$J$3+SUM('SPT-01'!$N$18:$N163))/2,0)*0.9</f>
        <v>44999.1</v>
      </c>
      <c r="AA147" s="6">
        <f>ROUNDDOWN(('SPT-01'!$M163*'TABELA AUXILIAR'!$J$4+SUM('SPT-01'!$O$18:$O163))/2,0)*0.9</f>
        <v>48960</v>
      </c>
      <c r="AB147" s="6">
        <f>ROUNDDOWN(('SPT-01'!$M163*'TABELA AUXILIAR'!$J$5+SUM('SPT-01'!$P$18:$P163))/2,0)*0.9</f>
        <v>56850.3</v>
      </c>
      <c r="AD147" s="8">
        <v>91.8</v>
      </c>
      <c r="AE147" s="6">
        <f>ROUNDDOWN(('SPT-01'!$M155*'TABELA AUXILIAR'!$J$3+SUM('SPT-01'!$N$10:$N155))/2,0)*0.9</f>
        <v>42550.200000000004</v>
      </c>
      <c r="AF147" s="6">
        <f>ROUNDDOWN(('SPT-01'!$M155*'TABELA AUXILIAR'!$J$4+SUM('SPT-01'!$O$10:$O155))/2,0)*0.9</f>
        <v>46298.700000000004</v>
      </c>
      <c r="AG147" s="6">
        <f>ROUNDDOWN(('SPT-01'!$M155*'TABELA AUXILIAR'!$J$5+SUM('SPT-01'!$P$10:$P155))/2,0)*0.9</f>
        <v>53768.700000000004</v>
      </c>
    </row>
    <row r="148" spans="10:33" x14ac:dyDescent="0.25">
      <c r="J148" s="1">
        <v>108.6</v>
      </c>
      <c r="K148" s="6">
        <f>ROUNDDOWN(('SPT-01'!$M183*'TABELA AUXILIAR'!$J$3+SUM('SPT-01'!$N$37:$N183))/2,0)*0.9</f>
        <v>49874.400000000001</v>
      </c>
      <c r="L148" s="6">
        <f>ROUNDDOWN(('SPT-01'!$M183*'TABELA AUXILIAR'!$J$4+SUM('SPT-01'!$O$37:$O183))/2,0)*0.9</f>
        <v>54259.200000000004</v>
      </c>
      <c r="M148" s="6">
        <f>ROUNDDOWN(('SPT-01'!$M183*'TABELA AUXILIAR'!$J$5+SUM('SPT-01'!$P$37:$P183))/2,0)*0.9</f>
        <v>62989.200000000004</v>
      </c>
      <c r="N148" s="2"/>
      <c r="O148" s="8">
        <v>106.8</v>
      </c>
      <c r="P148" s="6">
        <f>ROUNDDOWN(('SPT-01'!$M180*'TABELA AUXILIAR'!$J$3+SUM('SPT-01'!$N$34:$N180))/2,0)*0.9</f>
        <v>49333.5</v>
      </c>
      <c r="Q148" s="6">
        <f>ROUNDDOWN(('SPT-01'!$M180*'TABELA AUXILIAR'!$J$4+SUM('SPT-01'!$O$34:$O180))/2,0)*0.9</f>
        <v>53670.6</v>
      </c>
      <c r="R148" s="6">
        <f>ROUNDDOWN(('SPT-01'!$M180*'TABELA AUXILIAR'!$J$5+SUM('SPT-01'!$P$34:$P180))/2,0)*0.9</f>
        <v>62307</v>
      </c>
      <c r="T148" s="8">
        <v>102</v>
      </c>
      <c r="U148" s="6">
        <f>ROUNDDOWN(('SPT-01'!$M172*'TABELA AUXILIAR'!$J$3+SUM('SPT-01'!$N$26:$N172))/2,0)*0.9</f>
        <v>47557.8</v>
      </c>
      <c r="V148" s="6">
        <f>ROUNDDOWN(('SPT-01'!$M172*'TABELA AUXILIAR'!$J$4+SUM('SPT-01'!$O$26:$O172))/2,0)*0.9</f>
        <v>51740.1</v>
      </c>
      <c r="W148" s="6">
        <f>ROUNDDOWN(('SPT-01'!$M172*'TABELA AUXILIAR'!$J$5+SUM('SPT-01'!$P$26:$P172))/2,0)*0.9</f>
        <v>60069.599999999999</v>
      </c>
      <c r="Y148" s="8">
        <v>97.2</v>
      </c>
      <c r="Z148" s="6">
        <f>ROUNDDOWN(('SPT-01'!$M164*'TABELA AUXILIAR'!$J$3+SUM('SPT-01'!$N$18:$N164))/2,0)*0.9</f>
        <v>45404.1</v>
      </c>
      <c r="AA148" s="6">
        <f>ROUNDDOWN(('SPT-01'!$M164*'TABELA AUXILIAR'!$J$4+SUM('SPT-01'!$O$18:$O164))/2,0)*0.9</f>
        <v>49399.200000000004</v>
      </c>
      <c r="AB148" s="6">
        <f>ROUNDDOWN(('SPT-01'!$M164*'TABELA AUXILIAR'!$J$5+SUM('SPT-01'!$P$18:$P164))/2,0)*0.9</f>
        <v>57357.9</v>
      </c>
      <c r="AD148" s="8">
        <v>92.4</v>
      </c>
      <c r="AE148" s="6">
        <f>ROUNDDOWN(('SPT-01'!$M156*'TABELA AUXILIAR'!$J$3+SUM('SPT-01'!$N$10:$N156))/2,0)*0.9</f>
        <v>42943.5</v>
      </c>
      <c r="AF148" s="6">
        <f>ROUNDDOWN(('SPT-01'!$M156*'TABELA AUXILIAR'!$J$4+SUM('SPT-01'!$O$10:$O156))/2,0)*0.9</f>
        <v>46726.200000000004</v>
      </c>
      <c r="AG148" s="6">
        <f>ROUNDDOWN(('SPT-01'!$M156*'TABELA AUXILIAR'!$J$5+SUM('SPT-01'!$P$10:$P156))/2,0)*0.9</f>
        <v>54263.700000000004</v>
      </c>
    </row>
    <row r="149" spans="10:33" x14ac:dyDescent="0.25">
      <c r="J149" s="1">
        <v>109.2</v>
      </c>
      <c r="K149" s="6">
        <f>ROUNDDOWN(('SPT-01'!$M184*'TABELA AUXILIAR'!$J$3+SUM('SPT-01'!$N$37:$N184))/2,0)*0.9</f>
        <v>50305.5</v>
      </c>
      <c r="L149" s="6">
        <f>ROUNDDOWN(('SPT-01'!$M184*'TABELA AUXILIAR'!$J$4+SUM('SPT-01'!$O$37:$O184))/2,0)*0.9</f>
        <v>54727.200000000004</v>
      </c>
      <c r="M149" s="6">
        <f>ROUNDDOWN(('SPT-01'!$M184*'TABELA AUXILIAR'!$J$5+SUM('SPT-01'!$P$37:$P184))/2,0)*0.9</f>
        <v>63531</v>
      </c>
      <c r="N149" s="2"/>
      <c r="O149" s="8">
        <v>107.4</v>
      </c>
      <c r="P149" s="6">
        <f>ROUNDDOWN(('SPT-01'!$M181*'TABELA AUXILIAR'!$J$3+SUM('SPT-01'!$N$34:$N181))/2,0)*0.9</f>
        <v>49761</v>
      </c>
      <c r="Q149" s="6">
        <f>ROUNDDOWN(('SPT-01'!$M181*'TABELA AUXILIAR'!$J$4+SUM('SPT-01'!$O$34:$O181))/2,0)*0.9</f>
        <v>54135</v>
      </c>
      <c r="R149" s="6">
        <f>ROUNDDOWN(('SPT-01'!$M181*'TABELA AUXILIAR'!$J$5+SUM('SPT-01'!$P$34:$P181))/2,0)*0.9</f>
        <v>62843.4</v>
      </c>
      <c r="T149" s="8">
        <v>102.6</v>
      </c>
      <c r="U149" s="6">
        <f>ROUNDDOWN(('SPT-01'!$M173*'TABELA AUXILIAR'!$J$3+SUM('SPT-01'!$N$26:$N173))/2,0)*0.9</f>
        <v>47974.5</v>
      </c>
      <c r="V149" s="6">
        <f>ROUNDDOWN(('SPT-01'!$M173*'TABELA AUXILIAR'!$J$4+SUM('SPT-01'!$O$26:$O173))/2,0)*0.9</f>
        <v>52192.800000000003</v>
      </c>
      <c r="W149" s="6">
        <f>ROUNDDOWN(('SPT-01'!$M173*'TABELA AUXILIAR'!$J$5+SUM('SPT-01'!$P$26:$P173))/2,0)*0.9</f>
        <v>60592.5</v>
      </c>
      <c r="Y149" s="8">
        <v>97.8</v>
      </c>
      <c r="Z149" s="6">
        <f>ROUNDDOWN(('SPT-01'!$M165*'TABELA AUXILIAR'!$J$3+SUM('SPT-01'!$N$18:$N165))/2,0)*0.9</f>
        <v>45810</v>
      </c>
      <c r="AA149" s="6">
        <f>ROUNDDOWN(('SPT-01'!$M165*'TABELA AUXILIAR'!$J$4+SUM('SPT-01'!$O$18:$O165))/2,0)*0.9</f>
        <v>49840.200000000004</v>
      </c>
      <c r="AB149" s="6">
        <f>ROUNDDOWN(('SPT-01'!$M165*'TABELA AUXILIAR'!$J$5+SUM('SPT-01'!$P$18:$P165))/2,0)*0.9</f>
        <v>57868.200000000004</v>
      </c>
      <c r="AD149" s="8">
        <v>93</v>
      </c>
      <c r="AE149" s="6">
        <f>ROUNDDOWN(('SPT-01'!$M157*'TABELA AUXILIAR'!$J$3+SUM('SPT-01'!$N$10:$N157))/2,0)*0.9</f>
        <v>43338.6</v>
      </c>
      <c r="AF149" s="6">
        <f>ROUNDDOWN(('SPT-01'!$M157*'TABELA AUXILIAR'!$J$4+SUM('SPT-01'!$O$10:$O157))/2,0)*0.9</f>
        <v>47155.5</v>
      </c>
      <c r="AG149" s="6">
        <f>ROUNDDOWN(('SPT-01'!$M157*'TABELA AUXILIAR'!$J$5+SUM('SPT-01'!$P$10:$P157))/2,0)*0.9</f>
        <v>54759.6</v>
      </c>
    </row>
    <row r="150" spans="10:33" x14ac:dyDescent="0.25">
      <c r="J150" s="1">
        <v>109.8</v>
      </c>
      <c r="K150" s="6">
        <f>ROUNDDOWN(('SPT-01'!$M185*'TABELA AUXILIAR'!$J$3+SUM('SPT-01'!$N$37:$N185))/2,0)*0.9</f>
        <v>50737.5</v>
      </c>
      <c r="L150" s="6">
        <f>ROUNDDOWN(('SPT-01'!$M185*'TABELA AUXILIAR'!$J$4+SUM('SPT-01'!$O$37:$O185))/2,0)*0.9</f>
        <v>55197</v>
      </c>
      <c r="M150" s="6">
        <f>ROUNDDOWN(('SPT-01'!$M185*'TABELA AUXILIAR'!$J$5+SUM('SPT-01'!$P$37:$P185))/2,0)*0.9</f>
        <v>64073.700000000004</v>
      </c>
      <c r="N150" s="2"/>
      <c r="O150" s="8">
        <v>108</v>
      </c>
      <c r="P150" s="6">
        <f>ROUNDDOWN(('SPT-01'!$M182*'TABELA AUXILIAR'!$J$3+SUM('SPT-01'!$N$34:$N182))/2,0)*0.9</f>
        <v>50189.4</v>
      </c>
      <c r="Q150" s="6">
        <f>ROUNDDOWN(('SPT-01'!$M182*'TABELA AUXILIAR'!$J$4+SUM('SPT-01'!$O$34:$O182))/2,0)*0.9</f>
        <v>54600.3</v>
      </c>
      <c r="R150" s="6">
        <f>ROUNDDOWN(('SPT-01'!$M182*'TABELA AUXILIAR'!$J$5+SUM('SPT-01'!$P$34:$P182))/2,0)*0.9</f>
        <v>63381.599999999999</v>
      </c>
      <c r="T150" s="8">
        <v>103.2</v>
      </c>
      <c r="U150" s="6">
        <f>ROUNDDOWN(('SPT-01'!$M174*'TABELA AUXILIAR'!$J$3+SUM('SPT-01'!$N$26:$N174))/2,0)*0.9</f>
        <v>48392.1</v>
      </c>
      <c r="V150" s="6">
        <f>ROUNDDOWN(('SPT-01'!$M174*'TABELA AUXILIAR'!$J$4+SUM('SPT-01'!$O$26:$O174))/2,0)*0.9</f>
        <v>52646.400000000001</v>
      </c>
      <c r="W150" s="6">
        <f>ROUNDDOWN(('SPT-01'!$M174*'TABELA AUXILIAR'!$J$5+SUM('SPT-01'!$P$26:$P174))/2,0)*0.9</f>
        <v>61118.1</v>
      </c>
      <c r="Y150" s="8">
        <v>98.4</v>
      </c>
      <c r="Z150" s="6">
        <f>ROUNDDOWN(('SPT-01'!$M166*'TABELA AUXILIAR'!$J$3+SUM('SPT-01'!$N$18:$N166))/2,0)*0.9</f>
        <v>46216.800000000003</v>
      </c>
      <c r="AA150" s="6">
        <f>ROUNDDOWN(('SPT-01'!$M166*'TABELA AUXILIAR'!$J$4+SUM('SPT-01'!$O$18:$O166))/2,0)*0.9</f>
        <v>50283</v>
      </c>
      <c r="AB150" s="6">
        <f>ROUNDDOWN(('SPT-01'!$M166*'TABELA AUXILIAR'!$J$5+SUM('SPT-01'!$P$18:$P166))/2,0)*0.9</f>
        <v>58380.3</v>
      </c>
      <c r="AD150" s="8">
        <v>93.6</v>
      </c>
      <c r="AE150" s="6">
        <f>ROUNDDOWN(('SPT-01'!$M158*'TABELA AUXILIAR'!$J$3+SUM('SPT-01'!$N$10:$N158))/2,0)*0.9</f>
        <v>43734.6</v>
      </c>
      <c r="AF150" s="6">
        <f>ROUNDDOWN(('SPT-01'!$M158*'TABELA AUXILIAR'!$J$4+SUM('SPT-01'!$O$10:$O158))/2,0)*0.9</f>
        <v>47585.700000000004</v>
      </c>
      <c r="AG150" s="6">
        <f>ROUNDDOWN(('SPT-01'!$M158*'TABELA AUXILIAR'!$J$5+SUM('SPT-01'!$P$10:$P158))/2,0)*0.9</f>
        <v>55258.200000000004</v>
      </c>
    </row>
    <row r="151" spans="10:33" x14ac:dyDescent="0.25">
      <c r="J151" s="1">
        <v>110.4</v>
      </c>
      <c r="K151" s="6">
        <f>ROUNDDOWN(('SPT-01'!$M186*'TABELA AUXILIAR'!$J$3+SUM('SPT-01'!$N$37:$N186))/2,0)*0.9</f>
        <v>51171.3</v>
      </c>
      <c r="L151" s="6">
        <f>ROUNDDOWN(('SPT-01'!$M186*'TABELA AUXILIAR'!$J$4+SUM('SPT-01'!$O$37:$O186))/2,0)*0.9</f>
        <v>55667.700000000004</v>
      </c>
      <c r="M151" s="6">
        <f>ROUNDDOWN(('SPT-01'!$M186*'TABELA AUXILIAR'!$J$5+SUM('SPT-01'!$P$37:$P186))/2,0)*0.9</f>
        <v>64618.200000000004</v>
      </c>
      <c r="N151" s="2"/>
      <c r="O151" s="8">
        <v>108.6</v>
      </c>
      <c r="P151" s="6">
        <f>ROUNDDOWN(('SPT-01'!$M183*'TABELA AUXILIAR'!$J$3+SUM('SPT-01'!$N$34:$N183))/2,0)*0.9</f>
        <v>50618.700000000004</v>
      </c>
      <c r="Q151" s="6">
        <f>ROUNDDOWN(('SPT-01'!$M183*'TABELA AUXILIAR'!$J$4+SUM('SPT-01'!$O$34:$O183))/2,0)*0.9</f>
        <v>55066.5</v>
      </c>
      <c r="R151" s="6">
        <f>ROUNDDOWN(('SPT-01'!$M183*'TABELA AUXILIAR'!$J$5+SUM('SPT-01'!$P$34:$P183))/2,0)*0.9</f>
        <v>63921.599999999999</v>
      </c>
      <c r="T151" s="8">
        <v>103.8</v>
      </c>
      <c r="U151" s="6">
        <f>ROUNDDOWN(('SPT-01'!$M175*'TABELA AUXILIAR'!$J$3+SUM('SPT-01'!$N$26:$N175))/2,0)*0.9</f>
        <v>48811.5</v>
      </c>
      <c r="V151" s="6">
        <f>ROUNDDOWN(('SPT-01'!$M175*'TABELA AUXILIAR'!$J$4+SUM('SPT-01'!$O$26:$O175))/2,0)*0.9</f>
        <v>53101.8</v>
      </c>
      <c r="W151" s="6">
        <f>ROUNDDOWN(('SPT-01'!$M175*'TABELA AUXILIAR'!$J$5+SUM('SPT-01'!$P$26:$P175))/2,0)*0.9</f>
        <v>61644.6</v>
      </c>
      <c r="Y151" s="8">
        <v>99</v>
      </c>
      <c r="Z151" s="6">
        <f>ROUNDDOWN(('SPT-01'!$M167*'TABELA AUXILIAR'!$J$3+SUM('SPT-01'!$N$18:$N167))/2,0)*0.9</f>
        <v>46625.4</v>
      </c>
      <c r="AA151" s="6">
        <f>ROUNDDOWN(('SPT-01'!$M167*'TABELA AUXILIAR'!$J$4+SUM('SPT-01'!$O$18:$O167))/2,0)*0.9</f>
        <v>50726.700000000004</v>
      </c>
      <c r="AB151" s="6">
        <f>ROUNDDOWN(('SPT-01'!$M167*'TABELA AUXILIAR'!$J$5+SUM('SPT-01'!$P$18:$P167))/2,0)*0.9</f>
        <v>58893.3</v>
      </c>
      <c r="AD151" s="8">
        <v>94.2</v>
      </c>
      <c r="AE151" s="6">
        <f>ROUNDDOWN(('SPT-01'!$M159*'TABELA AUXILIAR'!$J$3+SUM('SPT-01'!$N$10:$N159))/2,0)*0.9</f>
        <v>44132.4</v>
      </c>
      <c r="AF151" s="6">
        <f>ROUNDDOWN(('SPT-01'!$M159*'TABELA AUXILIAR'!$J$4+SUM('SPT-01'!$O$10:$O159))/2,0)*0.9</f>
        <v>48017.700000000004</v>
      </c>
      <c r="AG151" s="6">
        <f>ROUNDDOWN(('SPT-01'!$M159*'TABELA AUXILIAR'!$J$5+SUM('SPT-01'!$P$10:$P159))/2,0)*0.9</f>
        <v>55757.700000000004</v>
      </c>
    </row>
    <row r="152" spans="10:33" x14ac:dyDescent="0.25">
      <c r="J152" s="1">
        <v>111</v>
      </c>
      <c r="K152" s="6">
        <f>ROUNDDOWN(('SPT-01'!$M187*'TABELA AUXILIAR'!$J$3+SUM('SPT-01'!$N$37:$N187))/2,0)*0.9</f>
        <v>51606</v>
      </c>
      <c r="L152" s="6">
        <f>ROUNDDOWN(('SPT-01'!$M187*'TABELA AUXILIAR'!$J$4+SUM('SPT-01'!$O$37:$O187))/2,0)*0.9</f>
        <v>56140.200000000004</v>
      </c>
      <c r="M152" s="6">
        <f>ROUNDDOWN(('SPT-01'!$M187*'TABELA AUXILIAR'!$J$5+SUM('SPT-01'!$P$37:$P187))/2,0)*0.9</f>
        <v>65164.5</v>
      </c>
      <c r="N152" s="2"/>
      <c r="O152" s="8">
        <v>109.2</v>
      </c>
      <c r="P152" s="6">
        <f>ROUNDDOWN(('SPT-01'!$M184*'TABELA AUXILIAR'!$J$3+SUM('SPT-01'!$N$34:$N184))/2,0)*0.9</f>
        <v>51049.8</v>
      </c>
      <c r="Q152" s="6">
        <f>ROUNDDOWN(('SPT-01'!$M184*'TABELA AUXILIAR'!$J$4+SUM('SPT-01'!$O$34:$O184))/2,0)*0.9</f>
        <v>55534.5</v>
      </c>
      <c r="R152" s="6">
        <f>ROUNDDOWN(('SPT-01'!$M184*'TABELA AUXILIAR'!$J$5+SUM('SPT-01'!$P$34:$P184))/2,0)*0.9</f>
        <v>64462.5</v>
      </c>
      <c r="T152" s="8">
        <v>104.4</v>
      </c>
      <c r="U152" s="6">
        <f>ROUNDDOWN(('SPT-01'!$M176*'TABELA AUXILIAR'!$J$3+SUM('SPT-01'!$N$26:$N176))/2,0)*0.9</f>
        <v>49231.8</v>
      </c>
      <c r="V152" s="6">
        <f>ROUNDDOWN(('SPT-01'!$M176*'TABELA AUXILIAR'!$J$4+SUM('SPT-01'!$O$26:$O176))/2,0)*0.9</f>
        <v>53559</v>
      </c>
      <c r="W152" s="6">
        <f>ROUNDDOWN(('SPT-01'!$M176*'TABELA AUXILIAR'!$J$5+SUM('SPT-01'!$P$26:$P176))/2,0)*0.9</f>
        <v>62172.9</v>
      </c>
      <c r="Y152" s="8">
        <v>99.6</v>
      </c>
      <c r="Z152" s="6">
        <f>ROUNDDOWN(('SPT-01'!$M168*'TABELA AUXILIAR'!$J$3+SUM('SPT-01'!$N$18:$N168))/2,0)*0.9</f>
        <v>47034.9</v>
      </c>
      <c r="AA152" s="6">
        <f>ROUNDDOWN(('SPT-01'!$M168*'TABELA AUXILIAR'!$J$4+SUM('SPT-01'!$O$18:$O168))/2,0)*0.9</f>
        <v>51171.3</v>
      </c>
      <c r="AB152" s="6">
        <f>ROUNDDOWN(('SPT-01'!$M168*'TABELA AUXILIAR'!$J$5+SUM('SPT-01'!$P$18:$P168))/2,0)*0.9</f>
        <v>59408.1</v>
      </c>
      <c r="AD152" s="8">
        <v>94.8</v>
      </c>
      <c r="AE152" s="6">
        <f>ROUNDDOWN(('SPT-01'!$M160*'TABELA AUXILIAR'!$J$3+SUM('SPT-01'!$N$10:$N160))/2,0)*0.9</f>
        <v>44532</v>
      </c>
      <c r="AF152" s="6">
        <f>ROUNDDOWN(('SPT-01'!$M160*'TABELA AUXILIAR'!$J$4+SUM('SPT-01'!$O$10:$O160))/2,0)*0.9</f>
        <v>48451.5</v>
      </c>
      <c r="AG152" s="6">
        <f>ROUNDDOWN(('SPT-01'!$M160*'TABELA AUXILIAR'!$J$5+SUM('SPT-01'!$P$10:$P160))/2,0)*0.9</f>
        <v>56259.9</v>
      </c>
    </row>
    <row r="153" spans="10:33" x14ac:dyDescent="0.25">
      <c r="J153" s="1">
        <v>111.6</v>
      </c>
      <c r="K153" s="6">
        <f>ROUNDDOWN(('SPT-01'!$M188*'TABELA AUXILIAR'!$J$3+SUM('SPT-01'!$N$37:$N188))/2,0)*0.9</f>
        <v>52042.5</v>
      </c>
      <c r="L153" s="6">
        <f>ROUNDDOWN(('SPT-01'!$M188*'TABELA AUXILIAR'!$J$4+SUM('SPT-01'!$O$37:$O188))/2,0)*0.9</f>
        <v>56613.599999999999</v>
      </c>
      <c r="M153" s="6">
        <f>ROUNDDOWN(('SPT-01'!$M188*'TABELA AUXILIAR'!$J$5+SUM('SPT-01'!$P$37:$P188))/2,0)*0.9</f>
        <v>65712.600000000006</v>
      </c>
      <c r="N153" s="2"/>
      <c r="O153" s="8">
        <v>109.8</v>
      </c>
      <c r="P153" s="6">
        <f>ROUNDDOWN(('SPT-01'!$M185*'TABELA AUXILIAR'!$J$3+SUM('SPT-01'!$N$34:$N185))/2,0)*0.9</f>
        <v>51481.8</v>
      </c>
      <c r="Q153" s="6">
        <f>ROUNDDOWN(('SPT-01'!$M185*'TABELA AUXILIAR'!$J$4+SUM('SPT-01'!$O$34:$O185))/2,0)*0.9</f>
        <v>56004.3</v>
      </c>
      <c r="R153" s="6">
        <f>ROUNDDOWN(('SPT-01'!$M185*'TABELA AUXILIAR'!$J$5+SUM('SPT-01'!$P$34:$P185))/2,0)*0.9</f>
        <v>65006.1</v>
      </c>
      <c r="T153" s="8">
        <v>105</v>
      </c>
      <c r="U153" s="6">
        <f>ROUNDDOWN(('SPT-01'!$M177*'TABELA AUXILIAR'!$J$3+SUM('SPT-01'!$N$26:$N177))/2,0)*0.9</f>
        <v>49653.9</v>
      </c>
      <c r="V153" s="6">
        <f>ROUNDDOWN(('SPT-01'!$M177*'TABELA AUXILIAR'!$J$4+SUM('SPT-01'!$O$26:$O177))/2,0)*0.9</f>
        <v>54017.1</v>
      </c>
      <c r="W153" s="6">
        <f>ROUNDDOWN(('SPT-01'!$M177*'TABELA AUXILIAR'!$J$5+SUM('SPT-01'!$P$26:$P177))/2,0)*0.9</f>
        <v>62703</v>
      </c>
      <c r="Y153" s="8">
        <v>100.2</v>
      </c>
      <c r="Z153" s="6">
        <f>ROUNDDOWN(('SPT-01'!$M169*'TABELA AUXILIAR'!$J$3+SUM('SPT-01'!$N$18:$N169))/2,0)*0.9</f>
        <v>47446.200000000004</v>
      </c>
      <c r="AA153" s="6">
        <f>ROUNDDOWN(('SPT-01'!$M169*'TABELA AUXILIAR'!$J$4+SUM('SPT-01'!$O$18:$O169))/2,0)*0.9</f>
        <v>51618.6</v>
      </c>
      <c r="AB153" s="6">
        <f>ROUNDDOWN(('SPT-01'!$M169*'TABELA AUXILIAR'!$J$5+SUM('SPT-01'!$P$18:$P169))/2,0)*0.9</f>
        <v>59925.599999999999</v>
      </c>
      <c r="AD153" s="8">
        <v>95.4</v>
      </c>
      <c r="AE153" s="6">
        <f>ROUNDDOWN(('SPT-01'!$M161*'TABELA AUXILIAR'!$J$3+SUM('SPT-01'!$N$10:$N161))/2,0)*0.9</f>
        <v>44932.5</v>
      </c>
      <c r="AF153" s="6">
        <f>ROUNDDOWN(('SPT-01'!$M161*'TABELA AUXILIAR'!$J$4+SUM('SPT-01'!$O$10:$O161))/2,0)*0.9</f>
        <v>48886.200000000004</v>
      </c>
      <c r="AG153" s="6">
        <f>ROUNDDOWN(('SPT-01'!$M161*'TABELA AUXILIAR'!$J$5+SUM('SPT-01'!$P$10:$P161))/2,0)*0.9</f>
        <v>56763</v>
      </c>
    </row>
    <row r="154" spans="10:33" x14ac:dyDescent="0.25">
      <c r="J154" s="1">
        <v>112.2</v>
      </c>
      <c r="K154" s="6">
        <f>ROUNDDOWN(('SPT-01'!$M189*'TABELA AUXILIAR'!$J$3+SUM('SPT-01'!$N$37:$N189))/2,0)*0.9</f>
        <v>52479.9</v>
      </c>
      <c r="L154" s="6">
        <f>ROUNDDOWN(('SPT-01'!$M189*'TABELA AUXILIAR'!$J$4+SUM('SPT-01'!$O$37:$O189))/2,0)*0.9</f>
        <v>57088.800000000003</v>
      </c>
      <c r="M154" s="6">
        <f>ROUNDDOWN(('SPT-01'!$M189*'TABELA AUXILIAR'!$J$5+SUM('SPT-01'!$P$37:$P189))/2,0)*0.9</f>
        <v>66261.600000000006</v>
      </c>
      <c r="N154" s="2"/>
      <c r="O154" s="8">
        <v>110.4</v>
      </c>
      <c r="P154" s="6">
        <f>ROUNDDOWN(('SPT-01'!$M186*'TABELA AUXILIAR'!$J$3+SUM('SPT-01'!$N$34:$N186))/2,0)*0.9</f>
        <v>51915.6</v>
      </c>
      <c r="Q154" s="6">
        <f>ROUNDDOWN(('SPT-01'!$M186*'TABELA AUXILIAR'!$J$4+SUM('SPT-01'!$O$34:$O186))/2,0)*0.9</f>
        <v>56475</v>
      </c>
      <c r="R154" s="6">
        <f>ROUNDDOWN(('SPT-01'!$M186*'TABELA AUXILIAR'!$J$5+SUM('SPT-01'!$P$34:$P186))/2,0)*0.9</f>
        <v>65550.600000000006</v>
      </c>
      <c r="T154" s="8">
        <v>105.6</v>
      </c>
      <c r="U154" s="6">
        <f>ROUNDDOWN(('SPT-01'!$M178*'TABELA AUXILIAR'!$J$3+SUM('SPT-01'!$N$26:$N178))/2,0)*0.9</f>
        <v>50076.9</v>
      </c>
      <c r="V154" s="6">
        <f>ROUNDDOWN(('SPT-01'!$M178*'TABELA AUXILIAR'!$J$4+SUM('SPT-01'!$O$26:$O178))/2,0)*0.9</f>
        <v>54476.1</v>
      </c>
      <c r="W154" s="6">
        <f>ROUNDDOWN(('SPT-01'!$M178*'TABELA AUXILIAR'!$J$5+SUM('SPT-01'!$P$26:$P178))/2,0)*0.9</f>
        <v>63234.9</v>
      </c>
      <c r="Y154" s="8">
        <v>100.8</v>
      </c>
      <c r="Z154" s="6">
        <f>ROUNDDOWN(('SPT-01'!$M170*'TABELA AUXILIAR'!$J$3+SUM('SPT-01'!$N$18:$N170))/2,0)*0.9</f>
        <v>47859.3</v>
      </c>
      <c r="AA154" s="6">
        <f>ROUNDDOWN(('SPT-01'!$M170*'TABELA AUXILIAR'!$J$4+SUM('SPT-01'!$O$18:$O170))/2,0)*0.9</f>
        <v>52065.9</v>
      </c>
      <c r="AB154" s="6">
        <f>ROUNDDOWN(('SPT-01'!$M170*'TABELA AUXILIAR'!$J$5+SUM('SPT-01'!$P$18:$P170))/2,0)*0.9</f>
        <v>60444</v>
      </c>
      <c r="AD154" s="8">
        <v>96</v>
      </c>
      <c r="AE154" s="6">
        <f>ROUNDDOWN(('SPT-01'!$M162*'TABELA AUXILIAR'!$J$3+SUM('SPT-01'!$N$10:$N162))/2,0)*0.9</f>
        <v>45333.9</v>
      </c>
      <c r="AF154" s="6">
        <f>ROUNDDOWN(('SPT-01'!$M162*'TABELA AUXILIAR'!$J$4+SUM('SPT-01'!$O$10:$O162))/2,0)*0.9</f>
        <v>49322.700000000004</v>
      </c>
      <c r="AG154" s="6">
        <f>ROUNDDOWN(('SPT-01'!$M162*'TABELA AUXILIAR'!$J$5+SUM('SPT-01'!$P$10:$P162))/2,0)*0.9</f>
        <v>57267.9</v>
      </c>
    </row>
    <row r="155" spans="10:33" x14ac:dyDescent="0.25">
      <c r="J155" s="1">
        <v>112.8</v>
      </c>
      <c r="K155" s="6">
        <f>ROUNDDOWN(('SPT-01'!$M190*'TABELA AUXILIAR'!$J$3+SUM('SPT-01'!$N$37:$N190))/2,0)*0.9</f>
        <v>52919.1</v>
      </c>
      <c r="L155" s="6">
        <f>ROUNDDOWN(('SPT-01'!$M190*'TABELA AUXILIAR'!$J$4+SUM('SPT-01'!$O$37:$O190))/2,0)*0.9</f>
        <v>57564.9</v>
      </c>
      <c r="M155" s="6">
        <f>ROUNDDOWN(('SPT-01'!$M190*'TABELA AUXILIAR'!$J$5+SUM('SPT-01'!$P$37:$P190))/2,0)*0.9</f>
        <v>66813.3</v>
      </c>
      <c r="N155" s="2"/>
      <c r="O155" s="8">
        <v>111</v>
      </c>
      <c r="P155" s="6">
        <f>ROUNDDOWN(('SPT-01'!$M187*'TABELA AUXILIAR'!$J$3+SUM('SPT-01'!$N$34:$N187))/2,0)*0.9</f>
        <v>52350.3</v>
      </c>
      <c r="Q155" s="6">
        <f>ROUNDDOWN(('SPT-01'!$M187*'TABELA AUXILIAR'!$J$4+SUM('SPT-01'!$O$34:$O187))/2,0)*0.9</f>
        <v>56947.5</v>
      </c>
      <c r="R155" s="6">
        <f>ROUNDDOWN(('SPT-01'!$M187*'TABELA AUXILIAR'!$J$5+SUM('SPT-01'!$P$34:$P187))/2,0)*0.9</f>
        <v>66096.900000000009</v>
      </c>
      <c r="T155" s="8">
        <v>106.2</v>
      </c>
      <c r="U155" s="6">
        <f>ROUNDDOWN(('SPT-01'!$M179*'TABELA AUXILIAR'!$J$3+SUM('SPT-01'!$N$26:$N179))/2,0)*0.9</f>
        <v>50501.700000000004</v>
      </c>
      <c r="V155" s="6">
        <f>ROUNDDOWN(('SPT-01'!$M179*'TABELA AUXILIAR'!$J$4+SUM('SPT-01'!$O$26:$O179))/2,0)*0.9</f>
        <v>54937.8</v>
      </c>
      <c r="W155" s="6">
        <f>ROUNDDOWN(('SPT-01'!$M179*'TABELA AUXILIAR'!$J$5+SUM('SPT-01'!$P$26:$P179))/2,0)*0.9</f>
        <v>63767.700000000004</v>
      </c>
      <c r="Y155" s="8">
        <v>101.4</v>
      </c>
      <c r="Z155" s="6">
        <f>ROUNDDOWN(('SPT-01'!$M171*'TABELA AUXILIAR'!$J$3+SUM('SPT-01'!$N$18:$N171))/2,0)*0.9</f>
        <v>48273.3</v>
      </c>
      <c r="AA155" s="6">
        <f>ROUNDDOWN(('SPT-01'!$M171*'TABELA AUXILIAR'!$J$4+SUM('SPT-01'!$O$18:$O171))/2,0)*0.9</f>
        <v>52515.9</v>
      </c>
      <c r="AB155" s="6">
        <f>ROUNDDOWN(('SPT-01'!$M171*'TABELA AUXILIAR'!$J$5+SUM('SPT-01'!$P$18:$P171))/2,0)*0.9</f>
        <v>60963.3</v>
      </c>
      <c r="AD155" s="8">
        <v>96.6</v>
      </c>
      <c r="AE155" s="6">
        <f>ROUNDDOWN(('SPT-01'!$M163*'TABELA AUXILIAR'!$J$3+SUM('SPT-01'!$N$10:$N163))/2,0)*0.9</f>
        <v>45737.1</v>
      </c>
      <c r="AF155" s="6">
        <f>ROUNDDOWN(('SPT-01'!$M163*'TABELA AUXILIAR'!$J$4+SUM('SPT-01'!$O$10:$O163))/2,0)*0.9</f>
        <v>49761</v>
      </c>
      <c r="AG155" s="6">
        <f>ROUNDDOWN(('SPT-01'!$M163*'TABELA AUXILIAR'!$J$5+SUM('SPT-01'!$P$10:$P163))/2,0)*0.9</f>
        <v>57774.6</v>
      </c>
    </row>
    <row r="156" spans="10:33" x14ac:dyDescent="0.25">
      <c r="J156" s="1">
        <v>113.4</v>
      </c>
      <c r="K156" s="6">
        <f>ROUNDDOWN(('SPT-01'!$M191*'TABELA AUXILIAR'!$J$3+SUM('SPT-01'!$N$37:$N191))/2,0)*0.9</f>
        <v>53358.3</v>
      </c>
      <c r="L156" s="6">
        <f>ROUNDDOWN(('SPT-01'!$M191*'TABELA AUXILIAR'!$J$4+SUM('SPT-01'!$O$37:$O191))/2,0)*0.9</f>
        <v>58042.8</v>
      </c>
      <c r="M156" s="6">
        <f>ROUNDDOWN(('SPT-01'!$M191*'TABELA AUXILIAR'!$J$5+SUM('SPT-01'!$P$37:$P191))/2,0)*0.9</f>
        <v>67365.900000000009</v>
      </c>
      <c r="N156" s="2"/>
      <c r="O156" s="8">
        <v>111.6</v>
      </c>
      <c r="P156" s="6">
        <f>ROUNDDOWN(('SPT-01'!$M188*'TABELA AUXILIAR'!$J$3+SUM('SPT-01'!$N$34:$N188))/2,0)*0.9</f>
        <v>52786.8</v>
      </c>
      <c r="Q156" s="6">
        <f>ROUNDDOWN(('SPT-01'!$M188*'TABELA AUXILIAR'!$J$4+SUM('SPT-01'!$O$34:$O188))/2,0)*0.9</f>
        <v>57420.9</v>
      </c>
      <c r="R156" s="6">
        <f>ROUNDDOWN(('SPT-01'!$M188*'TABELA AUXILIAR'!$J$5+SUM('SPT-01'!$P$34:$P188))/2,0)*0.9</f>
        <v>66645</v>
      </c>
      <c r="T156" s="8">
        <v>106.8</v>
      </c>
      <c r="U156" s="6">
        <f>ROUNDDOWN(('SPT-01'!$M180*'TABELA AUXILIAR'!$J$3+SUM('SPT-01'!$N$26:$N180))/2,0)*0.9</f>
        <v>50927.4</v>
      </c>
      <c r="V156" s="6">
        <f>ROUNDDOWN(('SPT-01'!$M180*'TABELA AUXILIAR'!$J$4+SUM('SPT-01'!$O$26:$O180))/2,0)*0.9</f>
        <v>55399.5</v>
      </c>
      <c r="W156" s="6">
        <f>ROUNDDOWN(('SPT-01'!$M180*'TABELA AUXILIAR'!$J$5+SUM('SPT-01'!$P$26:$P180))/2,0)*0.9</f>
        <v>64303.200000000004</v>
      </c>
      <c r="Y156" s="8">
        <v>102</v>
      </c>
      <c r="Z156" s="6">
        <f>ROUNDDOWN(('SPT-01'!$M172*'TABELA AUXILIAR'!$J$3+SUM('SPT-01'!$N$18:$N172))/2,0)*0.9</f>
        <v>48688.200000000004</v>
      </c>
      <c r="AA156" s="6">
        <f>ROUNDDOWN(('SPT-01'!$M172*'TABELA AUXILIAR'!$J$4+SUM('SPT-01'!$O$18:$O172))/2,0)*0.9</f>
        <v>52966.8</v>
      </c>
      <c r="AB156" s="6">
        <f>ROUNDDOWN(('SPT-01'!$M172*'TABELA AUXILIAR'!$J$5+SUM('SPT-01'!$P$18:$P172))/2,0)*0.9</f>
        <v>61485.3</v>
      </c>
      <c r="AD156" s="8">
        <v>97.2</v>
      </c>
      <c r="AE156" s="6">
        <f>ROUNDDOWN(('SPT-01'!$M164*'TABELA AUXILIAR'!$J$3+SUM('SPT-01'!$N$10:$N164))/2,0)*0.9</f>
        <v>46141.200000000004</v>
      </c>
      <c r="AF156" s="6">
        <f>ROUNDDOWN(('SPT-01'!$M164*'TABELA AUXILIAR'!$J$4+SUM('SPT-01'!$O$10:$O164))/2,0)*0.9</f>
        <v>50200.200000000004</v>
      </c>
      <c r="AG156" s="6">
        <f>ROUNDDOWN(('SPT-01'!$M164*'TABELA AUXILIAR'!$J$5+SUM('SPT-01'!$P$10:$P164))/2,0)*0.9</f>
        <v>58282.200000000004</v>
      </c>
    </row>
    <row r="157" spans="10:33" x14ac:dyDescent="0.25">
      <c r="J157" s="1">
        <v>114</v>
      </c>
      <c r="K157" s="6">
        <f>ROUNDDOWN(('SPT-01'!$M192*'TABELA AUXILIAR'!$J$3+SUM('SPT-01'!$N$37:$N192))/2,0)*0.9</f>
        <v>53800.200000000004</v>
      </c>
      <c r="L157" s="6">
        <f>ROUNDDOWN(('SPT-01'!$M192*'TABELA AUXILIAR'!$J$4+SUM('SPT-01'!$O$37:$O192))/2,0)*0.9</f>
        <v>58522.5</v>
      </c>
      <c r="M157" s="6">
        <f>ROUNDDOWN(('SPT-01'!$M192*'TABELA AUXILIAR'!$J$5+SUM('SPT-01'!$P$37:$P192))/2,0)*0.9</f>
        <v>67920.3</v>
      </c>
      <c r="N157" s="2"/>
      <c r="O157" s="8">
        <v>112.2</v>
      </c>
      <c r="P157" s="6">
        <f>ROUNDDOWN(('SPT-01'!$M189*'TABELA AUXILIAR'!$J$3+SUM('SPT-01'!$N$34:$N189))/2,0)*0.9</f>
        <v>53224.200000000004</v>
      </c>
      <c r="Q157" s="6">
        <f>ROUNDDOWN(('SPT-01'!$M189*'TABELA AUXILIAR'!$J$4+SUM('SPT-01'!$O$34:$O189))/2,0)*0.9</f>
        <v>57896.1</v>
      </c>
      <c r="R157" s="6">
        <f>ROUNDDOWN(('SPT-01'!$M189*'TABELA AUXILIAR'!$J$5+SUM('SPT-01'!$P$34:$P189))/2,0)*0.9</f>
        <v>67194</v>
      </c>
      <c r="T157" s="8">
        <v>107.4</v>
      </c>
      <c r="U157" s="6">
        <f>ROUNDDOWN(('SPT-01'!$M181*'TABELA AUXILIAR'!$J$3+SUM('SPT-01'!$N$26:$N181))/2,0)*0.9</f>
        <v>51354</v>
      </c>
      <c r="V157" s="6">
        <f>ROUNDDOWN(('SPT-01'!$M181*'TABELA AUXILIAR'!$J$4+SUM('SPT-01'!$O$26:$O181))/2,0)*0.9</f>
        <v>55863.9</v>
      </c>
      <c r="W157" s="6">
        <f>ROUNDDOWN(('SPT-01'!$M181*'TABELA AUXILIAR'!$J$5+SUM('SPT-01'!$P$26:$P181))/2,0)*0.9</f>
        <v>64839.6</v>
      </c>
      <c r="Y157" s="8">
        <v>102.6</v>
      </c>
      <c r="Z157" s="6">
        <f>ROUNDDOWN(('SPT-01'!$M173*'TABELA AUXILIAR'!$J$3+SUM('SPT-01'!$N$18:$N173))/2,0)*0.9</f>
        <v>49104.9</v>
      </c>
      <c r="AA157" s="6">
        <f>ROUNDDOWN(('SPT-01'!$M173*'TABELA AUXILIAR'!$J$4+SUM('SPT-01'!$O$18:$O173))/2,0)*0.9</f>
        <v>53419.5</v>
      </c>
      <c r="AB157" s="6">
        <f>ROUNDDOWN(('SPT-01'!$M173*'TABELA AUXILIAR'!$J$5+SUM('SPT-01'!$P$18:$P173))/2,0)*0.9</f>
        <v>62009.1</v>
      </c>
      <c r="AD157" s="8">
        <v>97.8</v>
      </c>
      <c r="AE157" s="6">
        <f>ROUNDDOWN(('SPT-01'!$M165*'TABELA AUXILIAR'!$J$3+SUM('SPT-01'!$N$10:$N165))/2,0)*0.9</f>
        <v>46547.1</v>
      </c>
      <c r="AF157" s="6">
        <f>ROUNDDOWN(('SPT-01'!$M165*'TABELA AUXILIAR'!$J$4+SUM('SPT-01'!$O$10:$O165))/2,0)*0.9</f>
        <v>50641.200000000004</v>
      </c>
      <c r="AG157" s="6">
        <f>ROUNDDOWN(('SPT-01'!$M165*'TABELA AUXILIAR'!$J$5+SUM('SPT-01'!$P$10:$P165))/2,0)*0.9</f>
        <v>58792.5</v>
      </c>
    </row>
    <row r="158" spans="10:33" x14ac:dyDescent="0.25">
      <c r="J158" s="1">
        <v>114.6</v>
      </c>
      <c r="K158" s="6">
        <f>ROUNDDOWN(('SPT-01'!$M193*'TABELA AUXILIAR'!$J$3+SUM('SPT-01'!$N$37:$N193))/2,0)*0.9</f>
        <v>54242.1</v>
      </c>
      <c r="L158" s="6">
        <f>ROUNDDOWN(('SPT-01'!$M193*'TABELA AUXILIAR'!$J$4+SUM('SPT-01'!$O$37:$O193))/2,0)*0.9</f>
        <v>59003.1</v>
      </c>
      <c r="M158" s="6">
        <f>ROUNDDOWN(('SPT-01'!$M193*'TABELA AUXILIAR'!$J$5+SUM('SPT-01'!$P$37:$P193))/2,0)*0.9</f>
        <v>68475.600000000006</v>
      </c>
      <c r="N158" s="2"/>
      <c r="O158" s="8">
        <v>112.8</v>
      </c>
      <c r="P158" s="6">
        <f>ROUNDDOWN(('SPT-01'!$M190*'TABELA AUXILIAR'!$J$3+SUM('SPT-01'!$N$34:$N190))/2,0)*0.9</f>
        <v>53662.5</v>
      </c>
      <c r="Q158" s="6">
        <f>ROUNDDOWN(('SPT-01'!$M190*'TABELA AUXILIAR'!$J$4+SUM('SPT-01'!$O$34:$O190))/2,0)*0.9</f>
        <v>58373.1</v>
      </c>
      <c r="R158" s="6">
        <f>ROUNDDOWN(('SPT-01'!$M190*'TABELA AUXILIAR'!$J$5+SUM('SPT-01'!$P$34:$P190))/2,0)*0.9</f>
        <v>67745.7</v>
      </c>
      <c r="T158" s="8">
        <v>108</v>
      </c>
      <c r="U158" s="6">
        <f>ROUNDDOWN(('SPT-01'!$M182*'TABELA AUXILIAR'!$J$3+SUM('SPT-01'!$N$26:$N182))/2,0)*0.9</f>
        <v>51782.400000000001</v>
      </c>
      <c r="V158" s="6">
        <f>ROUNDDOWN(('SPT-01'!$M182*'TABELA AUXILIAR'!$J$4+SUM('SPT-01'!$O$26:$O182))/2,0)*0.9</f>
        <v>56329.200000000004</v>
      </c>
      <c r="W158" s="6">
        <f>ROUNDDOWN(('SPT-01'!$M182*'TABELA AUXILIAR'!$J$5+SUM('SPT-01'!$P$26:$P182))/2,0)*0.9</f>
        <v>65377.8</v>
      </c>
      <c r="Y158" s="8">
        <v>103.2</v>
      </c>
      <c r="Z158" s="6">
        <f>ROUNDDOWN(('SPT-01'!$M174*'TABELA AUXILIAR'!$J$3+SUM('SPT-01'!$N$18:$N174))/2,0)*0.9</f>
        <v>49522.5</v>
      </c>
      <c r="AA158" s="6">
        <f>ROUNDDOWN(('SPT-01'!$M174*'TABELA AUXILIAR'!$J$4+SUM('SPT-01'!$O$18:$O174))/2,0)*0.9</f>
        <v>53873.1</v>
      </c>
      <c r="AB158" s="6">
        <f>ROUNDDOWN(('SPT-01'!$M174*'TABELA AUXILIAR'!$J$5+SUM('SPT-01'!$P$18:$P174))/2,0)*0.9</f>
        <v>62533.8</v>
      </c>
      <c r="AD158" s="8">
        <v>98.4</v>
      </c>
      <c r="AE158" s="6">
        <f>ROUNDDOWN(('SPT-01'!$M166*'TABELA AUXILIAR'!$J$3+SUM('SPT-01'!$N$10:$N166))/2,0)*0.9</f>
        <v>46954.8</v>
      </c>
      <c r="AF158" s="6">
        <f>ROUNDDOWN(('SPT-01'!$M166*'TABELA AUXILIAR'!$J$4+SUM('SPT-01'!$O$10:$O166))/2,0)*0.9</f>
        <v>51083.1</v>
      </c>
      <c r="AG158" s="6">
        <f>ROUNDDOWN(('SPT-01'!$M166*'TABELA AUXILIAR'!$J$5+SUM('SPT-01'!$P$10:$P166))/2,0)*0.9</f>
        <v>59304.6</v>
      </c>
    </row>
    <row r="159" spans="10:33" x14ac:dyDescent="0.25">
      <c r="J159" s="1">
        <v>115.2</v>
      </c>
      <c r="K159" s="6">
        <f>ROUNDDOWN(('SPT-01'!$M194*'TABELA AUXILIAR'!$J$3+SUM('SPT-01'!$N$37:$N194))/2,0)*0.9</f>
        <v>54686.700000000004</v>
      </c>
      <c r="L159" s="6">
        <f>ROUNDDOWN(('SPT-01'!$M194*'TABELA AUXILIAR'!$J$4+SUM('SPT-01'!$O$37:$O194))/2,0)*0.9</f>
        <v>59484.6</v>
      </c>
      <c r="M159" s="6">
        <f>ROUNDDOWN(('SPT-01'!$M194*'TABELA AUXILIAR'!$J$5+SUM('SPT-01'!$P$37:$P194))/2,0)*0.9</f>
        <v>69033.600000000006</v>
      </c>
      <c r="N159" s="2"/>
      <c r="O159" s="8">
        <v>113.4</v>
      </c>
      <c r="P159" s="6">
        <f>ROUNDDOWN(('SPT-01'!$M191*'TABELA AUXILIAR'!$J$3+SUM('SPT-01'!$N$34:$N191))/2,0)*0.9</f>
        <v>54102.6</v>
      </c>
      <c r="Q159" s="6">
        <f>ROUNDDOWN(('SPT-01'!$M191*'TABELA AUXILIAR'!$J$4+SUM('SPT-01'!$O$34:$O191))/2,0)*0.9</f>
        <v>58851</v>
      </c>
      <c r="R159" s="6">
        <f>ROUNDDOWN(('SPT-01'!$M191*'TABELA AUXILIAR'!$J$5+SUM('SPT-01'!$P$34:$P191))/2,0)*0.9</f>
        <v>68298.3</v>
      </c>
      <c r="T159" s="8">
        <v>108.6</v>
      </c>
      <c r="U159" s="6">
        <f>ROUNDDOWN(('SPT-01'!$M183*'TABELA AUXILIAR'!$J$3+SUM('SPT-01'!$N$26:$N183))/2,0)*0.9</f>
        <v>52212.6</v>
      </c>
      <c r="V159" s="6">
        <f>ROUNDDOWN(('SPT-01'!$M183*'TABELA AUXILIAR'!$J$4+SUM('SPT-01'!$O$26:$O183))/2,0)*0.9</f>
        <v>56795.4</v>
      </c>
      <c r="W159" s="6">
        <f>ROUNDDOWN(('SPT-01'!$M183*'TABELA AUXILIAR'!$J$5+SUM('SPT-01'!$P$26:$P183))/2,0)*0.9</f>
        <v>65917.8</v>
      </c>
      <c r="Y159" s="8">
        <v>103.8</v>
      </c>
      <c r="Z159" s="6">
        <f>ROUNDDOWN(('SPT-01'!$M175*'TABELA AUXILIAR'!$J$3+SUM('SPT-01'!$N$18:$N175))/2,0)*0.9</f>
        <v>49941.9</v>
      </c>
      <c r="AA159" s="6">
        <f>ROUNDDOWN(('SPT-01'!$M175*'TABELA AUXILIAR'!$J$4+SUM('SPT-01'!$O$18:$O175))/2,0)*0.9</f>
        <v>54328.5</v>
      </c>
      <c r="AB159" s="6">
        <f>ROUNDDOWN(('SPT-01'!$M175*'TABELA AUXILIAR'!$J$5+SUM('SPT-01'!$P$18:$P175))/2,0)*0.9</f>
        <v>63060.3</v>
      </c>
      <c r="AD159" s="8">
        <v>99</v>
      </c>
      <c r="AE159" s="6">
        <f>ROUNDDOWN(('SPT-01'!$M167*'TABELA AUXILIAR'!$J$3+SUM('SPT-01'!$N$10:$N167))/2,0)*0.9</f>
        <v>47363.4</v>
      </c>
      <c r="AF159" s="6">
        <f>ROUNDDOWN(('SPT-01'!$M167*'TABELA AUXILIAR'!$J$4+SUM('SPT-01'!$O$10:$O167))/2,0)*0.9</f>
        <v>51526.8</v>
      </c>
      <c r="AG159" s="6">
        <f>ROUNDDOWN(('SPT-01'!$M167*'TABELA AUXILIAR'!$J$5+SUM('SPT-01'!$P$10:$P167))/2,0)*0.9</f>
        <v>59817.599999999999</v>
      </c>
    </row>
    <row r="160" spans="10:33" x14ac:dyDescent="0.25">
      <c r="J160" s="1">
        <v>115.8</v>
      </c>
      <c r="K160" s="6">
        <f>ROUNDDOWN(('SPT-01'!$M195*'TABELA AUXILIAR'!$J$3+SUM('SPT-01'!$N$37:$N195))/2,0)*0.9</f>
        <v>55131.3</v>
      </c>
      <c r="L160" s="6">
        <f>ROUNDDOWN(('SPT-01'!$M195*'TABELA AUXILIAR'!$J$4+SUM('SPT-01'!$O$37:$O195))/2,0)*0.9</f>
        <v>59967.9</v>
      </c>
      <c r="M160" s="6">
        <f>ROUNDDOWN(('SPT-01'!$M195*'TABELA AUXILIAR'!$J$5+SUM('SPT-01'!$P$37:$P195))/2,0)*0.9</f>
        <v>69592.5</v>
      </c>
      <c r="N160" s="2"/>
      <c r="O160" s="8">
        <v>114</v>
      </c>
      <c r="P160" s="6">
        <f>ROUNDDOWN(('SPT-01'!$M192*'TABELA AUXILIAR'!$J$3+SUM('SPT-01'!$N$34:$N192))/2,0)*0.9</f>
        <v>54544.5</v>
      </c>
      <c r="Q160" s="6">
        <f>ROUNDDOWN(('SPT-01'!$M192*'TABELA AUXILIAR'!$J$4+SUM('SPT-01'!$O$34:$O192))/2,0)*0.9</f>
        <v>59329.8</v>
      </c>
      <c r="R160" s="6">
        <f>ROUNDDOWN(('SPT-01'!$M192*'TABELA AUXILIAR'!$J$5+SUM('SPT-01'!$P$34:$P192))/2,0)*0.9</f>
        <v>68852.7</v>
      </c>
      <c r="T160" s="8">
        <v>109.2</v>
      </c>
      <c r="U160" s="6">
        <f>ROUNDDOWN(('SPT-01'!$M184*'TABELA AUXILIAR'!$J$3+SUM('SPT-01'!$N$26:$N184))/2,0)*0.9</f>
        <v>52643.700000000004</v>
      </c>
      <c r="V160" s="6">
        <f>ROUNDDOWN(('SPT-01'!$M184*'TABELA AUXILIAR'!$J$4+SUM('SPT-01'!$O$26:$O184))/2,0)*0.9</f>
        <v>57263.4</v>
      </c>
      <c r="W160" s="6">
        <f>ROUNDDOWN(('SPT-01'!$M184*'TABELA AUXILIAR'!$J$5+SUM('SPT-01'!$P$26:$P184))/2,0)*0.9</f>
        <v>66458.7</v>
      </c>
      <c r="Y160" s="8">
        <v>104.4</v>
      </c>
      <c r="Z160" s="6">
        <f>ROUNDDOWN(('SPT-01'!$M176*'TABELA AUXILIAR'!$J$3+SUM('SPT-01'!$N$18:$N176))/2,0)*0.9</f>
        <v>50362.200000000004</v>
      </c>
      <c r="AA160" s="6">
        <f>ROUNDDOWN(('SPT-01'!$M176*'TABELA AUXILIAR'!$J$4+SUM('SPT-01'!$O$18:$O176))/2,0)*0.9</f>
        <v>54784.800000000003</v>
      </c>
      <c r="AB160" s="6">
        <f>ROUNDDOWN(('SPT-01'!$M176*'TABELA AUXILIAR'!$J$5+SUM('SPT-01'!$P$18:$P176))/2,0)*0.9</f>
        <v>63588.6</v>
      </c>
      <c r="AD160" s="8">
        <v>99.6</v>
      </c>
      <c r="AE160" s="6">
        <f>ROUNDDOWN(('SPT-01'!$M168*'TABELA AUXILIAR'!$J$3+SUM('SPT-01'!$N$10:$N168))/2,0)*0.9</f>
        <v>47772.9</v>
      </c>
      <c r="AF160" s="6">
        <f>ROUNDDOWN(('SPT-01'!$M168*'TABELA AUXILIAR'!$J$4+SUM('SPT-01'!$O$10:$O168))/2,0)*0.9</f>
        <v>51972.3</v>
      </c>
      <c r="AG160" s="6">
        <f>ROUNDDOWN(('SPT-01'!$M168*'TABELA AUXILIAR'!$J$5+SUM('SPT-01'!$P$10:$P168))/2,0)*0.9</f>
        <v>60332.4</v>
      </c>
    </row>
    <row r="161" spans="10:33" x14ac:dyDescent="0.25">
      <c r="J161" s="1">
        <v>116.4</v>
      </c>
      <c r="K161" s="6">
        <f>ROUNDDOWN(('SPT-01'!$M196*'TABELA AUXILIAR'!$J$3+SUM('SPT-01'!$N$37:$N196))/2,0)*0.9</f>
        <v>55577.700000000004</v>
      </c>
      <c r="L161" s="6">
        <f>ROUNDDOWN(('SPT-01'!$M196*'TABELA AUXILIAR'!$J$4+SUM('SPT-01'!$O$37:$O196))/2,0)*0.9</f>
        <v>60453</v>
      </c>
      <c r="M161" s="6">
        <f>ROUNDDOWN(('SPT-01'!$M196*'TABELA AUXILIAR'!$J$5+SUM('SPT-01'!$P$37:$P196))/2,0)*0.9</f>
        <v>70153.2</v>
      </c>
      <c r="N161" s="2"/>
      <c r="O161" s="8">
        <v>114.6</v>
      </c>
      <c r="P161" s="6">
        <f>ROUNDDOWN(('SPT-01'!$M193*'TABELA AUXILIAR'!$J$3+SUM('SPT-01'!$N$34:$N193))/2,0)*0.9</f>
        <v>54986.400000000001</v>
      </c>
      <c r="Q161" s="6">
        <f>ROUNDDOWN(('SPT-01'!$M193*'TABELA AUXILIAR'!$J$4+SUM('SPT-01'!$O$34:$O193))/2,0)*0.9</f>
        <v>59810.400000000001</v>
      </c>
      <c r="R161" s="6">
        <f>ROUNDDOWN(('SPT-01'!$M193*'TABELA AUXILIAR'!$J$5+SUM('SPT-01'!$P$34:$P193))/2,0)*0.9</f>
        <v>69408</v>
      </c>
      <c r="T161" s="8">
        <v>109.8</v>
      </c>
      <c r="U161" s="6">
        <f>ROUNDDOWN(('SPT-01'!$M185*'TABELA AUXILIAR'!$J$3+SUM('SPT-01'!$N$26:$N185))/2,0)*0.9</f>
        <v>53075.700000000004</v>
      </c>
      <c r="V161" s="6">
        <f>ROUNDDOWN(('SPT-01'!$M185*'TABELA AUXILIAR'!$J$4+SUM('SPT-01'!$O$26:$O185))/2,0)*0.9</f>
        <v>57733.200000000004</v>
      </c>
      <c r="W161" s="6">
        <f>ROUNDDOWN(('SPT-01'!$M185*'TABELA AUXILIAR'!$J$5+SUM('SPT-01'!$P$26:$P185))/2,0)*0.9</f>
        <v>67001.400000000009</v>
      </c>
      <c r="Y161" s="8">
        <v>105</v>
      </c>
      <c r="Z161" s="6">
        <f>ROUNDDOWN(('SPT-01'!$M177*'TABELA AUXILIAR'!$J$3+SUM('SPT-01'!$N$18:$N177))/2,0)*0.9</f>
        <v>50784.3</v>
      </c>
      <c r="AA161" s="6">
        <f>ROUNDDOWN(('SPT-01'!$M177*'TABELA AUXILIAR'!$J$4+SUM('SPT-01'!$O$18:$O177))/2,0)*0.9</f>
        <v>55243.8</v>
      </c>
      <c r="AB161" s="6">
        <f>ROUNDDOWN(('SPT-01'!$M177*'TABELA AUXILIAR'!$J$5+SUM('SPT-01'!$P$18:$P177))/2,0)*0.9</f>
        <v>64118.700000000004</v>
      </c>
      <c r="AD161" s="8">
        <v>100.2</v>
      </c>
      <c r="AE161" s="6">
        <f>ROUNDDOWN(('SPT-01'!$M169*'TABELA AUXILIAR'!$J$3+SUM('SPT-01'!$N$10:$N169))/2,0)*0.9</f>
        <v>48184.200000000004</v>
      </c>
      <c r="AF161" s="6">
        <f>ROUNDDOWN(('SPT-01'!$M169*'TABELA AUXILIAR'!$J$4+SUM('SPT-01'!$O$10:$O169))/2,0)*0.9</f>
        <v>52418.700000000004</v>
      </c>
      <c r="AG161" s="6">
        <f>ROUNDDOWN(('SPT-01'!$M169*'TABELA AUXILIAR'!$J$5+SUM('SPT-01'!$P$10:$P169))/2,0)*0.9</f>
        <v>60849.9</v>
      </c>
    </row>
    <row r="162" spans="10:33" x14ac:dyDescent="0.25">
      <c r="J162" s="1">
        <v>117</v>
      </c>
      <c r="K162" s="6">
        <f>ROUNDDOWN(('SPT-01'!$M197*'TABELA AUXILIAR'!$J$3+SUM('SPT-01'!$N$37:$N197))/2,0)*0.9</f>
        <v>56025.9</v>
      </c>
      <c r="L162" s="6">
        <f>ROUNDDOWN(('SPT-01'!$M197*'TABELA AUXILIAR'!$J$4+SUM('SPT-01'!$O$37:$O197))/2,0)*0.9</f>
        <v>60939</v>
      </c>
      <c r="M162" s="6">
        <f>ROUNDDOWN(('SPT-01'!$M197*'TABELA AUXILIAR'!$J$5+SUM('SPT-01'!$P$37:$P197))/2,0)*0.9</f>
        <v>70715.7</v>
      </c>
      <c r="N162" s="2"/>
      <c r="O162" s="8">
        <v>115.2</v>
      </c>
      <c r="P162" s="6">
        <f>ROUNDDOWN(('SPT-01'!$M194*'TABELA AUXILIAR'!$J$3+SUM('SPT-01'!$N$34:$N194))/2,0)*0.9</f>
        <v>55431</v>
      </c>
      <c r="Q162" s="6">
        <f>ROUNDDOWN(('SPT-01'!$M194*'TABELA AUXILIAR'!$J$4+SUM('SPT-01'!$O$34:$O194))/2,0)*0.9</f>
        <v>60292.800000000003</v>
      </c>
      <c r="R162" s="6">
        <f>ROUNDDOWN(('SPT-01'!$M194*'TABELA AUXILIAR'!$J$5+SUM('SPT-01'!$P$34:$P194))/2,0)*0.9</f>
        <v>69966</v>
      </c>
      <c r="T162" s="8">
        <v>110.4</v>
      </c>
      <c r="U162" s="6">
        <f>ROUNDDOWN(('SPT-01'!$M186*'TABELA AUXILIAR'!$J$3+SUM('SPT-01'!$N$26:$N186))/2,0)*0.9</f>
        <v>53509.5</v>
      </c>
      <c r="V162" s="6">
        <f>ROUNDDOWN(('SPT-01'!$M186*'TABELA AUXILIAR'!$J$4+SUM('SPT-01'!$O$26:$O186))/2,0)*0.9</f>
        <v>58203.9</v>
      </c>
      <c r="W162" s="6">
        <f>ROUNDDOWN(('SPT-01'!$M186*'TABELA AUXILIAR'!$J$5+SUM('SPT-01'!$P$26:$P186))/2,0)*0.9</f>
        <v>67546.8</v>
      </c>
      <c r="Y162" s="8">
        <v>105.6</v>
      </c>
      <c r="Z162" s="6">
        <f>ROUNDDOWN(('SPT-01'!$M178*'TABELA AUXILIAR'!$J$3+SUM('SPT-01'!$N$18:$N178))/2,0)*0.9</f>
        <v>51207.3</v>
      </c>
      <c r="AA162" s="6">
        <f>ROUNDDOWN(('SPT-01'!$M178*'TABELA AUXILIAR'!$J$4+SUM('SPT-01'!$O$18:$O178))/2,0)*0.9</f>
        <v>55702.8</v>
      </c>
      <c r="AB162" s="6">
        <f>ROUNDDOWN(('SPT-01'!$M178*'TABELA AUXILIAR'!$J$5+SUM('SPT-01'!$P$18:$P178))/2,0)*0.9</f>
        <v>64650.6</v>
      </c>
      <c r="AD162" s="8">
        <v>100.8</v>
      </c>
      <c r="AE162" s="6">
        <f>ROUNDDOWN(('SPT-01'!$M170*'TABELA AUXILIAR'!$J$3+SUM('SPT-01'!$N$10:$N170))/2,0)*0.9</f>
        <v>48597.3</v>
      </c>
      <c r="AF162" s="6">
        <f>ROUNDDOWN(('SPT-01'!$M170*'TABELA AUXILIAR'!$J$4+SUM('SPT-01'!$O$10:$O170))/2,0)*0.9</f>
        <v>52866.9</v>
      </c>
      <c r="AG162" s="6">
        <f>ROUNDDOWN(('SPT-01'!$M170*'TABELA AUXILIAR'!$J$5+SUM('SPT-01'!$P$10:$P170))/2,0)*0.9</f>
        <v>61368.3</v>
      </c>
    </row>
    <row r="163" spans="10:33" x14ac:dyDescent="0.25">
      <c r="J163" s="1">
        <v>117.6</v>
      </c>
      <c r="K163" s="6">
        <f>ROUNDDOWN(('SPT-01'!$M198*'TABELA AUXILIAR'!$J$3+SUM('SPT-01'!$N$37:$N198))/2,0)*0.9</f>
        <v>56474.1</v>
      </c>
      <c r="L163" s="6">
        <f>ROUNDDOWN(('SPT-01'!$M198*'TABELA AUXILIAR'!$J$4+SUM('SPT-01'!$O$37:$O198))/2,0)*0.9</f>
        <v>61426.8</v>
      </c>
      <c r="M163" s="6">
        <f>ROUNDDOWN(('SPT-01'!$M198*'TABELA AUXILIAR'!$J$5+SUM('SPT-01'!$P$37:$P198))/2,0)*0.9</f>
        <v>71279.100000000006</v>
      </c>
      <c r="N163" s="2"/>
      <c r="O163" s="8">
        <v>115.8</v>
      </c>
      <c r="P163" s="6">
        <f>ROUNDDOWN(('SPT-01'!$M195*'TABELA AUXILIAR'!$J$3+SUM('SPT-01'!$N$34:$N195))/2,0)*0.9</f>
        <v>55875.6</v>
      </c>
      <c r="Q163" s="6">
        <f>ROUNDDOWN(('SPT-01'!$M195*'TABELA AUXILIAR'!$J$4+SUM('SPT-01'!$O$34:$O195))/2,0)*0.9</f>
        <v>60776.1</v>
      </c>
      <c r="R163" s="6">
        <f>ROUNDDOWN(('SPT-01'!$M195*'TABELA AUXILIAR'!$J$5+SUM('SPT-01'!$P$34:$P195))/2,0)*0.9</f>
        <v>70524.900000000009</v>
      </c>
      <c r="T163" s="8">
        <v>111</v>
      </c>
      <c r="U163" s="6">
        <f>ROUNDDOWN(('SPT-01'!$M187*'TABELA AUXILIAR'!$J$3+SUM('SPT-01'!$N$26:$N187))/2,0)*0.9</f>
        <v>53944.200000000004</v>
      </c>
      <c r="V163" s="6">
        <f>ROUNDDOWN(('SPT-01'!$M187*'TABELA AUXILIAR'!$J$4+SUM('SPT-01'!$O$26:$O187))/2,0)*0.9</f>
        <v>58676.4</v>
      </c>
      <c r="W163" s="6">
        <f>ROUNDDOWN(('SPT-01'!$M187*'TABELA AUXILIAR'!$J$5+SUM('SPT-01'!$P$26:$P187))/2,0)*0.9</f>
        <v>68093.100000000006</v>
      </c>
      <c r="Y163" s="8">
        <v>106.2</v>
      </c>
      <c r="Z163" s="6">
        <f>ROUNDDOWN(('SPT-01'!$M179*'TABELA AUXILIAR'!$J$3+SUM('SPT-01'!$N$18:$N179))/2,0)*0.9</f>
        <v>51632.1</v>
      </c>
      <c r="AA163" s="6">
        <f>ROUNDDOWN(('SPT-01'!$M179*'TABELA AUXILIAR'!$J$4+SUM('SPT-01'!$O$18:$O179))/2,0)*0.9</f>
        <v>56163.6</v>
      </c>
      <c r="AB163" s="6">
        <f>ROUNDDOWN(('SPT-01'!$M179*'TABELA AUXILIAR'!$J$5+SUM('SPT-01'!$P$18:$P179))/2,0)*0.9</f>
        <v>65184.3</v>
      </c>
      <c r="AD163" s="8">
        <v>101.4</v>
      </c>
      <c r="AE163" s="6">
        <f>ROUNDDOWN(('SPT-01'!$M171*'TABELA AUXILIAR'!$J$3+SUM('SPT-01'!$N$10:$N171))/2,0)*0.9</f>
        <v>49010.400000000001</v>
      </c>
      <c r="AF163" s="6">
        <f>ROUNDDOWN(('SPT-01'!$M171*'TABELA AUXILIAR'!$J$4+SUM('SPT-01'!$O$10:$O171))/2,0)*0.9</f>
        <v>53316.9</v>
      </c>
      <c r="AG163" s="6">
        <f>ROUNDDOWN(('SPT-01'!$M171*'TABELA AUXILIAR'!$J$5+SUM('SPT-01'!$P$10:$P171))/2,0)*0.9</f>
        <v>61887.6</v>
      </c>
    </row>
    <row r="164" spans="10:33" x14ac:dyDescent="0.25">
      <c r="J164" s="1">
        <v>118.2</v>
      </c>
      <c r="K164" s="6">
        <f>ROUNDDOWN(('SPT-01'!$M199*'TABELA AUXILIAR'!$J$3+SUM('SPT-01'!$N$37:$N199))/2,0)*0.9</f>
        <v>56925</v>
      </c>
      <c r="L164" s="6">
        <f>ROUNDDOWN(('SPT-01'!$M199*'TABELA AUXILIAR'!$J$4+SUM('SPT-01'!$O$37:$O199))/2,0)*0.9</f>
        <v>61915.5</v>
      </c>
      <c r="M164" s="6">
        <f>ROUNDDOWN(('SPT-01'!$M199*'TABELA AUXILIAR'!$J$5+SUM('SPT-01'!$P$37:$P199))/2,0)*0.9</f>
        <v>71845.2</v>
      </c>
      <c r="N164" s="2"/>
      <c r="O164" s="8">
        <v>116.4</v>
      </c>
      <c r="P164" s="6">
        <f>ROUNDDOWN(('SPT-01'!$M196*'TABELA AUXILIAR'!$J$3+SUM('SPT-01'!$N$34:$N196))/2,0)*0.9</f>
        <v>56322</v>
      </c>
      <c r="Q164" s="6">
        <f>ROUNDDOWN(('SPT-01'!$M196*'TABELA AUXILIAR'!$J$4+SUM('SPT-01'!$O$34:$O196))/2,0)*0.9</f>
        <v>61260.3</v>
      </c>
      <c r="R164" s="6">
        <f>ROUNDDOWN(('SPT-01'!$M196*'TABELA AUXILIAR'!$J$5+SUM('SPT-01'!$P$34:$P196))/2,0)*0.9</f>
        <v>71085.600000000006</v>
      </c>
      <c r="T164" s="8">
        <v>111.6</v>
      </c>
      <c r="U164" s="6">
        <f>ROUNDDOWN(('SPT-01'!$M188*'TABELA AUXILIAR'!$J$3+SUM('SPT-01'!$N$26:$N188))/2,0)*0.9</f>
        <v>54379.8</v>
      </c>
      <c r="V164" s="6">
        <f>ROUNDDOWN(('SPT-01'!$M188*'TABELA AUXILIAR'!$J$4+SUM('SPT-01'!$O$26:$O188))/2,0)*0.9</f>
        <v>59149.8</v>
      </c>
      <c r="W164" s="6">
        <f>ROUNDDOWN(('SPT-01'!$M188*'TABELA AUXILIAR'!$J$5+SUM('SPT-01'!$P$26:$P188))/2,0)*0.9</f>
        <v>68640.3</v>
      </c>
      <c r="Y164" s="8">
        <v>106.8</v>
      </c>
      <c r="Z164" s="6">
        <f>ROUNDDOWN(('SPT-01'!$M180*'TABELA AUXILIAR'!$J$3+SUM('SPT-01'!$N$18:$N180))/2,0)*0.9</f>
        <v>52057.8</v>
      </c>
      <c r="AA164" s="6">
        <f>ROUNDDOWN(('SPT-01'!$M180*'TABELA AUXILIAR'!$J$4+SUM('SPT-01'!$O$18:$O180))/2,0)*0.9</f>
        <v>56626.200000000004</v>
      </c>
      <c r="AB164" s="6">
        <f>ROUNDDOWN(('SPT-01'!$M180*'TABELA AUXILIAR'!$J$5+SUM('SPT-01'!$P$18:$P180))/2,0)*0.9</f>
        <v>65718.900000000009</v>
      </c>
      <c r="AD164" s="8">
        <v>102</v>
      </c>
      <c r="AE164" s="6">
        <f>ROUNDDOWN(('SPT-01'!$M172*'TABELA AUXILIAR'!$J$3+SUM('SPT-01'!$N$10:$N172))/2,0)*0.9</f>
        <v>49426.200000000004</v>
      </c>
      <c r="AF164" s="6">
        <f>ROUNDDOWN(('SPT-01'!$M172*'TABELA AUXILIAR'!$J$4+SUM('SPT-01'!$O$10:$O172))/2,0)*0.9</f>
        <v>53767.8</v>
      </c>
      <c r="AG164" s="6">
        <f>ROUNDDOWN(('SPT-01'!$M172*'TABELA AUXILIAR'!$J$5+SUM('SPT-01'!$P$10:$P172))/2,0)*0.9</f>
        <v>62409.599999999999</v>
      </c>
    </row>
    <row r="165" spans="10:33" x14ac:dyDescent="0.25">
      <c r="J165" s="1">
        <v>118.8</v>
      </c>
      <c r="K165" s="6">
        <f>ROUNDDOWN(('SPT-01'!$M200*'TABELA AUXILIAR'!$J$3+SUM('SPT-01'!$N$37:$N200))/2,0)*0.9</f>
        <v>57375.9</v>
      </c>
      <c r="L165" s="6">
        <f>ROUNDDOWN(('SPT-01'!$M200*'TABELA AUXILIAR'!$J$4+SUM('SPT-01'!$O$37:$O200))/2,0)*0.9</f>
        <v>62406</v>
      </c>
      <c r="M165" s="6">
        <f>ROUNDDOWN(('SPT-01'!$M200*'TABELA AUXILIAR'!$J$5+SUM('SPT-01'!$P$37:$P200))/2,0)*0.9</f>
        <v>72412.2</v>
      </c>
      <c r="N165" s="2"/>
      <c r="O165" s="8">
        <v>117</v>
      </c>
      <c r="P165" s="6">
        <f>ROUNDDOWN(('SPT-01'!$M197*'TABELA AUXILIAR'!$J$3+SUM('SPT-01'!$N$34:$N197))/2,0)*0.9</f>
        <v>56769.3</v>
      </c>
      <c r="Q165" s="6">
        <f>ROUNDDOWN(('SPT-01'!$M197*'TABELA AUXILIAR'!$J$4+SUM('SPT-01'!$O$34:$O197))/2,0)*0.9</f>
        <v>61747.200000000004</v>
      </c>
      <c r="R165" s="6">
        <f>ROUNDDOWN(('SPT-01'!$M197*'TABELA AUXILIAR'!$J$5+SUM('SPT-01'!$P$34:$P197))/2,0)*0.9</f>
        <v>71648.100000000006</v>
      </c>
      <c r="T165" s="8">
        <v>112.2</v>
      </c>
      <c r="U165" s="6">
        <f>ROUNDDOWN(('SPT-01'!$M189*'TABELA AUXILIAR'!$J$3+SUM('SPT-01'!$N$26:$N189))/2,0)*0.9</f>
        <v>54817.200000000004</v>
      </c>
      <c r="V165" s="6">
        <f>ROUNDDOWN(('SPT-01'!$M189*'TABELA AUXILIAR'!$J$4+SUM('SPT-01'!$O$26:$O189))/2,0)*0.9</f>
        <v>59625</v>
      </c>
      <c r="W165" s="6">
        <f>ROUNDDOWN(('SPT-01'!$M189*'TABELA AUXILIAR'!$J$5+SUM('SPT-01'!$P$26:$P189))/2,0)*0.9</f>
        <v>69190.2</v>
      </c>
      <c r="Y165" s="8">
        <v>107.4</v>
      </c>
      <c r="Z165" s="6">
        <f>ROUNDDOWN(('SPT-01'!$M181*'TABELA AUXILIAR'!$J$3+SUM('SPT-01'!$N$18:$N181))/2,0)*0.9</f>
        <v>52484.4</v>
      </c>
      <c r="AA165" s="6">
        <f>ROUNDDOWN(('SPT-01'!$M181*'TABELA AUXILIAR'!$J$4+SUM('SPT-01'!$O$18:$O181))/2,0)*0.9</f>
        <v>57090.6</v>
      </c>
      <c r="AB165" s="6">
        <f>ROUNDDOWN(('SPT-01'!$M181*'TABELA AUXILIAR'!$J$5+SUM('SPT-01'!$P$18:$P181))/2,0)*0.9</f>
        <v>66255.3</v>
      </c>
      <c r="AD165" s="8">
        <v>102.6</v>
      </c>
      <c r="AE165" s="6">
        <f>ROUNDDOWN(('SPT-01'!$M173*'TABELA AUXILIAR'!$J$3+SUM('SPT-01'!$N$10:$N173))/2,0)*0.9</f>
        <v>49842.9</v>
      </c>
      <c r="AF165" s="6">
        <f>ROUNDDOWN(('SPT-01'!$M173*'TABELA AUXILIAR'!$J$4+SUM('SPT-01'!$O$10:$O173))/2,0)*0.9</f>
        <v>54219.6</v>
      </c>
      <c r="AG165" s="6">
        <f>ROUNDDOWN(('SPT-01'!$M173*'TABELA AUXILIAR'!$J$5+SUM('SPT-01'!$P$10:$P173))/2,0)*0.9</f>
        <v>62933.4</v>
      </c>
    </row>
    <row r="166" spans="10:33" x14ac:dyDescent="0.25">
      <c r="J166" s="1">
        <v>119.4</v>
      </c>
      <c r="K166" s="6">
        <f>ROUNDDOWN(('SPT-01'!$M201*'TABELA AUXILIAR'!$J$3+SUM('SPT-01'!$N$37:$N201))/2,0)*0.9</f>
        <v>57828.6</v>
      </c>
      <c r="L166" s="6">
        <f>ROUNDDOWN(('SPT-01'!$M201*'TABELA AUXILIAR'!$J$4+SUM('SPT-01'!$O$37:$O201))/2,0)*0.9</f>
        <v>62897.4</v>
      </c>
      <c r="M166" s="6">
        <f>ROUNDDOWN(('SPT-01'!$M201*'TABELA AUXILIAR'!$J$5+SUM('SPT-01'!$P$37:$P201))/2,0)*0.9</f>
        <v>72980.100000000006</v>
      </c>
      <c r="N166" s="2"/>
      <c r="O166" s="8">
        <v>117.6</v>
      </c>
      <c r="P166" s="6">
        <f>ROUNDDOWN(('SPT-01'!$M198*'TABELA AUXILIAR'!$J$3+SUM('SPT-01'!$N$34:$N198))/2,0)*0.9</f>
        <v>57218.400000000001</v>
      </c>
      <c r="Q166" s="6">
        <f>ROUNDDOWN(('SPT-01'!$M198*'TABELA AUXILIAR'!$J$4+SUM('SPT-01'!$O$34:$O198))/2,0)*0.9</f>
        <v>62234.1</v>
      </c>
      <c r="R166" s="6">
        <f>ROUNDDOWN(('SPT-01'!$M198*'TABELA AUXILIAR'!$J$5+SUM('SPT-01'!$P$34:$P198))/2,0)*0.9</f>
        <v>72211.5</v>
      </c>
      <c r="T166" s="8">
        <v>112.8</v>
      </c>
      <c r="U166" s="6">
        <f>ROUNDDOWN(('SPT-01'!$M190*'TABELA AUXILIAR'!$J$3+SUM('SPT-01'!$N$26:$N190))/2,0)*0.9</f>
        <v>55256.4</v>
      </c>
      <c r="V166" s="6">
        <f>ROUNDDOWN(('SPT-01'!$M190*'TABELA AUXILIAR'!$J$4+SUM('SPT-01'!$O$26:$O190))/2,0)*0.9</f>
        <v>60102</v>
      </c>
      <c r="W166" s="6">
        <f>ROUNDDOWN(('SPT-01'!$M190*'TABELA AUXILIAR'!$J$5+SUM('SPT-01'!$P$26:$P190))/2,0)*0.9</f>
        <v>69741</v>
      </c>
      <c r="Y166" s="8">
        <v>108</v>
      </c>
      <c r="Z166" s="6">
        <f>ROUNDDOWN(('SPT-01'!$M182*'TABELA AUXILIAR'!$J$3+SUM('SPT-01'!$N$18:$N182))/2,0)*0.9</f>
        <v>52912.800000000003</v>
      </c>
      <c r="AA166" s="6">
        <f>ROUNDDOWN(('SPT-01'!$M182*'TABELA AUXILIAR'!$J$4+SUM('SPT-01'!$O$18:$O182))/2,0)*0.9</f>
        <v>57555.9</v>
      </c>
      <c r="AB166" s="6">
        <f>ROUNDDOWN(('SPT-01'!$M182*'TABELA AUXILIAR'!$J$5+SUM('SPT-01'!$P$18:$P182))/2,0)*0.9</f>
        <v>66793.5</v>
      </c>
      <c r="AD166" s="8">
        <v>103.2</v>
      </c>
      <c r="AE166" s="6">
        <f>ROUNDDOWN(('SPT-01'!$M174*'TABELA AUXILIAR'!$J$3+SUM('SPT-01'!$N$10:$N174))/2,0)*0.9</f>
        <v>50260.5</v>
      </c>
      <c r="AF166" s="6">
        <f>ROUNDDOWN(('SPT-01'!$M174*'TABELA AUXILIAR'!$J$4+SUM('SPT-01'!$O$10:$O174))/2,0)*0.9</f>
        <v>54674.1</v>
      </c>
      <c r="AG166" s="6">
        <f>ROUNDDOWN(('SPT-01'!$M174*'TABELA AUXILIAR'!$J$5+SUM('SPT-01'!$P$10:$P174))/2,0)*0.9</f>
        <v>63458.1</v>
      </c>
    </row>
    <row r="167" spans="10:33" x14ac:dyDescent="0.25">
      <c r="J167" s="1">
        <v>120</v>
      </c>
      <c r="K167" s="6">
        <f>ROUNDDOWN(('SPT-01'!$M202*'TABELA AUXILIAR'!$J$3+SUM('SPT-01'!$N$37:$N202))/2,0)*0.9</f>
        <v>58283.1</v>
      </c>
      <c r="L167" s="6">
        <f>ROUNDDOWN(('SPT-01'!$M202*'TABELA AUXILIAR'!$J$4+SUM('SPT-01'!$O$37:$O202))/2,0)*0.9</f>
        <v>63390.6</v>
      </c>
      <c r="M167" s="6">
        <f>ROUNDDOWN(('SPT-01'!$M202*'TABELA AUXILIAR'!$J$5+SUM('SPT-01'!$P$37:$P202))/2,0)*0.9</f>
        <v>73550.7</v>
      </c>
      <c r="N167" s="2"/>
      <c r="O167" s="8">
        <v>118.2</v>
      </c>
      <c r="P167" s="6">
        <f>ROUNDDOWN(('SPT-01'!$M199*'TABELA AUXILIAR'!$J$3+SUM('SPT-01'!$N$34:$N199))/2,0)*0.9</f>
        <v>57668.4</v>
      </c>
      <c r="Q167" s="6">
        <f>ROUNDDOWN(('SPT-01'!$M199*'TABELA AUXILIAR'!$J$4+SUM('SPT-01'!$O$34:$O199))/2,0)*0.9</f>
        <v>62723.700000000004</v>
      </c>
      <c r="R167" s="6">
        <f>ROUNDDOWN(('SPT-01'!$M199*'TABELA AUXILIAR'!$J$5+SUM('SPT-01'!$P$34:$P199))/2,0)*0.9</f>
        <v>72776.7</v>
      </c>
      <c r="T167" s="8">
        <v>113.4</v>
      </c>
      <c r="U167" s="6">
        <f>ROUNDDOWN(('SPT-01'!$M191*'TABELA AUXILIAR'!$J$3+SUM('SPT-01'!$N$26:$N191))/2,0)*0.9</f>
        <v>55696.5</v>
      </c>
      <c r="V167" s="6">
        <f>ROUNDDOWN(('SPT-01'!$M191*'TABELA AUXILIAR'!$J$4+SUM('SPT-01'!$O$26:$O191))/2,0)*0.9</f>
        <v>60579.9</v>
      </c>
      <c r="W167" s="6">
        <f>ROUNDDOWN(('SPT-01'!$M191*'TABELA AUXILIAR'!$J$5+SUM('SPT-01'!$P$26:$P191))/2,0)*0.9</f>
        <v>70293.600000000006</v>
      </c>
      <c r="Y167" s="8">
        <v>108.6</v>
      </c>
      <c r="Z167" s="6">
        <f>ROUNDDOWN(('SPT-01'!$M183*'TABELA AUXILIAR'!$J$3+SUM('SPT-01'!$N$18:$N183))/2,0)*0.9</f>
        <v>53343</v>
      </c>
      <c r="AA167" s="6">
        <f>ROUNDDOWN(('SPT-01'!$M183*'TABELA AUXILIAR'!$J$4+SUM('SPT-01'!$O$18:$O183))/2,0)*0.9</f>
        <v>58022.1</v>
      </c>
      <c r="AB167" s="6">
        <f>ROUNDDOWN(('SPT-01'!$M183*'TABELA AUXILIAR'!$J$5+SUM('SPT-01'!$P$18:$P183))/2,0)*0.9</f>
        <v>67333.5</v>
      </c>
      <c r="AD167" s="8">
        <v>103.8</v>
      </c>
      <c r="AE167" s="6">
        <f>ROUNDDOWN(('SPT-01'!$M175*'TABELA AUXILIAR'!$J$3+SUM('SPT-01'!$N$10:$N175))/2,0)*0.9</f>
        <v>50679.9</v>
      </c>
      <c r="AF167" s="6">
        <f>ROUNDDOWN(('SPT-01'!$M175*'TABELA AUXILIAR'!$J$4+SUM('SPT-01'!$O$10:$O175))/2,0)*0.9</f>
        <v>55129.5</v>
      </c>
      <c r="AG167" s="6">
        <f>ROUNDDOWN(('SPT-01'!$M175*'TABELA AUXILIAR'!$J$5+SUM('SPT-01'!$P$10:$P175))/2,0)*0.9</f>
        <v>63984.6</v>
      </c>
    </row>
    <row r="168" spans="10:33" x14ac:dyDescent="0.25">
      <c r="J168" s="1">
        <v>120.6</v>
      </c>
      <c r="K168" s="6">
        <f>ROUNDDOWN(('SPT-01'!$M203*'TABELA AUXILIAR'!$J$3+SUM('SPT-01'!$N$37:$N203))/2,0)*0.9</f>
        <v>58737.599999999999</v>
      </c>
      <c r="L168" s="6">
        <f>ROUNDDOWN(('SPT-01'!$M203*'TABELA AUXILIAR'!$J$4+SUM('SPT-01'!$O$37:$O203))/2,0)*0.9</f>
        <v>63884.700000000004</v>
      </c>
      <c r="M168" s="6">
        <f>ROUNDDOWN(('SPT-01'!$M203*'TABELA AUXILIAR'!$J$5+SUM('SPT-01'!$P$37:$P203))/2,0)*0.9</f>
        <v>74122.2</v>
      </c>
      <c r="N168" s="2"/>
      <c r="O168" s="8">
        <v>118.8</v>
      </c>
      <c r="P168" s="6">
        <f>ROUNDDOWN(('SPT-01'!$M200*'TABELA AUXILIAR'!$J$3+SUM('SPT-01'!$N$34:$N200))/2,0)*0.9</f>
        <v>58120.200000000004</v>
      </c>
      <c r="Q168" s="6">
        <f>ROUNDDOWN(('SPT-01'!$M200*'TABELA AUXILIAR'!$J$4+SUM('SPT-01'!$O$34:$O200))/2,0)*0.9</f>
        <v>63213.3</v>
      </c>
      <c r="R168" s="6">
        <f>ROUNDDOWN(('SPT-01'!$M200*'TABELA AUXILIAR'!$J$5+SUM('SPT-01'!$P$34:$P200))/2,0)*0.9</f>
        <v>73343.7</v>
      </c>
      <c r="T168" s="8">
        <v>114</v>
      </c>
      <c r="U168" s="6">
        <f>ROUNDDOWN(('SPT-01'!$M192*'TABELA AUXILIAR'!$J$3+SUM('SPT-01'!$N$26:$N192))/2,0)*0.9</f>
        <v>56137.5</v>
      </c>
      <c r="V168" s="6">
        <f>ROUNDDOWN(('SPT-01'!$M192*'TABELA AUXILIAR'!$J$4+SUM('SPT-01'!$O$26:$O192))/2,0)*0.9</f>
        <v>61058.700000000004</v>
      </c>
      <c r="W168" s="6">
        <f>ROUNDDOWN(('SPT-01'!$M192*'TABELA AUXILIAR'!$J$5+SUM('SPT-01'!$P$26:$P192))/2,0)*0.9</f>
        <v>70848</v>
      </c>
      <c r="Y168" s="8">
        <v>109.2</v>
      </c>
      <c r="Z168" s="6">
        <f>ROUNDDOWN(('SPT-01'!$M184*'TABELA AUXILIAR'!$J$3+SUM('SPT-01'!$N$18:$N184))/2,0)*0.9</f>
        <v>53773.200000000004</v>
      </c>
      <c r="AA168" s="6">
        <f>ROUNDDOWN(('SPT-01'!$M184*'TABELA AUXILIAR'!$J$4+SUM('SPT-01'!$O$18:$O184))/2,0)*0.9</f>
        <v>58490.1</v>
      </c>
      <c r="AB168" s="6">
        <f>ROUNDDOWN(('SPT-01'!$M184*'TABELA AUXILIAR'!$J$5+SUM('SPT-01'!$P$18:$P184))/2,0)*0.9</f>
        <v>67874.400000000009</v>
      </c>
      <c r="AD168" s="8">
        <v>104.4</v>
      </c>
      <c r="AE168" s="6">
        <f>ROUNDDOWN(('SPT-01'!$M176*'TABELA AUXILIAR'!$J$3+SUM('SPT-01'!$N$10:$N176))/2,0)*0.9</f>
        <v>51100.200000000004</v>
      </c>
      <c r="AF168" s="6">
        <f>ROUNDDOWN(('SPT-01'!$M176*'TABELA AUXILIAR'!$J$4+SUM('SPT-01'!$O$10:$O176))/2,0)*0.9</f>
        <v>55585.8</v>
      </c>
      <c r="AG168" s="6">
        <f>ROUNDDOWN(('SPT-01'!$M176*'TABELA AUXILIAR'!$J$5+SUM('SPT-01'!$P$10:$P176))/2,0)*0.9</f>
        <v>64512.9</v>
      </c>
    </row>
    <row r="169" spans="10:33" x14ac:dyDescent="0.25">
      <c r="J169" s="1">
        <v>121.2</v>
      </c>
      <c r="K169" s="6">
        <f>ROUNDDOWN(('SPT-01'!$M204*'TABELA AUXILIAR'!$J$3+SUM('SPT-01'!$N$37:$N204))/2,0)*0.9</f>
        <v>59194.8</v>
      </c>
      <c r="L169" s="6">
        <f>ROUNDDOWN(('SPT-01'!$M204*'TABELA AUXILIAR'!$J$4+SUM('SPT-01'!$O$37:$O204))/2,0)*0.9</f>
        <v>64380.6</v>
      </c>
      <c r="M169" s="6">
        <f>ROUNDDOWN(('SPT-01'!$M204*'TABELA AUXILIAR'!$J$5+SUM('SPT-01'!$P$37:$P204))/2,0)*0.9</f>
        <v>74695.5</v>
      </c>
      <c r="N169" s="2"/>
      <c r="O169" s="8">
        <v>119.4</v>
      </c>
      <c r="P169" s="6">
        <f>ROUNDDOWN(('SPT-01'!$M201*'TABELA AUXILIAR'!$J$3+SUM('SPT-01'!$N$34:$N201))/2,0)*0.9</f>
        <v>58572.9</v>
      </c>
      <c r="Q169" s="6">
        <f>ROUNDDOWN(('SPT-01'!$M201*'TABELA AUXILIAR'!$J$4+SUM('SPT-01'!$O$34:$O201))/2,0)*0.9</f>
        <v>63705.599999999999</v>
      </c>
      <c r="R169" s="6">
        <f>ROUNDDOWN(('SPT-01'!$M201*'TABELA AUXILIAR'!$J$5+SUM('SPT-01'!$P$34:$P201))/2,0)*0.9</f>
        <v>73912.5</v>
      </c>
      <c r="T169" s="8">
        <v>114.6</v>
      </c>
      <c r="U169" s="6">
        <f>ROUNDDOWN(('SPT-01'!$M193*'TABELA AUXILIAR'!$J$3+SUM('SPT-01'!$N$26:$N193))/2,0)*0.9</f>
        <v>56580.3</v>
      </c>
      <c r="V169" s="6">
        <f>ROUNDDOWN(('SPT-01'!$M193*'TABELA AUXILIAR'!$J$4+SUM('SPT-01'!$O$26:$O193))/2,0)*0.9</f>
        <v>61539.3</v>
      </c>
      <c r="W169" s="6">
        <f>ROUNDDOWN(('SPT-01'!$M193*'TABELA AUXILIAR'!$J$5+SUM('SPT-01'!$P$26:$P193))/2,0)*0.9</f>
        <v>71404.2</v>
      </c>
      <c r="Y169" s="8">
        <v>109.8</v>
      </c>
      <c r="Z169" s="6">
        <f>ROUNDDOWN(('SPT-01'!$M185*'TABELA AUXILIAR'!$J$3+SUM('SPT-01'!$N$18:$N185))/2,0)*0.9</f>
        <v>54206.1</v>
      </c>
      <c r="AA169" s="6">
        <f>ROUNDDOWN(('SPT-01'!$M185*'TABELA AUXILIAR'!$J$4+SUM('SPT-01'!$O$18:$O185))/2,0)*0.9</f>
        <v>58959.9</v>
      </c>
      <c r="AB169" s="6">
        <f>ROUNDDOWN(('SPT-01'!$M185*'TABELA AUXILIAR'!$J$5+SUM('SPT-01'!$P$18:$P185))/2,0)*0.9</f>
        <v>68418</v>
      </c>
      <c r="AD169" s="8">
        <v>105</v>
      </c>
      <c r="AE169" s="6">
        <f>ROUNDDOWN(('SPT-01'!$M177*'TABELA AUXILIAR'!$J$3+SUM('SPT-01'!$N$10:$N177))/2,0)*0.9</f>
        <v>51522.3</v>
      </c>
      <c r="AF169" s="6">
        <f>ROUNDDOWN(('SPT-01'!$M177*'TABELA AUXILIAR'!$J$4+SUM('SPT-01'!$O$10:$O177))/2,0)*0.9</f>
        <v>56043.9</v>
      </c>
      <c r="AG169" s="6">
        <f>ROUNDDOWN(('SPT-01'!$M177*'TABELA AUXILIAR'!$J$5+SUM('SPT-01'!$P$10:$P177))/2,0)*0.9</f>
        <v>65043</v>
      </c>
    </row>
    <row r="170" spans="10:33" x14ac:dyDescent="0.25">
      <c r="J170" s="1">
        <v>121.8</v>
      </c>
      <c r="K170" s="6">
        <f>ROUNDDOWN(('SPT-01'!$M205*'TABELA AUXILIAR'!$J$3+SUM('SPT-01'!$N$37:$N205))/2,0)*0.9</f>
        <v>59652</v>
      </c>
      <c r="L170" s="6">
        <f>ROUNDDOWN(('SPT-01'!$M205*'TABELA AUXILIAR'!$J$4+SUM('SPT-01'!$O$37:$O205))/2,0)*0.9</f>
        <v>64877.4</v>
      </c>
      <c r="M170" s="6">
        <f>ROUNDDOWN(('SPT-01'!$M205*'TABELA AUXILIAR'!$J$5+SUM('SPT-01'!$P$37:$P205))/2,0)*0.9</f>
        <v>75270.600000000006</v>
      </c>
      <c r="N170" s="2"/>
      <c r="O170" s="8">
        <v>120</v>
      </c>
      <c r="P170" s="6">
        <f>ROUNDDOWN(('SPT-01'!$M202*'TABELA AUXILIAR'!$J$3+SUM('SPT-01'!$N$34:$N202))/2,0)*0.9</f>
        <v>59026.5</v>
      </c>
      <c r="Q170" s="6">
        <f>ROUNDDOWN(('SPT-01'!$M202*'TABELA AUXILIAR'!$J$4+SUM('SPT-01'!$O$34:$O202))/2,0)*0.9</f>
        <v>64197.9</v>
      </c>
      <c r="R170" s="6">
        <f>ROUNDDOWN(('SPT-01'!$M202*'TABELA AUXILIAR'!$J$5+SUM('SPT-01'!$P$34:$P202))/2,0)*0.9</f>
        <v>74483.100000000006</v>
      </c>
      <c r="T170" s="8">
        <v>115.2</v>
      </c>
      <c r="U170" s="6">
        <f>ROUNDDOWN(('SPT-01'!$M194*'TABELA AUXILIAR'!$J$3+SUM('SPT-01'!$N$26:$N194))/2,0)*0.9</f>
        <v>57024</v>
      </c>
      <c r="V170" s="6">
        <f>ROUNDDOWN(('SPT-01'!$M194*'TABELA AUXILIAR'!$J$4+SUM('SPT-01'!$O$26:$O194))/2,0)*0.9</f>
        <v>62021.700000000004</v>
      </c>
      <c r="W170" s="6">
        <f>ROUNDDOWN(('SPT-01'!$M194*'TABELA AUXILIAR'!$J$5+SUM('SPT-01'!$P$26:$P194))/2,0)*0.9</f>
        <v>71962.2</v>
      </c>
      <c r="Y170" s="8">
        <v>110.4</v>
      </c>
      <c r="Z170" s="6">
        <f>ROUNDDOWN(('SPT-01'!$M186*'TABELA AUXILIAR'!$J$3+SUM('SPT-01'!$N$18:$N186))/2,0)*0.9</f>
        <v>54639.9</v>
      </c>
      <c r="AA170" s="6">
        <f>ROUNDDOWN(('SPT-01'!$M186*'TABELA AUXILIAR'!$J$4+SUM('SPT-01'!$O$18:$O186))/2,0)*0.9</f>
        <v>59430.6</v>
      </c>
      <c r="AB170" s="6">
        <f>ROUNDDOWN(('SPT-01'!$M186*'TABELA AUXILIAR'!$J$5+SUM('SPT-01'!$P$18:$P186))/2,0)*0.9</f>
        <v>68962.5</v>
      </c>
      <c r="AD170" s="8">
        <v>105.6</v>
      </c>
      <c r="AE170" s="6">
        <f>ROUNDDOWN(('SPT-01'!$M178*'TABELA AUXILIAR'!$J$3+SUM('SPT-01'!$N$10:$N178))/2,0)*0.9</f>
        <v>51945.3</v>
      </c>
      <c r="AF170" s="6">
        <f>ROUNDDOWN(('SPT-01'!$M178*'TABELA AUXILIAR'!$J$4+SUM('SPT-01'!$O$10:$O178))/2,0)*0.9</f>
        <v>56503.8</v>
      </c>
      <c r="AG170" s="6">
        <f>ROUNDDOWN(('SPT-01'!$M178*'TABELA AUXILIAR'!$J$5+SUM('SPT-01'!$P$10:$P178))/2,0)*0.9</f>
        <v>65574.900000000009</v>
      </c>
    </row>
    <row r="171" spans="10:33" x14ac:dyDescent="0.25">
      <c r="J171" s="1">
        <v>122.4</v>
      </c>
      <c r="K171" s="6">
        <f>ROUNDDOWN(('SPT-01'!$M206*'TABELA AUXILIAR'!$J$3+SUM('SPT-01'!$N$37:$N206))/2,0)*0.9</f>
        <v>60111</v>
      </c>
      <c r="L171" s="6">
        <f>ROUNDDOWN(('SPT-01'!$M206*'TABELA AUXILIAR'!$J$4+SUM('SPT-01'!$O$37:$O206))/2,0)*0.9</f>
        <v>65376</v>
      </c>
      <c r="M171" s="6">
        <f>ROUNDDOWN(('SPT-01'!$M206*'TABELA AUXILIAR'!$J$5+SUM('SPT-01'!$P$37:$P206))/2,0)*0.9</f>
        <v>75846.600000000006</v>
      </c>
      <c r="N171" s="2"/>
      <c r="O171" s="8">
        <v>120.6</v>
      </c>
      <c r="P171" s="6">
        <f>ROUNDDOWN(('SPT-01'!$M203*'TABELA AUXILIAR'!$J$3+SUM('SPT-01'!$N$34:$N203))/2,0)*0.9</f>
        <v>59481.9</v>
      </c>
      <c r="Q171" s="6">
        <f>ROUNDDOWN(('SPT-01'!$M203*'TABELA AUXILIAR'!$J$4+SUM('SPT-01'!$O$34:$O203))/2,0)*0.9</f>
        <v>64692.9</v>
      </c>
      <c r="R171" s="6">
        <f>ROUNDDOWN(('SPT-01'!$M203*'TABELA AUXILIAR'!$J$5+SUM('SPT-01'!$P$34:$P203))/2,0)*0.9</f>
        <v>75054.600000000006</v>
      </c>
      <c r="T171" s="8">
        <v>115.8</v>
      </c>
      <c r="U171" s="6">
        <f>ROUNDDOWN(('SPT-01'!$M195*'TABELA AUXILIAR'!$J$3+SUM('SPT-01'!$N$26:$N195))/2,0)*0.9</f>
        <v>57469.5</v>
      </c>
      <c r="V171" s="6">
        <f>ROUNDDOWN(('SPT-01'!$M195*'TABELA AUXILIAR'!$J$4+SUM('SPT-01'!$O$26:$O195))/2,0)*0.9</f>
        <v>62505</v>
      </c>
      <c r="W171" s="6">
        <f>ROUNDDOWN(('SPT-01'!$M195*'TABELA AUXILIAR'!$J$5+SUM('SPT-01'!$P$26:$P195))/2,0)*0.9</f>
        <v>72521.100000000006</v>
      </c>
      <c r="Y171" s="8">
        <v>111</v>
      </c>
      <c r="Z171" s="6">
        <f>ROUNDDOWN(('SPT-01'!$M187*'TABELA AUXILIAR'!$J$3+SUM('SPT-01'!$N$18:$N187))/2,0)*0.9</f>
        <v>55074.6</v>
      </c>
      <c r="AA171" s="6">
        <f>ROUNDDOWN(('SPT-01'!$M187*'TABELA AUXILIAR'!$J$4+SUM('SPT-01'!$O$18:$O187))/2,0)*0.9</f>
        <v>59903.1</v>
      </c>
      <c r="AB171" s="6">
        <f>ROUNDDOWN(('SPT-01'!$M187*'TABELA AUXILIAR'!$J$5+SUM('SPT-01'!$P$18:$P187))/2,0)*0.9</f>
        <v>69508.800000000003</v>
      </c>
      <c r="AD171" s="8">
        <v>106.2</v>
      </c>
      <c r="AE171" s="6">
        <f>ROUNDDOWN(('SPT-01'!$M179*'TABELA AUXILIAR'!$J$3+SUM('SPT-01'!$N$10:$N179))/2,0)*0.9</f>
        <v>52369.200000000004</v>
      </c>
      <c r="AF171" s="6">
        <f>ROUNDDOWN(('SPT-01'!$M179*'TABELA AUXILIAR'!$J$4+SUM('SPT-01'!$O$10:$O179))/2,0)*0.9</f>
        <v>56964.6</v>
      </c>
      <c r="AG171" s="6">
        <f>ROUNDDOWN(('SPT-01'!$M179*'TABELA AUXILIAR'!$J$5+SUM('SPT-01'!$P$10:$P179))/2,0)*0.9</f>
        <v>66108.600000000006</v>
      </c>
    </row>
    <row r="172" spans="10:33" x14ac:dyDescent="0.25">
      <c r="J172" s="1">
        <v>123</v>
      </c>
      <c r="K172" s="6">
        <f>ROUNDDOWN(('SPT-01'!$M207*'TABELA AUXILIAR'!$J$3+SUM('SPT-01'!$N$37:$N207))/2,0)*0.9</f>
        <v>60570.9</v>
      </c>
      <c r="L172" s="6">
        <f>ROUNDDOWN(('SPT-01'!$M207*'TABELA AUXILIAR'!$J$4+SUM('SPT-01'!$O$37:$O207))/2,0)*0.9</f>
        <v>65876.400000000009</v>
      </c>
      <c r="M172" s="6">
        <f>ROUNDDOWN(('SPT-01'!$M207*'TABELA AUXILIAR'!$J$5+SUM('SPT-01'!$P$37:$P207))/2,0)*0.9</f>
        <v>76425.3</v>
      </c>
      <c r="N172" s="2"/>
      <c r="O172" s="8">
        <v>121.2</v>
      </c>
      <c r="P172" s="6">
        <f>ROUNDDOWN(('SPT-01'!$M204*'TABELA AUXILIAR'!$J$3+SUM('SPT-01'!$N$34:$N204))/2,0)*0.9</f>
        <v>59938.200000000004</v>
      </c>
      <c r="Q172" s="6">
        <f>ROUNDDOWN(('SPT-01'!$M204*'TABELA AUXILIAR'!$J$4+SUM('SPT-01'!$O$34:$O204))/2,0)*0.9</f>
        <v>65187.9</v>
      </c>
      <c r="R172" s="6">
        <f>ROUNDDOWN(('SPT-01'!$M204*'TABELA AUXILIAR'!$J$5+SUM('SPT-01'!$P$34:$P204))/2,0)*0.9</f>
        <v>75627.900000000009</v>
      </c>
      <c r="T172" s="8">
        <v>116.4</v>
      </c>
      <c r="U172" s="6">
        <f>ROUNDDOWN(('SPT-01'!$M196*'TABELA AUXILIAR'!$J$3+SUM('SPT-01'!$N$26:$N196))/2,0)*0.9</f>
        <v>57915.9</v>
      </c>
      <c r="V172" s="6">
        <f>ROUNDDOWN(('SPT-01'!$M196*'TABELA AUXILIAR'!$J$4+SUM('SPT-01'!$O$26:$O196))/2,0)*0.9</f>
        <v>62990.1</v>
      </c>
      <c r="W172" s="6">
        <f>ROUNDDOWN(('SPT-01'!$M196*'TABELA AUXILIAR'!$J$5+SUM('SPT-01'!$P$26:$P196))/2,0)*0.9</f>
        <v>73081.8</v>
      </c>
      <c r="Y172" s="8">
        <v>111.6</v>
      </c>
      <c r="Z172" s="6">
        <f>ROUNDDOWN(('SPT-01'!$M188*'TABELA AUXILIAR'!$J$3+SUM('SPT-01'!$N$18:$N188))/2,0)*0.9</f>
        <v>55510.200000000004</v>
      </c>
      <c r="AA172" s="6">
        <f>ROUNDDOWN(('SPT-01'!$M188*'TABELA AUXILIAR'!$J$4+SUM('SPT-01'!$O$18:$O188))/2,0)*0.9</f>
        <v>60376.5</v>
      </c>
      <c r="AB172" s="6">
        <f>ROUNDDOWN(('SPT-01'!$M188*'TABELA AUXILIAR'!$J$5+SUM('SPT-01'!$P$18:$P188))/2,0)*0.9</f>
        <v>70056.900000000009</v>
      </c>
      <c r="AD172" s="8">
        <v>106.8</v>
      </c>
      <c r="AE172" s="6">
        <f>ROUNDDOWN(('SPT-01'!$M180*'TABELA AUXILIAR'!$J$3+SUM('SPT-01'!$N$10:$N180))/2,0)*0.9</f>
        <v>52795.8</v>
      </c>
      <c r="AF172" s="6">
        <f>ROUNDDOWN(('SPT-01'!$M180*'TABELA AUXILIAR'!$J$4+SUM('SPT-01'!$O$10:$O180))/2,0)*0.9</f>
        <v>57427.200000000004</v>
      </c>
      <c r="AG172" s="6">
        <f>ROUNDDOWN(('SPT-01'!$M180*'TABELA AUXILIAR'!$J$5+SUM('SPT-01'!$P$10:$P180))/2,0)*0.9</f>
        <v>66643.199999999997</v>
      </c>
    </row>
    <row r="173" spans="10:33" x14ac:dyDescent="0.25">
      <c r="J173" s="1">
        <v>123.6</v>
      </c>
      <c r="K173" s="6">
        <f>ROUNDDOWN(('SPT-01'!$M208*'TABELA AUXILIAR'!$J$3+SUM('SPT-01'!$N$37:$N208))/2,0)*0.9</f>
        <v>61032.6</v>
      </c>
      <c r="L173" s="6">
        <f>ROUNDDOWN(('SPT-01'!$M208*'TABELA AUXILIAR'!$J$4+SUM('SPT-01'!$O$37:$O208))/2,0)*0.9</f>
        <v>66376.800000000003</v>
      </c>
      <c r="M173" s="6">
        <f>ROUNDDOWN(('SPT-01'!$M208*'TABELA AUXILIAR'!$J$5+SUM('SPT-01'!$P$37:$P208))/2,0)*0.9</f>
        <v>77004</v>
      </c>
      <c r="N173" s="2"/>
      <c r="O173" s="8">
        <v>121.8</v>
      </c>
      <c r="P173" s="6">
        <f>ROUNDDOWN(('SPT-01'!$M205*'TABELA AUXILIAR'!$J$3+SUM('SPT-01'!$N$34:$N205))/2,0)*0.9</f>
        <v>60396.3</v>
      </c>
      <c r="Q173" s="6">
        <f>ROUNDDOWN(('SPT-01'!$M205*'TABELA AUXILIAR'!$J$4+SUM('SPT-01'!$O$34:$O205))/2,0)*0.9</f>
        <v>65685.600000000006</v>
      </c>
      <c r="R173" s="6">
        <f>ROUNDDOWN(('SPT-01'!$M205*'TABELA AUXILIAR'!$J$5+SUM('SPT-01'!$P$34:$P205))/2,0)*0.9</f>
        <v>76203</v>
      </c>
      <c r="T173" s="8">
        <v>117</v>
      </c>
      <c r="U173" s="6">
        <f>ROUNDDOWN(('SPT-01'!$M197*'TABELA AUXILIAR'!$J$3+SUM('SPT-01'!$N$26:$N197))/2,0)*0.9</f>
        <v>58363.200000000004</v>
      </c>
      <c r="V173" s="6">
        <f>ROUNDDOWN(('SPT-01'!$M197*'TABELA AUXILIAR'!$J$4+SUM('SPT-01'!$O$26:$O197))/2,0)*0.9</f>
        <v>63476.1</v>
      </c>
      <c r="W173" s="6">
        <f>ROUNDDOWN(('SPT-01'!$M197*'TABELA AUXILIAR'!$J$5+SUM('SPT-01'!$P$26:$P197))/2,0)*0.9</f>
        <v>73643.400000000009</v>
      </c>
      <c r="Y173" s="8">
        <v>112.2</v>
      </c>
      <c r="Z173" s="6">
        <f>ROUNDDOWN(('SPT-01'!$M189*'TABELA AUXILIAR'!$J$3+SUM('SPT-01'!$N$18:$N189))/2,0)*0.9</f>
        <v>55947.6</v>
      </c>
      <c r="AA173" s="6">
        <f>ROUNDDOWN(('SPT-01'!$M189*'TABELA AUXILIAR'!$J$4+SUM('SPT-01'!$O$18:$O189))/2,0)*0.9</f>
        <v>60851.700000000004</v>
      </c>
      <c r="AB173" s="6">
        <f>ROUNDDOWN(('SPT-01'!$M189*'TABELA AUXILIAR'!$J$5+SUM('SPT-01'!$P$18:$P189))/2,0)*0.9</f>
        <v>70605.900000000009</v>
      </c>
      <c r="AD173" s="8">
        <v>107.4</v>
      </c>
      <c r="AE173" s="6">
        <f>ROUNDDOWN(('SPT-01'!$M181*'TABELA AUXILIAR'!$J$3+SUM('SPT-01'!$N$10:$N181))/2,0)*0.9</f>
        <v>53222.400000000001</v>
      </c>
      <c r="AF173" s="6">
        <f>ROUNDDOWN(('SPT-01'!$M181*'TABELA AUXILIAR'!$J$4+SUM('SPT-01'!$O$10:$O181))/2,0)*0.9</f>
        <v>57890.700000000004</v>
      </c>
      <c r="AG173" s="6">
        <f>ROUNDDOWN(('SPT-01'!$M181*'TABELA AUXILIAR'!$J$5+SUM('SPT-01'!$P$10:$P181))/2,0)*0.9</f>
        <v>67179.600000000006</v>
      </c>
    </row>
    <row r="174" spans="10:33" x14ac:dyDescent="0.25">
      <c r="J174" s="1">
        <v>124.2</v>
      </c>
      <c r="K174" s="6">
        <f>ROUNDDOWN(('SPT-01'!$M209*'TABELA AUXILIAR'!$J$3+SUM('SPT-01'!$N$37:$N209))/2,0)*0.9</f>
        <v>61495.200000000004</v>
      </c>
      <c r="L174" s="6">
        <f>ROUNDDOWN(('SPT-01'!$M209*'TABELA AUXILIAR'!$J$4+SUM('SPT-01'!$O$37:$O209))/2,0)*0.9</f>
        <v>66879.900000000009</v>
      </c>
      <c r="M174" s="6">
        <f>ROUNDDOWN(('SPT-01'!$M209*'TABELA AUXILIAR'!$J$5+SUM('SPT-01'!$P$37:$P209))/2,0)*0.9</f>
        <v>77585.400000000009</v>
      </c>
      <c r="N174" s="2"/>
      <c r="O174" s="8">
        <v>122.4</v>
      </c>
      <c r="P174" s="6">
        <f>ROUNDDOWN(('SPT-01'!$M206*'TABELA AUXILIAR'!$J$3+SUM('SPT-01'!$N$34:$N206))/2,0)*0.9</f>
        <v>60855.3</v>
      </c>
      <c r="Q174" s="6">
        <f>ROUNDDOWN(('SPT-01'!$M206*'TABELA AUXILIAR'!$J$4+SUM('SPT-01'!$O$34:$O206))/2,0)*0.9</f>
        <v>66183.3</v>
      </c>
      <c r="R174" s="6">
        <f>ROUNDDOWN(('SPT-01'!$M206*'TABELA AUXILIAR'!$J$5+SUM('SPT-01'!$P$34:$P206))/2,0)*0.9</f>
        <v>76779</v>
      </c>
      <c r="T174" s="8">
        <v>117.6</v>
      </c>
      <c r="U174" s="6">
        <f>ROUNDDOWN(('SPT-01'!$M198*'TABELA AUXILIAR'!$J$3+SUM('SPT-01'!$N$26:$N198))/2,0)*0.9</f>
        <v>58812.3</v>
      </c>
      <c r="V174" s="6">
        <f>ROUNDDOWN(('SPT-01'!$M198*'TABELA AUXILIAR'!$J$4+SUM('SPT-01'!$O$26:$O198))/2,0)*0.9</f>
        <v>63963</v>
      </c>
      <c r="W174" s="6">
        <f>ROUNDDOWN(('SPT-01'!$M198*'TABELA AUXILIAR'!$J$5+SUM('SPT-01'!$P$26:$P198))/2,0)*0.9</f>
        <v>74207.7</v>
      </c>
      <c r="Y174" s="8">
        <v>112.8</v>
      </c>
      <c r="Z174" s="6">
        <f>ROUNDDOWN(('SPT-01'!$M190*'TABELA AUXILIAR'!$J$3+SUM('SPT-01'!$N$18:$N190))/2,0)*0.9</f>
        <v>56386.8</v>
      </c>
      <c r="AA174" s="6">
        <f>ROUNDDOWN(('SPT-01'!$M190*'TABELA AUXILIAR'!$J$4+SUM('SPT-01'!$O$18:$O190))/2,0)*0.9</f>
        <v>61327.8</v>
      </c>
      <c r="AB174" s="6">
        <f>ROUNDDOWN(('SPT-01'!$M190*'TABELA AUXILIAR'!$J$5+SUM('SPT-01'!$P$18:$P190))/2,0)*0.9</f>
        <v>71157.600000000006</v>
      </c>
      <c r="AD174" s="8">
        <v>108</v>
      </c>
      <c r="AE174" s="6">
        <f>ROUNDDOWN(('SPT-01'!$M182*'TABELA AUXILIAR'!$J$3+SUM('SPT-01'!$N$10:$N182))/2,0)*0.9</f>
        <v>53650.8</v>
      </c>
      <c r="AF174" s="6">
        <f>ROUNDDOWN(('SPT-01'!$M182*'TABELA AUXILIAR'!$J$4+SUM('SPT-01'!$O$10:$O182))/2,0)*0.9</f>
        <v>58356</v>
      </c>
      <c r="AG174" s="6">
        <f>ROUNDDOWN(('SPT-01'!$M182*'TABELA AUXILIAR'!$J$5+SUM('SPT-01'!$P$10:$P182))/2,0)*0.9</f>
        <v>67717.8</v>
      </c>
    </row>
    <row r="175" spans="10:33" x14ac:dyDescent="0.25">
      <c r="J175" s="1">
        <v>124.8</v>
      </c>
      <c r="K175" s="6">
        <f>ROUNDDOWN(('SPT-01'!$M210*'TABELA AUXILIAR'!$J$3+SUM('SPT-01'!$N$37:$N210))/2,0)*0.9</f>
        <v>61959.6</v>
      </c>
      <c r="L175" s="6">
        <f>ROUNDDOWN(('SPT-01'!$M210*'TABELA AUXILIAR'!$J$4+SUM('SPT-01'!$O$37:$O210))/2,0)*0.9</f>
        <v>67383</v>
      </c>
      <c r="M175" s="6">
        <f>ROUNDDOWN(('SPT-01'!$M210*'TABELA AUXILIAR'!$J$5+SUM('SPT-01'!$P$37:$P210))/2,0)*0.9</f>
        <v>78167.7</v>
      </c>
      <c r="N175" s="2"/>
      <c r="O175" s="8">
        <v>123</v>
      </c>
      <c r="P175" s="6">
        <f>ROUNDDOWN(('SPT-01'!$M207*'TABELA AUXILIAR'!$J$3+SUM('SPT-01'!$N$34:$N207))/2,0)*0.9</f>
        <v>61315.200000000004</v>
      </c>
      <c r="Q175" s="6">
        <f>ROUNDDOWN(('SPT-01'!$M207*'TABELA AUXILIAR'!$J$4+SUM('SPT-01'!$O$34:$O207))/2,0)*0.9</f>
        <v>66683.7</v>
      </c>
      <c r="R175" s="6">
        <f>ROUNDDOWN(('SPT-01'!$M207*'TABELA AUXILIAR'!$J$5+SUM('SPT-01'!$P$34:$P207))/2,0)*0.9</f>
        <v>77356.800000000003</v>
      </c>
      <c r="T175" s="8">
        <v>118.2</v>
      </c>
      <c r="U175" s="6">
        <f>ROUNDDOWN(('SPT-01'!$M199*'TABELA AUXILIAR'!$J$3+SUM('SPT-01'!$N$26:$N199))/2,0)*0.9</f>
        <v>59262.3</v>
      </c>
      <c r="V175" s="6">
        <f>ROUNDDOWN(('SPT-01'!$M199*'TABELA AUXILIAR'!$J$4+SUM('SPT-01'!$O$26:$O199))/2,0)*0.9</f>
        <v>64452.6</v>
      </c>
      <c r="W175" s="6">
        <f>ROUNDDOWN(('SPT-01'!$M199*'TABELA AUXILIAR'!$J$5+SUM('SPT-01'!$P$26:$P199))/2,0)*0.9</f>
        <v>74772.900000000009</v>
      </c>
      <c r="Y175" s="8">
        <v>113.4</v>
      </c>
      <c r="Z175" s="6">
        <f>ROUNDDOWN(('SPT-01'!$M191*'TABELA AUXILIAR'!$J$3+SUM('SPT-01'!$N$18:$N191))/2,0)*0.9</f>
        <v>56826.9</v>
      </c>
      <c r="AA175" s="6">
        <f>ROUNDDOWN(('SPT-01'!$M191*'TABELA AUXILIAR'!$J$4+SUM('SPT-01'!$O$18:$O191))/2,0)*0.9</f>
        <v>61805.700000000004</v>
      </c>
      <c r="AB175" s="6">
        <f>ROUNDDOWN(('SPT-01'!$M191*'TABELA AUXILIAR'!$J$5+SUM('SPT-01'!$P$18:$P191))/2,0)*0.9</f>
        <v>71710.2</v>
      </c>
      <c r="AD175" s="8">
        <v>108.6</v>
      </c>
      <c r="AE175" s="6">
        <f>ROUNDDOWN(('SPT-01'!$M183*'TABELA AUXILIAR'!$J$3+SUM('SPT-01'!$N$10:$N183))/2,0)*0.9</f>
        <v>54080.1</v>
      </c>
      <c r="AF175" s="6">
        <f>ROUNDDOWN(('SPT-01'!$M183*'TABELA AUXILIAR'!$J$4+SUM('SPT-01'!$O$10:$O183))/2,0)*0.9</f>
        <v>58823.1</v>
      </c>
      <c r="AG175" s="6">
        <f>ROUNDDOWN(('SPT-01'!$M183*'TABELA AUXILIAR'!$J$5+SUM('SPT-01'!$P$10:$P183))/2,0)*0.9</f>
        <v>68257.8</v>
      </c>
    </row>
    <row r="176" spans="10:33" x14ac:dyDescent="0.25">
      <c r="J176" s="1">
        <v>125.4</v>
      </c>
      <c r="K176" s="6">
        <f>ROUNDDOWN(('SPT-01'!$M211*'TABELA AUXILIAR'!$J$3+SUM('SPT-01'!$N$37:$N211))/2,0)*0.9</f>
        <v>62424</v>
      </c>
      <c r="L176" s="6">
        <f>ROUNDDOWN(('SPT-01'!$M211*'TABELA AUXILIAR'!$J$4+SUM('SPT-01'!$O$37:$O211))/2,0)*0.9</f>
        <v>67888.800000000003</v>
      </c>
      <c r="M176" s="6">
        <f>ROUNDDOWN(('SPT-01'!$M211*'TABELA AUXILIAR'!$J$5+SUM('SPT-01'!$P$37:$P211))/2,0)*0.9</f>
        <v>78751.8</v>
      </c>
      <c r="N176" s="2"/>
      <c r="O176" s="8">
        <v>123.6</v>
      </c>
      <c r="P176" s="6">
        <f>ROUNDDOWN(('SPT-01'!$M208*'TABELA AUXILIAR'!$J$3+SUM('SPT-01'!$N$34:$N208))/2,0)*0.9</f>
        <v>61776.9</v>
      </c>
      <c r="Q176" s="6">
        <f>ROUNDDOWN(('SPT-01'!$M208*'TABELA AUXILIAR'!$J$4+SUM('SPT-01'!$O$34:$O208))/2,0)*0.9</f>
        <v>67185</v>
      </c>
      <c r="R176" s="6">
        <f>ROUNDDOWN(('SPT-01'!$M208*'TABELA AUXILIAR'!$J$5+SUM('SPT-01'!$P$34:$P208))/2,0)*0.9</f>
        <v>77936.400000000009</v>
      </c>
      <c r="T176" s="8">
        <v>118.8</v>
      </c>
      <c r="U176" s="6">
        <f>ROUNDDOWN(('SPT-01'!$M200*'TABELA AUXILIAR'!$J$3+SUM('SPT-01'!$N$26:$N200))/2,0)*0.9</f>
        <v>59713.200000000004</v>
      </c>
      <c r="V176" s="6">
        <f>ROUNDDOWN(('SPT-01'!$M200*'TABELA AUXILIAR'!$J$4+SUM('SPT-01'!$O$26:$O200))/2,0)*0.9</f>
        <v>64942.200000000004</v>
      </c>
      <c r="W176" s="6">
        <f>ROUNDDOWN(('SPT-01'!$M200*'TABELA AUXILIAR'!$J$5+SUM('SPT-01'!$P$26:$P200))/2,0)*0.9</f>
        <v>75339.900000000009</v>
      </c>
      <c r="Y176" s="8">
        <v>114</v>
      </c>
      <c r="Z176" s="6">
        <f>ROUNDDOWN(('SPT-01'!$M192*'TABELA AUXILIAR'!$J$3+SUM('SPT-01'!$N$18:$N192))/2,0)*0.9</f>
        <v>57267.9</v>
      </c>
      <c r="AA176" s="6">
        <f>ROUNDDOWN(('SPT-01'!$M192*'TABELA AUXILIAR'!$J$4+SUM('SPT-01'!$O$18:$O192))/2,0)*0.9</f>
        <v>62285.4</v>
      </c>
      <c r="AB176" s="6">
        <f>ROUNDDOWN(('SPT-01'!$M192*'TABELA AUXILIAR'!$J$5+SUM('SPT-01'!$P$18:$P192))/2,0)*0.9</f>
        <v>72264.600000000006</v>
      </c>
      <c r="AD176" s="8">
        <v>109.2</v>
      </c>
      <c r="AE176" s="6">
        <f>ROUNDDOWN(('SPT-01'!$M184*'TABELA AUXILIAR'!$J$3+SUM('SPT-01'!$N$10:$N184))/2,0)*0.9</f>
        <v>54511.200000000004</v>
      </c>
      <c r="AF176" s="6">
        <f>ROUNDDOWN(('SPT-01'!$M184*'TABELA AUXILIAR'!$J$4+SUM('SPT-01'!$O$10:$O184))/2,0)*0.9</f>
        <v>59291.1</v>
      </c>
      <c r="AG176" s="6">
        <f>ROUNDDOWN(('SPT-01'!$M184*'TABELA AUXILIAR'!$J$5+SUM('SPT-01'!$P$10:$P184))/2,0)*0.9</f>
        <v>68798.7</v>
      </c>
    </row>
    <row r="177" spans="10:33" x14ac:dyDescent="0.25">
      <c r="J177" s="1">
        <v>126</v>
      </c>
      <c r="K177" s="6">
        <f>ROUNDDOWN(('SPT-01'!$M212*'TABELA AUXILIAR'!$J$3+SUM('SPT-01'!$N$37:$N212))/2,0)*0.9</f>
        <v>62891.1</v>
      </c>
      <c r="L177" s="6">
        <f>ROUNDDOWN(('SPT-01'!$M212*'TABELA AUXILIAR'!$J$4+SUM('SPT-01'!$O$37:$O212))/2,0)*0.9</f>
        <v>68394.600000000006</v>
      </c>
      <c r="M177" s="6">
        <f>ROUNDDOWN(('SPT-01'!$M212*'TABELA AUXILIAR'!$J$5+SUM('SPT-01'!$P$37:$P212))/2,0)*0.9</f>
        <v>79337.7</v>
      </c>
      <c r="N177" s="2"/>
      <c r="O177" s="8">
        <v>124.2</v>
      </c>
      <c r="P177" s="6">
        <f>ROUNDDOWN(('SPT-01'!$M209*'TABELA AUXILIAR'!$J$3+SUM('SPT-01'!$N$34:$N209))/2,0)*0.9</f>
        <v>62239.5</v>
      </c>
      <c r="Q177" s="6">
        <f>ROUNDDOWN(('SPT-01'!$M209*'TABELA AUXILIAR'!$J$4+SUM('SPT-01'!$O$34:$O209))/2,0)*0.9</f>
        <v>67687.199999999997</v>
      </c>
      <c r="R177" s="6">
        <f>ROUNDDOWN(('SPT-01'!$M209*'TABELA AUXILIAR'!$J$5+SUM('SPT-01'!$P$34:$P209))/2,0)*0.9</f>
        <v>78517.8</v>
      </c>
      <c r="T177" s="8">
        <v>119.4</v>
      </c>
      <c r="U177" s="6">
        <f>ROUNDDOWN(('SPT-01'!$M201*'TABELA AUXILIAR'!$J$3+SUM('SPT-01'!$N$26:$N201))/2,0)*0.9</f>
        <v>60165.9</v>
      </c>
      <c r="V177" s="6">
        <f>ROUNDDOWN(('SPT-01'!$M201*'TABELA AUXILIAR'!$J$4+SUM('SPT-01'!$O$26:$O201))/2,0)*0.9</f>
        <v>65434.5</v>
      </c>
      <c r="W177" s="6">
        <f>ROUNDDOWN(('SPT-01'!$M201*'TABELA AUXILIAR'!$J$5+SUM('SPT-01'!$P$26:$P201))/2,0)*0.9</f>
        <v>75908.7</v>
      </c>
      <c r="Y177" s="8">
        <v>114.6</v>
      </c>
      <c r="Z177" s="6">
        <f>ROUNDDOWN(('SPT-01'!$M193*'TABELA AUXILIAR'!$J$3+SUM('SPT-01'!$N$18:$N193))/2,0)*0.9</f>
        <v>57710.700000000004</v>
      </c>
      <c r="AA177" s="6">
        <f>ROUNDDOWN(('SPT-01'!$M193*'TABELA AUXILIAR'!$J$4+SUM('SPT-01'!$O$18:$O193))/2,0)*0.9</f>
        <v>62766</v>
      </c>
      <c r="AB177" s="6">
        <f>ROUNDDOWN(('SPT-01'!$M193*'TABELA AUXILIAR'!$J$5+SUM('SPT-01'!$P$18:$P193))/2,0)*0.9</f>
        <v>72819.900000000009</v>
      </c>
      <c r="AD177" s="8">
        <v>109.8</v>
      </c>
      <c r="AE177" s="6">
        <f>ROUNDDOWN(('SPT-01'!$M185*'TABELA AUXILIAR'!$J$3+SUM('SPT-01'!$N$10:$N185))/2,0)*0.9</f>
        <v>54944.1</v>
      </c>
      <c r="AF177" s="6">
        <f>ROUNDDOWN(('SPT-01'!$M185*'TABELA AUXILIAR'!$J$4+SUM('SPT-01'!$O$10:$O185))/2,0)*0.9</f>
        <v>59760.9</v>
      </c>
      <c r="AG177" s="6">
        <f>ROUNDDOWN(('SPT-01'!$M185*'TABELA AUXILIAR'!$J$5+SUM('SPT-01'!$P$10:$P185))/2,0)*0.9</f>
        <v>69342.3</v>
      </c>
    </row>
    <row r="178" spans="10:33" x14ac:dyDescent="0.25">
      <c r="J178" s="1">
        <v>126.6</v>
      </c>
      <c r="K178" s="6">
        <f>ROUNDDOWN(('SPT-01'!$M213*'TABELA AUXILIAR'!$J$3+SUM('SPT-01'!$N$37:$N213))/2,0)*0.9</f>
        <v>63358.200000000004</v>
      </c>
      <c r="L178" s="6">
        <f>ROUNDDOWN(('SPT-01'!$M213*'TABELA AUXILIAR'!$J$4+SUM('SPT-01'!$O$37:$O213))/2,0)*0.9</f>
        <v>68903.100000000006</v>
      </c>
      <c r="M178" s="6">
        <f>ROUNDDOWN(('SPT-01'!$M213*'TABELA AUXILIAR'!$J$5+SUM('SPT-01'!$P$37:$P213))/2,0)*0.9</f>
        <v>79925.400000000009</v>
      </c>
      <c r="N178" s="2"/>
      <c r="O178" s="8">
        <v>124.8</v>
      </c>
      <c r="P178" s="6">
        <f>ROUNDDOWN(('SPT-01'!$M210*'TABELA AUXILIAR'!$J$3+SUM('SPT-01'!$N$34:$N210))/2,0)*0.9</f>
        <v>62703.9</v>
      </c>
      <c r="Q178" s="6">
        <f>ROUNDDOWN(('SPT-01'!$M210*'TABELA AUXILIAR'!$J$4+SUM('SPT-01'!$O$34:$O210))/2,0)*0.9</f>
        <v>68191.199999999997</v>
      </c>
      <c r="R178" s="6">
        <f>ROUNDDOWN(('SPT-01'!$M210*'TABELA AUXILIAR'!$J$5+SUM('SPT-01'!$P$34:$P210))/2,0)*0.9</f>
        <v>79100.100000000006</v>
      </c>
      <c r="T178" s="8">
        <v>120</v>
      </c>
      <c r="U178" s="6">
        <f>ROUNDDOWN(('SPT-01'!$M202*'TABELA AUXILIAR'!$J$3+SUM('SPT-01'!$N$26:$N202))/2,0)*0.9</f>
        <v>60620.4</v>
      </c>
      <c r="V178" s="6">
        <f>ROUNDDOWN(('SPT-01'!$M202*'TABELA AUXILIAR'!$J$4+SUM('SPT-01'!$O$26:$O202))/2,0)*0.9</f>
        <v>65926.8</v>
      </c>
      <c r="W178" s="6">
        <f>ROUNDDOWN(('SPT-01'!$M202*'TABELA AUXILIAR'!$J$5+SUM('SPT-01'!$P$26:$P202))/2,0)*0.9</f>
        <v>76479.3</v>
      </c>
      <c r="Y178" s="8">
        <v>115.2</v>
      </c>
      <c r="Z178" s="6">
        <f>ROUNDDOWN(('SPT-01'!$M194*'TABELA AUXILIAR'!$J$3+SUM('SPT-01'!$N$18:$N194))/2,0)*0.9</f>
        <v>58154.400000000001</v>
      </c>
      <c r="AA178" s="6">
        <f>ROUNDDOWN(('SPT-01'!$M194*'TABELA AUXILIAR'!$J$4+SUM('SPT-01'!$O$18:$O194))/2,0)*0.9</f>
        <v>63248.4</v>
      </c>
      <c r="AB178" s="6">
        <f>ROUNDDOWN(('SPT-01'!$M194*'TABELA AUXILIAR'!$J$5+SUM('SPT-01'!$P$18:$P194))/2,0)*0.9</f>
        <v>73377.900000000009</v>
      </c>
      <c r="AD178" s="8">
        <v>110.4</v>
      </c>
      <c r="AE178" s="6">
        <f>ROUNDDOWN(('SPT-01'!$M186*'TABELA AUXILIAR'!$J$3+SUM('SPT-01'!$N$10:$N186))/2,0)*0.9</f>
        <v>55377</v>
      </c>
      <c r="AF178" s="6">
        <f>ROUNDDOWN(('SPT-01'!$M186*'TABELA AUXILIAR'!$J$4+SUM('SPT-01'!$O$10:$O186))/2,0)*0.9</f>
        <v>60231.6</v>
      </c>
      <c r="AG178" s="6">
        <f>ROUNDDOWN(('SPT-01'!$M186*'TABELA AUXILIAR'!$J$5+SUM('SPT-01'!$P$10:$P186))/2,0)*0.9</f>
        <v>69886.8</v>
      </c>
    </row>
    <row r="179" spans="10:33" x14ac:dyDescent="0.25">
      <c r="J179" s="1">
        <v>127.2</v>
      </c>
      <c r="K179" s="6">
        <f>ROUNDDOWN(('SPT-01'!$M214*'TABELA AUXILIAR'!$J$3+SUM('SPT-01'!$N$37:$N214))/2,0)*0.9</f>
        <v>63827.1</v>
      </c>
      <c r="L179" s="6">
        <f>ROUNDDOWN(('SPT-01'!$M214*'TABELA AUXILIAR'!$J$4+SUM('SPT-01'!$O$37:$O214))/2,0)*0.9</f>
        <v>69411.600000000006</v>
      </c>
      <c r="M179" s="6">
        <f>ROUNDDOWN(('SPT-01'!$M214*'TABELA AUXILIAR'!$J$5+SUM('SPT-01'!$P$37:$P214))/2,0)*0.9</f>
        <v>80514</v>
      </c>
      <c r="N179" s="2"/>
      <c r="O179" s="8">
        <v>125.4</v>
      </c>
      <c r="P179" s="6">
        <f>ROUNDDOWN(('SPT-01'!$M211*'TABELA AUXILIAR'!$J$3+SUM('SPT-01'!$N$34:$N211))/2,0)*0.9</f>
        <v>63168.3</v>
      </c>
      <c r="Q179" s="6">
        <f>ROUNDDOWN(('SPT-01'!$M211*'TABELA AUXILIAR'!$J$4+SUM('SPT-01'!$O$34:$O211))/2,0)*0.9</f>
        <v>68696.100000000006</v>
      </c>
      <c r="R179" s="6">
        <f>ROUNDDOWN(('SPT-01'!$M211*'TABELA AUXILIAR'!$J$5+SUM('SPT-01'!$P$34:$P211))/2,0)*0.9</f>
        <v>79684.2</v>
      </c>
      <c r="T179" s="8">
        <v>120.6</v>
      </c>
      <c r="U179" s="6">
        <f>ROUNDDOWN(('SPT-01'!$M203*'TABELA AUXILIAR'!$J$3+SUM('SPT-01'!$N$26:$N203))/2,0)*0.9</f>
        <v>61075.8</v>
      </c>
      <c r="V179" s="6">
        <f>ROUNDDOWN(('SPT-01'!$M203*'TABELA AUXILIAR'!$J$4+SUM('SPT-01'!$O$26:$O203))/2,0)*0.9</f>
        <v>66421.8</v>
      </c>
      <c r="W179" s="6">
        <f>ROUNDDOWN(('SPT-01'!$M203*'TABELA AUXILIAR'!$J$5+SUM('SPT-01'!$P$26:$P203))/2,0)*0.9</f>
        <v>77050.8</v>
      </c>
      <c r="Y179" s="8">
        <v>115.8</v>
      </c>
      <c r="Z179" s="6">
        <f>ROUNDDOWN(('SPT-01'!$M195*'TABELA AUXILIAR'!$J$3+SUM('SPT-01'!$N$18:$N195))/2,0)*0.9</f>
        <v>58599.9</v>
      </c>
      <c r="AA179" s="6">
        <f>ROUNDDOWN(('SPT-01'!$M195*'TABELA AUXILIAR'!$J$4+SUM('SPT-01'!$O$18:$O195))/2,0)*0.9</f>
        <v>63731.700000000004</v>
      </c>
      <c r="AB179" s="6">
        <f>ROUNDDOWN(('SPT-01'!$M195*'TABELA AUXILIAR'!$J$5+SUM('SPT-01'!$P$18:$P195))/2,0)*0.9</f>
        <v>73936.800000000003</v>
      </c>
      <c r="AD179" s="8">
        <v>111</v>
      </c>
      <c r="AE179" s="6">
        <f>ROUNDDOWN(('SPT-01'!$M187*'TABELA AUXILIAR'!$J$3+SUM('SPT-01'!$N$10:$N187))/2,0)*0.9</f>
        <v>55812.6</v>
      </c>
      <c r="AF179" s="6">
        <f>ROUNDDOWN(('SPT-01'!$M187*'TABELA AUXILIAR'!$J$4+SUM('SPT-01'!$O$10:$O187))/2,0)*0.9</f>
        <v>60703.200000000004</v>
      </c>
      <c r="AG179" s="6">
        <f>ROUNDDOWN(('SPT-01'!$M187*'TABELA AUXILIAR'!$J$5+SUM('SPT-01'!$P$10:$P187))/2,0)*0.9</f>
        <v>70433.100000000006</v>
      </c>
    </row>
    <row r="180" spans="10:33" x14ac:dyDescent="0.25">
      <c r="J180" s="1">
        <v>127.8</v>
      </c>
      <c r="K180" s="6">
        <f>ROUNDDOWN(('SPT-01'!$M215*'TABELA AUXILIAR'!$J$3+SUM('SPT-01'!$N$37:$N215))/2,0)*0.9</f>
        <v>64297.8</v>
      </c>
      <c r="L180" s="6">
        <f>ROUNDDOWN(('SPT-01'!$M215*'TABELA AUXILIAR'!$J$4+SUM('SPT-01'!$O$37:$O215))/2,0)*0.9</f>
        <v>69922.8</v>
      </c>
      <c r="M180" s="6">
        <f>ROUNDDOWN(('SPT-01'!$M215*'TABELA AUXILIAR'!$J$5+SUM('SPT-01'!$P$37:$P215))/2,0)*0.9</f>
        <v>81104.400000000009</v>
      </c>
      <c r="N180" s="2"/>
      <c r="O180" s="8">
        <v>126</v>
      </c>
      <c r="P180" s="6">
        <f>ROUNDDOWN(('SPT-01'!$M212*'TABELA AUXILIAR'!$J$3+SUM('SPT-01'!$N$34:$N212))/2,0)*0.9</f>
        <v>63635.4</v>
      </c>
      <c r="Q180" s="6">
        <f>ROUNDDOWN(('SPT-01'!$M212*'TABELA AUXILIAR'!$J$4+SUM('SPT-01'!$O$34:$O212))/2,0)*0.9</f>
        <v>69202.8</v>
      </c>
      <c r="R180" s="6">
        <f>ROUNDDOWN(('SPT-01'!$M212*'TABELA AUXILIAR'!$J$5+SUM('SPT-01'!$P$34:$P212))/2,0)*0.9</f>
        <v>80270.100000000006</v>
      </c>
      <c r="T180" s="8">
        <v>121.2</v>
      </c>
      <c r="U180" s="6">
        <f>ROUNDDOWN(('SPT-01'!$M204*'TABELA AUXILIAR'!$J$3+SUM('SPT-01'!$N$26:$N204))/2,0)*0.9</f>
        <v>61532.1</v>
      </c>
      <c r="V180" s="6">
        <f>ROUNDDOWN(('SPT-01'!$M204*'TABELA AUXILIAR'!$J$4+SUM('SPT-01'!$O$26:$O204))/2,0)*0.9</f>
        <v>66916.800000000003</v>
      </c>
      <c r="W180" s="6">
        <f>ROUNDDOWN(('SPT-01'!$M204*'TABELA AUXILIAR'!$J$5+SUM('SPT-01'!$P$26:$P204))/2,0)*0.9</f>
        <v>77624.100000000006</v>
      </c>
      <c r="Y180" s="8">
        <v>116.4</v>
      </c>
      <c r="Z180" s="6">
        <f>ROUNDDOWN(('SPT-01'!$M196*'TABELA AUXILIAR'!$J$3+SUM('SPT-01'!$N$18:$N196))/2,0)*0.9</f>
        <v>59045.4</v>
      </c>
      <c r="AA180" s="6">
        <f>ROUNDDOWN(('SPT-01'!$M196*'TABELA AUXILIAR'!$J$4+SUM('SPT-01'!$O$18:$O196))/2,0)*0.9</f>
        <v>64215.9</v>
      </c>
      <c r="AB180" s="6">
        <f>ROUNDDOWN(('SPT-01'!$M196*'TABELA AUXILIAR'!$J$5+SUM('SPT-01'!$P$18:$P196))/2,0)*0.9</f>
        <v>74497.5</v>
      </c>
      <c r="AD180" s="8">
        <v>111.6</v>
      </c>
      <c r="AE180" s="6">
        <f>ROUNDDOWN(('SPT-01'!$M188*'TABELA AUXILIAR'!$J$3+SUM('SPT-01'!$N$10:$N188))/2,0)*0.9</f>
        <v>56248.200000000004</v>
      </c>
      <c r="AF180" s="6">
        <f>ROUNDDOWN(('SPT-01'!$M188*'TABELA AUXILIAR'!$J$4+SUM('SPT-01'!$O$10:$O188))/2,0)*0.9</f>
        <v>61177.5</v>
      </c>
      <c r="AG180" s="6">
        <f>ROUNDDOWN(('SPT-01'!$M188*'TABELA AUXILIAR'!$J$5+SUM('SPT-01'!$P$10:$P188))/2,0)*0.9</f>
        <v>70981.2</v>
      </c>
    </row>
    <row r="181" spans="10:33" x14ac:dyDescent="0.25">
      <c r="J181" s="1">
        <v>128.4</v>
      </c>
      <c r="K181" s="6">
        <f>ROUNDDOWN(('SPT-01'!$M216*'TABELA AUXILIAR'!$J$3+SUM('SPT-01'!$N$37:$N216))/2,0)*0.9</f>
        <v>64768.5</v>
      </c>
      <c r="L181" s="6">
        <f>ROUNDDOWN(('SPT-01'!$M216*'TABELA AUXILIAR'!$J$4+SUM('SPT-01'!$O$37:$O216))/2,0)*0.9</f>
        <v>70434</v>
      </c>
      <c r="M181" s="6">
        <f>ROUNDDOWN(('SPT-01'!$M216*'TABELA AUXILIAR'!$J$5+SUM('SPT-01'!$P$37:$P216))/2,0)*0.9</f>
        <v>81696.600000000006</v>
      </c>
      <c r="N181" s="2"/>
      <c r="O181" s="8">
        <v>126.6</v>
      </c>
      <c r="P181" s="6">
        <f>ROUNDDOWN(('SPT-01'!$M213*'TABELA AUXILIAR'!$J$3+SUM('SPT-01'!$N$34:$N213))/2,0)*0.9</f>
        <v>64102.5</v>
      </c>
      <c r="Q181" s="6">
        <f>ROUNDDOWN(('SPT-01'!$M213*'TABELA AUXILIAR'!$J$4+SUM('SPT-01'!$O$34:$O213))/2,0)*0.9</f>
        <v>69710.400000000009</v>
      </c>
      <c r="R181" s="6">
        <f>ROUNDDOWN(('SPT-01'!$M213*'TABELA AUXILIAR'!$J$5+SUM('SPT-01'!$P$34:$P213))/2,0)*0.9</f>
        <v>80857.8</v>
      </c>
      <c r="T181" s="8">
        <v>121.8</v>
      </c>
      <c r="U181" s="6">
        <f>ROUNDDOWN(('SPT-01'!$M205*'TABELA AUXILIAR'!$J$3+SUM('SPT-01'!$N$26:$N205))/2,0)*0.9</f>
        <v>61989.3</v>
      </c>
      <c r="V181" s="6">
        <f>ROUNDDOWN(('SPT-01'!$M205*'TABELA AUXILIAR'!$J$4+SUM('SPT-01'!$O$26:$O205))/2,0)*0.9</f>
        <v>67414.5</v>
      </c>
      <c r="W181" s="6">
        <f>ROUNDDOWN(('SPT-01'!$M205*'TABELA AUXILIAR'!$J$5+SUM('SPT-01'!$P$26:$P205))/2,0)*0.9</f>
        <v>78198.3</v>
      </c>
      <c r="Y181" s="8">
        <v>117</v>
      </c>
      <c r="Z181" s="6">
        <f>ROUNDDOWN(('SPT-01'!$M197*'TABELA AUXILIAR'!$J$3+SUM('SPT-01'!$N$18:$N197))/2,0)*0.9</f>
        <v>59493.599999999999</v>
      </c>
      <c r="AA181" s="6">
        <f>ROUNDDOWN(('SPT-01'!$M197*'TABELA AUXILIAR'!$J$4+SUM('SPT-01'!$O$18:$O197))/2,0)*0.9</f>
        <v>64702.8</v>
      </c>
      <c r="AB181" s="6">
        <f>ROUNDDOWN(('SPT-01'!$M197*'TABELA AUXILIAR'!$J$5+SUM('SPT-01'!$P$18:$P197))/2,0)*0.9</f>
        <v>75060</v>
      </c>
      <c r="AD181" s="8">
        <v>112.2</v>
      </c>
      <c r="AE181" s="6">
        <f>ROUNDDOWN(('SPT-01'!$M189*'TABELA AUXILIAR'!$J$3+SUM('SPT-01'!$N$10:$N189))/2,0)*0.9</f>
        <v>56685.599999999999</v>
      </c>
      <c r="AF181" s="6">
        <f>ROUNDDOWN(('SPT-01'!$M189*'TABELA AUXILIAR'!$J$4+SUM('SPT-01'!$O$10:$O189))/2,0)*0.9</f>
        <v>61652.700000000004</v>
      </c>
      <c r="AG181" s="6">
        <f>ROUNDDOWN(('SPT-01'!$M189*'TABELA AUXILIAR'!$J$5+SUM('SPT-01'!$P$10:$P189))/2,0)*0.9</f>
        <v>71530.2</v>
      </c>
    </row>
    <row r="182" spans="10:33" x14ac:dyDescent="0.25">
      <c r="J182" s="1">
        <v>129</v>
      </c>
      <c r="K182" s="6">
        <f>ROUNDDOWN(('SPT-01'!$M217*'TABELA AUXILIAR'!$J$3+SUM('SPT-01'!$N$37:$N217))/2,0)*0.9</f>
        <v>65241</v>
      </c>
      <c r="L182" s="6">
        <f>ROUNDDOWN(('SPT-01'!$M217*'TABELA AUXILIAR'!$J$4+SUM('SPT-01'!$O$37:$O217))/2,0)*0.9</f>
        <v>70947.900000000009</v>
      </c>
      <c r="M182" s="6">
        <f>ROUNDDOWN(('SPT-01'!$M217*'TABELA AUXILIAR'!$J$5+SUM('SPT-01'!$P$37:$P217))/2,0)*0.9</f>
        <v>82289.7</v>
      </c>
      <c r="N182" s="2"/>
      <c r="O182" s="8">
        <v>127.2</v>
      </c>
      <c r="P182" s="6">
        <f>ROUNDDOWN(('SPT-01'!$M214*'TABELA AUXILIAR'!$J$3+SUM('SPT-01'!$N$34:$N214))/2,0)*0.9</f>
        <v>64571.4</v>
      </c>
      <c r="Q182" s="6">
        <f>ROUNDDOWN(('SPT-01'!$M214*'TABELA AUXILIAR'!$J$4+SUM('SPT-01'!$O$34:$O214))/2,0)*0.9</f>
        <v>70219.8</v>
      </c>
      <c r="R182" s="6">
        <f>ROUNDDOWN(('SPT-01'!$M214*'TABELA AUXILIAR'!$J$5+SUM('SPT-01'!$P$34:$P214))/2,0)*0.9</f>
        <v>81446.400000000009</v>
      </c>
      <c r="T182" s="8">
        <v>122.4</v>
      </c>
      <c r="U182" s="6">
        <f>ROUNDDOWN(('SPT-01'!$M206*'TABELA AUXILIAR'!$J$3+SUM('SPT-01'!$N$26:$N206))/2,0)*0.9</f>
        <v>62448.3</v>
      </c>
      <c r="V182" s="6">
        <f>ROUNDDOWN(('SPT-01'!$M206*'TABELA AUXILIAR'!$J$4+SUM('SPT-01'!$O$26:$O206))/2,0)*0.9</f>
        <v>67913.100000000006</v>
      </c>
      <c r="W182" s="6">
        <f>ROUNDDOWN(('SPT-01'!$M206*'TABELA AUXILIAR'!$J$5+SUM('SPT-01'!$P$26:$P206))/2,0)*0.9</f>
        <v>78775.199999999997</v>
      </c>
      <c r="Y182" s="8">
        <v>117.6</v>
      </c>
      <c r="Z182" s="6">
        <f>ROUNDDOWN(('SPT-01'!$M198*'TABELA AUXILIAR'!$J$3+SUM('SPT-01'!$N$18:$N198))/2,0)*0.9</f>
        <v>59942.700000000004</v>
      </c>
      <c r="AA182" s="6">
        <f>ROUNDDOWN(('SPT-01'!$M198*'TABELA AUXILIAR'!$J$4+SUM('SPT-01'!$O$18:$O198))/2,0)*0.9</f>
        <v>65189.700000000004</v>
      </c>
      <c r="AB182" s="6">
        <f>ROUNDDOWN(('SPT-01'!$M198*'TABELA AUXILIAR'!$J$5+SUM('SPT-01'!$P$18:$P198))/2,0)*0.9</f>
        <v>75623.400000000009</v>
      </c>
      <c r="AD182" s="8">
        <v>112.8</v>
      </c>
      <c r="AE182" s="6">
        <f>ROUNDDOWN(('SPT-01'!$M190*'TABELA AUXILIAR'!$J$3+SUM('SPT-01'!$N$10:$N190))/2,0)*0.9</f>
        <v>57124.800000000003</v>
      </c>
      <c r="AF182" s="6">
        <f>ROUNDDOWN(('SPT-01'!$M190*'TABELA AUXILIAR'!$J$4+SUM('SPT-01'!$O$10:$O190))/2,0)*0.9</f>
        <v>62128.800000000003</v>
      </c>
      <c r="AG182" s="6">
        <f>ROUNDDOWN(('SPT-01'!$M190*'TABELA AUXILIAR'!$J$5+SUM('SPT-01'!$P$10:$P190))/2,0)*0.9</f>
        <v>72081.900000000009</v>
      </c>
    </row>
    <row r="183" spans="10:33" x14ac:dyDescent="0.25">
      <c r="O183" s="8">
        <v>127.8</v>
      </c>
      <c r="P183" s="6">
        <f>ROUNDDOWN(('SPT-01'!$M215*'TABELA AUXILIAR'!$J$3+SUM('SPT-01'!$N$34:$N215))/2,0)*0.9</f>
        <v>65041.200000000004</v>
      </c>
      <c r="Q183" s="6">
        <f>ROUNDDOWN(('SPT-01'!$M215*'TABELA AUXILIAR'!$J$4+SUM('SPT-01'!$O$34:$O215))/2,0)*0.9</f>
        <v>70730.100000000006</v>
      </c>
      <c r="R183" s="6">
        <f>ROUNDDOWN(('SPT-01'!$M215*'TABELA AUXILIAR'!$J$5+SUM('SPT-01'!$P$34:$P215))/2,0)*0.9</f>
        <v>82036.800000000003</v>
      </c>
      <c r="T183" s="8">
        <v>123</v>
      </c>
      <c r="U183" s="6">
        <f>ROUNDDOWN(('SPT-01'!$M207*'TABELA AUXILIAR'!$J$3+SUM('SPT-01'!$N$26:$N207))/2,0)*0.9</f>
        <v>62909.1</v>
      </c>
      <c r="V183" s="6">
        <f>ROUNDDOWN(('SPT-01'!$M207*'TABELA AUXILIAR'!$J$4+SUM('SPT-01'!$O$26:$O207))/2,0)*0.9</f>
        <v>68412.600000000006</v>
      </c>
      <c r="W183" s="6">
        <f>ROUNDDOWN(('SPT-01'!$M207*'TABELA AUXILIAR'!$J$5+SUM('SPT-01'!$P$26:$P207))/2,0)*0.9</f>
        <v>79353</v>
      </c>
      <c r="Y183" s="8">
        <v>118.2</v>
      </c>
      <c r="Z183" s="6">
        <f>ROUNDDOWN(('SPT-01'!$M199*'TABELA AUXILIAR'!$J$3+SUM('SPT-01'!$N$18:$N199))/2,0)*0.9</f>
        <v>60392.700000000004</v>
      </c>
      <c r="AA183" s="6">
        <f>ROUNDDOWN(('SPT-01'!$M199*'TABELA AUXILIAR'!$J$4+SUM('SPT-01'!$O$18:$O199))/2,0)*0.9</f>
        <v>65678.400000000009</v>
      </c>
      <c r="AB183" s="6">
        <f>ROUNDDOWN(('SPT-01'!$M199*'TABELA AUXILIAR'!$J$5+SUM('SPT-01'!$P$18:$P199))/2,0)*0.9</f>
        <v>76189.5</v>
      </c>
      <c r="AD183" s="8">
        <v>113.4</v>
      </c>
      <c r="AE183" s="6">
        <f>ROUNDDOWN(('SPT-01'!$M191*'TABELA AUXILIAR'!$J$3+SUM('SPT-01'!$N$10:$N191))/2,0)*0.9</f>
        <v>57564.9</v>
      </c>
      <c r="AF183" s="6">
        <f>ROUNDDOWN(('SPT-01'!$M191*'TABELA AUXILIAR'!$J$4+SUM('SPT-01'!$O$10:$O191))/2,0)*0.9</f>
        <v>62606.700000000004</v>
      </c>
      <c r="AG183" s="6">
        <f>ROUNDDOWN(('SPT-01'!$M191*'TABELA AUXILIAR'!$J$5+SUM('SPT-01'!$P$10:$P191))/2,0)*0.9</f>
        <v>72634.5</v>
      </c>
    </row>
    <row r="184" spans="10:33" x14ac:dyDescent="0.25">
      <c r="O184" s="8">
        <v>128.4</v>
      </c>
      <c r="P184" s="6">
        <f>ROUNDDOWN(('SPT-01'!$M216*'TABELA AUXILIAR'!$J$3+SUM('SPT-01'!$N$34:$N216))/2,0)*0.9</f>
        <v>65512.800000000003</v>
      </c>
      <c r="Q184" s="6">
        <f>ROUNDDOWN(('SPT-01'!$M216*'TABELA AUXILIAR'!$J$4+SUM('SPT-01'!$O$34:$O216))/2,0)*0.9</f>
        <v>71242.2</v>
      </c>
      <c r="R184" s="6">
        <f>ROUNDDOWN(('SPT-01'!$M216*'TABELA AUXILIAR'!$J$5+SUM('SPT-01'!$P$34:$P216))/2,0)*0.9</f>
        <v>82628.100000000006</v>
      </c>
      <c r="T184" s="8">
        <v>123.6</v>
      </c>
      <c r="U184" s="6">
        <f>ROUNDDOWN(('SPT-01'!$M208*'TABELA AUXILIAR'!$J$3+SUM('SPT-01'!$N$26:$N208))/2,0)*0.9</f>
        <v>63369.9</v>
      </c>
      <c r="V184" s="6">
        <f>ROUNDDOWN(('SPT-01'!$M208*'TABELA AUXILIAR'!$J$4+SUM('SPT-01'!$O$26:$O208))/2,0)*0.9</f>
        <v>68913.900000000009</v>
      </c>
      <c r="W184" s="6">
        <f>ROUNDDOWN(('SPT-01'!$M208*'TABELA AUXILIAR'!$J$5+SUM('SPT-01'!$P$26:$P208))/2,0)*0.9</f>
        <v>79932.600000000006</v>
      </c>
      <c r="Y184" s="8">
        <v>118.8</v>
      </c>
      <c r="Z184" s="6">
        <f>ROUNDDOWN(('SPT-01'!$M200*'TABELA AUXILIAR'!$J$3+SUM('SPT-01'!$N$18:$N200))/2,0)*0.9</f>
        <v>60843.6</v>
      </c>
      <c r="AA184" s="6">
        <f>ROUNDDOWN(('SPT-01'!$M200*'TABELA AUXILIAR'!$J$4+SUM('SPT-01'!$O$18:$O200))/2,0)*0.9</f>
        <v>66168.900000000009</v>
      </c>
      <c r="AB184" s="6">
        <f>ROUNDDOWN(('SPT-01'!$M200*'TABELA AUXILIAR'!$J$5+SUM('SPT-01'!$P$18:$P200))/2,0)*0.9</f>
        <v>76756.5</v>
      </c>
      <c r="AD184" s="8">
        <v>114</v>
      </c>
      <c r="AE184" s="6">
        <f>ROUNDDOWN(('SPT-01'!$M192*'TABELA AUXILIAR'!$J$3+SUM('SPT-01'!$N$10:$N192))/2,0)*0.9</f>
        <v>58005.9</v>
      </c>
      <c r="AF184" s="6">
        <f>ROUNDDOWN(('SPT-01'!$M192*'TABELA AUXILIAR'!$J$4+SUM('SPT-01'!$O$10:$O192))/2,0)*0.9</f>
        <v>63086.400000000001</v>
      </c>
      <c r="AG184" s="6">
        <f>ROUNDDOWN(('SPT-01'!$M192*'TABELA AUXILIAR'!$J$5+SUM('SPT-01'!$P$10:$P192))/2,0)*0.9</f>
        <v>73188.900000000009</v>
      </c>
    </row>
    <row r="185" spans="10:33" x14ac:dyDescent="0.25">
      <c r="O185" s="8">
        <v>129</v>
      </c>
      <c r="P185" s="6">
        <f>ROUNDDOWN(('SPT-01'!$M217*'TABELA AUXILIAR'!$J$3+SUM('SPT-01'!$N$34:$N217))/2,0)*0.9</f>
        <v>65985.3</v>
      </c>
      <c r="Q185" s="6">
        <f>ROUNDDOWN(('SPT-01'!$M217*'TABELA AUXILIAR'!$J$4+SUM('SPT-01'!$O$34:$O217))/2,0)*0.9</f>
        <v>71755.199999999997</v>
      </c>
      <c r="R185" s="6">
        <f>ROUNDDOWN(('SPT-01'!$M217*'TABELA AUXILIAR'!$J$5+SUM('SPT-01'!$P$34:$P217))/2,0)*0.9</f>
        <v>83222.100000000006</v>
      </c>
      <c r="T185" s="8">
        <v>124.2</v>
      </c>
      <c r="U185" s="6">
        <f>ROUNDDOWN(('SPT-01'!$M209*'TABELA AUXILIAR'!$J$3+SUM('SPT-01'!$N$26:$N209))/2,0)*0.9</f>
        <v>63833.4</v>
      </c>
      <c r="V185" s="6">
        <f>ROUNDDOWN(('SPT-01'!$M209*'TABELA AUXILIAR'!$J$4+SUM('SPT-01'!$O$26:$O209))/2,0)*0.9</f>
        <v>69416.100000000006</v>
      </c>
      <c r="W185" s="6">
        <f>ROUNDDOWN(('SPT-01'!$M209*'TABELA AUXILIAR'!$J$5+SUM('SPT-01'!$P$26:$P209))/2,0)*0.9</f>
        <v>80514</v>
      </c>
      <c r="Y185" s="8">
        <v>119.4</v>
      </c>
      <c r="Z185" s="6">
        <f>ROUNDDOWN(('SPT-01'!$M201*'TABELA AUXILIAR'!$J$3+SUM('SPT-01'!$N$18:$N201))/2,0)*0.9</f>
        <v>61296.3</v>
      </c>
      <c r="AA185" s="6">
        <f>ROUNDDOWN(('SPT-01'!$M201*'TABELA AUXILIAR'!$J$4+SUM('SPT-01'!$O$18:$O201))/2,0)*0.9</f>
        <v>66660.3</v>
      </c>
      <c r="AB185" s="6">
        <f>ROUNDDOWN(('SPT-01'!$M201*'TABELA AUXILIAR'!$J$5+SUM('SPT-01'!$P$18:$P201))/2,0)*0.9</f>
        <v>77324.400000000009</v>
      </c>
      <c r="AD185" s="8">
        <v>114.6</v>
      </c>
      <c r="AE185" s="6">
        <f>ROUNDDOWN(('SPT-01'!$M193*'TABELA AUXILIAR'!$J$3+SUM('SPT-01'!$N$10:$N193))/2,0)*0.9</f>
        <v>58448.700000000004</v>
      </c>
      <c r="AF185" s="6">
        <f>ROUNDDOWN(('SPT-01'!$M193*'TABELA AUXILIAR'!$J$4+SUM('SPT-01'!$O$10:$O193))/2,0)*0.9</f>
        <v>63567</v>
      </c>
      <c r="AG185" s="6">
        <f>ROUNDDOWN(('SPT-01'!$M193*'TABELA AUXILIAR'!$J$5+SUM('SPT-01'!$P$10:$P193))/2,0)*0.9</f>
        <v>73744.2</v>
      </c>
    </row>
    <row r="186" spans="10:33" x14ac:dyDescent="0.25">
      <c r="O186" s="8">
        <v>129.6</v>
      </c>
      <c r="P186" s="6">
        <f>ROUNDDOWN(('SPT-01'!$M218*'TABELA AUXILIAR'!$J$3+SUM('SPT-01'!$N$34:$N218))/2,0)*0.9</f>
        <v>66459.600000000006</v>
      </c>
      <c r="Q186" s="6">
        <f>ROUNDDOWN(('SPT-01'!$M218*'TABELA AUXILIAR'!$J$4+SUM('SPT-01'!$O$34:$O218))/2,0)*0.9</f>
        <v>72269.100000000006</v>
      </c>
      <c r="R186" s="6">
        <f>ROUNDDOWN(('SPT-01'!$M218*'TABELA AUXILIAR'!$J$5+SUM('SPT-01'!$P$34:$P218))/2,0)*0.9</f>
        <v>83817</v>
      </c>
      <c r="T186" s="8">
        <v>124.8</v>
      </c>
      <c r="U186" s="6">
        <f>ROUNDDOWN(('SPT-01'!$M210*'TABELA AUXILIAR'!$J$3+SUM('SPT-01'!$N$26:$N210))/2,0)*0.9</f>
        <v>64296.9</v>
      </c>
      <c r="V186" s="6">
        <f>ROUNDDOWN(('SPT-01'!$M210*'TABELA AUXILIAR'!$J$4+SUM('SPT-01'!$O$26:$O210))/2,0)*0.9</f>
        <v>69920.100000000006</v>
      </c>
      <c r="W186" s="6">
        <f>ROUNDDOWN(('SPT-01'!$M210*'TABELA AUXILIAR'!$J$5+SUM('SPT-01'!$P$26:$P210))/2,0)*0.9</f>
        <v>81096.3</v>
      </c>
      <c r="Y186" s="8">
        <v>120</v>
      </c>
      <c r="Z186" s="6">
        <f>ROUNDDOWN(('SPT-01'!$M202*'TABELA AUXILIAR'!$J$3+SUM('SPT-01'!$N$18:$N202))/2,0)*0.9</f>
        <v>61750.8</v>
      </c>
      <c r="AA186" s="6">
        <f>ROUNDDOWN(('SPT-01'!$M202*'TABELA AUXILIAR'!$J$4+SUM('SPT-01'!$O$18:$O202))/2,0)*0.9</f>
        <v>67153.5</v>
      </c>
      <c r="AB186" s="6">
        <f>ROUNDDOWN(('SPT-01'!$M202*'TABELA AUXILIAR'!$J$5+SUM('SPT-01'!$P$18:$P202))/2,0)*0.9</f>
        <v>77895</v>
      </c>
      <c r="AD186" s="8">
        <v>115.2</v>
      </c>
      <c r="AE186" s="6">
        <f>ROUNDDOWN(('SPT-01'!$M194*'TABELA AUXILIAR'!$J$3+SUM('SPT-01'!$N$10:$N194))/2,0)*0.9</f>
        <v>58892.4</v>
      </c>
      <c r="AF186" s="6">
        <f>ROUNDDOWN(('SPT-01'!$M194*'TABELA AUXILIAR'!$J$4+SUM('SPT-01'!$O$10:$O194))/2,0)*0.9</f>
        <v>64048.5</v>
      </c>
      <c r="AG186" s="6">
        <f>ROUNDDOWN(('SPT-01'!$M194*'TABELA AUXILIAR'!$J$5+SUM('SPT-01'!$P$10:$P194))/2,0)*0.9</f>
        <v>74302.2</v>
      </c>
    </row>
    <row r="187" spans="10:33" x14ac:dyDescent="0.25">
      <c r="O187" s="8">
        <v>130.19999999999999</v>
      </c>
      <c r="P187" s="6">
        <f>ROUNDDOWN(('SPT-01'!$M219*'TABELA AUXILIAR'!$J$3+SUM('SPT-01'!$N$34:$N219))/2,0)*0.9</f>
        <v>66933.900000000009</v>
      </c>
      <c r="Q187" s="6">
        <f>ROUNDDOWN(('SPT-01'!$M219*'TABELA AUXILIAR'!$J$4+SUM('SPT-01'!$O$34:$O219))/2,0)*0.9</f>
        <v>72785.7</v>
      </c>
      <c r="R187" s="6">
        <f>ROUNDDOWN(('SPT-01'!$M219*'TABELA AUXILIAR'!$J$5+SUM('SPT-01'!$P$34:$P219))/2,0)*0.9</f>
        <v>84412.800000000003</v>
      </c>
      <c r="T187" s="8">
        <v>125.4</v>
      </c>
      <c r="U187" s="6">
        <f>ROUNDDOWN(('SPT-01'!$M211*'TABELA AUXILIAR'!$J$3+SUM('SPT-01'!$N$26:$N211))/2,0)*0.9</f>
        <v>64762.200000000004</v>
      </c>
      <c r="V187" s="6">
        <f>ROUNDDOWN(('SPT-01'!$M211*'TABELA AUXILIAR'!$J$4+SUM('SPT-01'!$O$26:$O211))/2,0)*0.9</f>
        <v>70425</v>
      </c>
      <c r="W187" s="6">
        <f>ROUNDDOWN(('SPT-01'!$M211*'TABELA AUXILIAR'!$J$5+SUM('SPT-01'!$P$26:$P211))/2,0)*0.9</f>
        <v>81680.400000000009</v>
      </c>
      <c r="Y187" s="8">
        <v>120.6</v>
      </c>
      <c r="Z187" s="6">
        <f>ROUNDDOWN(('SPT-01'!$M203*'TABELA AUXILIAR'!$J$3+SUM('SPT-01'!$N$18:$N203))/2,0)*0.9</f>
        <v>62206.200000000004</v>
      </c>
      <c r="AA187" s="6">
        <f>ROUNDDOWN(('SPT-01'!$M203*'TABELA AUXILIAR'!$J$4+SUM('SPT-01'!$O$18:$O203))/2,0)*0.9</f>
        <v>67648.5</v>
      </c>
      <c r="AB187" s="6">
        <f>ROUNDDOWN(('SPT-01'!$M203*'TABELA AUXILIAR'!$J$5+SUM('SPT-01'!$P$18:$P203))/2,0)*0.9</f>
        <v>78466.5</v>
      </c>
      <c r="AD187" s="8">
        <v>115.8</v>
      </c>
      <c r="AE187" s="6">
        <f>ROUNDDOWN(('SPT-01'!$M195*'TABELA AUXILIAR'!$J$3+SUM('SPT-01'!$N$10:$N195))/2,0)*0.9</f>
        <v>59337</v>
      </c>
      <c r="AF187" s="6">
        <f>ROUNDDOWN(('SPT-01'!$M195*'TABELA AUXILIAR'!$J$4+SUM('SPT-01'!$O$10:$O195))/2,0)*0.9</f>
        <v>64531.8</v>
      </c>
      <c r="AG187" s="6">
        <f>ROUNDDOWN(('SPT-01'!$M195*'TABELA AUXILIAR'!$J$5+SUM('SPT-01'!$P$10:$P195))/2,0)*0.9</f>
        <v>74861.100000000006</v>
      </c>
    </row>
    <row r="188" spans="10:33" x14ac:dyDescent="0.25">
      <c r="O188" s="8">
        <v>130.80000000000001</v>
      </c>
      <c r="P188" s="6">
        <f>ROUNDDOWN(('SPT-01'!$M220*'TABELA AUXILIAR'!$J$3+SUM('SPT-01'!$N$34:$N220))/2,0)*0.9</f>
        <v>67410</v>
      </c>
      <c r="Q188" s="6">
        <f>ROUNDDOWN(('SPT-01'!$M220*'TABELA AUXILIAR'!$J$4+SUM('SPT-01'!$O$34:$O220))/2,0)*0.9</f>
        <v>73302.3</v>
      </c>
      <c r="R188" s="6">
        <f>ROUNDDOWN(('SPT-01'!$M220*'TABELA AUXILIAR'!$J$5+SUM('SPT-01'!$P$34:$P220))/2,0)*0.9</f>
        <v>85011.3</v>
      </c>
      <c r="T188" s="8">
        <v>126</v>
      </c>
      <c r="U188" s="6">
        <f>ROUNDDOWN(('SPT-01'!$M212*'TABELA AUXILIAR'!$J$3+SUM('SPT-01'!$N$26:$N212))/2,0)*0.9</f>
        <v>65228.4</v>
      </c>
      <c r="V188" s="6">
        <f>ROUNDDOWN(('SPT-01'!$M212*'TABELA AUXILIAR'!$J$4+SUM('SPT-01'!$O$26:$O212))/2,0)*0.9</f>
        <v>70931.7</v>
      </c>
      <c r="W188" s="6">
        <f>ROUNDDOWN(('SPT-01'!$M212*'TABELA AUXILIAR'!$J$5+SUM('SPT-01'!$P$26:$P212))/2,0)*0.9</f>
        <v>82266.3</v>
      </c>
      <c r="Y188" s="8">
        <v>121.2</v>
      </c>
      <c r="Z188" s="6">
        <f>ROUNDDOWN(('SPT-01'!$M204*'TABELA AUXILIAR'!$J$3+SUM('SPT-01'!$N$18:$N204))/2,0)*0.9</f>
        <v>62662.5</v>
      </c>
      <c r="AA188" s="6">
        <f>ROUNDDOWN(('SPT-01'!$M204*'TABELA AUXILIAR'!$J$4+SUM('SPT-01'!$O$18:$O204))/2,0)*0.9</f>
        <v>68143.5</v>
      </c>
      <c r="AB188" s="6">
        <f>ROUNDDOWN(('SPT-01'!$M204*'TABELA AUXILIAR'!$J$5+SUM('SPT-01'!$P$18:$P204))/2,0)*0.9</f>
        <v>79039.8</v>
      </c>
      <c r="AD188" s="8">
        <v>116.4</v>
      </c>
      <c r="AE188" s="6">
        <f>ROUNDDOWN(('SPT-01'!$M196*'TABELA AUXILIAR'!$J$3+SUM('SPT-01'!$N$10:$N196))/2,0)*0.9</f>
        <v>59783.4</v>
      </c>
      <c r="AF188" s="6">
        <f>ROUNDDOWN(('SPT-01'!$M196*'TABELA AUXILIAR'!$J$4+SUM('SPT-01'!$O$10:$O196))/2,0)*0.9</f>
        <v>65016.9</v>
      </c>
      <c r="AG188" s="6">
        <f>ROUNDDOWN(('SPT-01'!$M196*'TABELA AUXILIAR'!$J$5+SUM('SPT-01'!$P$10:$P196))/2,0)*0.9</f>
        <v>75421.8</v>
      </c>
    </row>
    <row r="189" spans="10:33" x14ac:dyDescent="0.25">
      <c r="O189" s="8">
        <v>131.4</v>
      </c>
      <c r="P189" s="6">
        <f>ROUNDDOWN(('SPT-01'!$M221*'TABELA AUXILIAR'!$J$3+SUM('SPT-01'!$N$34:$N221))/2,0)*0.9</f>
        <v>67887.900000000009</v>
      </c>
      <c r="Q189" s="6">
        <f>ROUNDDOWN(('SPT-01'!$M221*'TABELA AUXILIAR'!$J$4+SUM('SPT-01'!$O$34:$O221))/2,0)*0.9</f>
        <v>73820.7</v>
      </c>
      <c r="R189" s="6">
        <f>ROUNDDOWN(('SPT-01'!$M221*'TABELA AUXILIAR'!$J$5+SUM('SPT-01'!$P$34:$P221))/2,0)*0.9</f>
        <v>85610.7</v>
      </c>
      <c r="T189" s="8">
        <v>126.6</v>
      </c>
      <c r="U189" s="6">
        <f>ROUNDDOWN(('SPT-01'!$M213*'TABELA AUXILIAR'!$J$3+SUM('SPT-01'!$N$26:$N213))/2,0)*0.9</f>
        <v>65696.400000000009</v>
      </c>
      <c r="V189" s="6">
        <f>ROUNDDOWN(('SPT-01'!$M213*'TABELA AUXILIAR'!$J$4+SUM('SPT-01'!$O$26:$O213))/2,0)*0.9</f>
        <v>71439.3</v>
      </c>
      <c r="W189" s="6">
        <f>ROUNDDOWN(('SPT-01'!$M213*'TABELA AUXILIAR'!$J$5+SUM('SPT-01'!$P$26:$P213))/2,0)*0.9</f>
        <v>82853.100000000006</v>
      </c>
      <c r="Y189" s="8">
        <v>121.8</v>
      </c>
      <c r="Z189" s="6">
        <f>ROUNDDOWN(('SPT-01'!$M205*'TABELA AUXILIAR'!$J$3+SUM('SPT-01'!$N$18:$N205))/2,0)*0.9</f>
        <v>63119.700000000004</v>
      </c>
      <c r="AA189" s="6">
        <f>ROUNDDOWN(('SPT-01'!$M205*'TABELA AUXILIAR'!$J$4+SUM('SPT-01'!$O$18:$O205))/2,0)*0.9</f>
        <v>68641.2</v>
      </c>
      <c r="AB189" s="6">
        <f>ROUNDDOWN(('SPT-01'!$M205*'TABELA AUXILIAR'!$J$5+SUM('SPT-01'!$P$18:$P205))/2,0)*0.9</f>
        <v>79614.900000000009</v>
      </c>
      <c r="AD189" s="8">
        <v>117</v>
      </c>
      <c r="AE189" s="6">
        <f>ROUNDDOWN(('SPT-01'!$M197*'TABELA AUXILIAR'!$J$3+SUM('SPT-01'!$N$10:$N197))/2,0)*0.9</f>
        <v>60231.6</v>
      </c>
      <c r="AF189" s="6">
        <f>ROUNDDOWN(('SPT-01'!$M197*'TABELA AUXILIAR'!$J$4+SUM('SPT-01'!$O$10:$O197))/2,0)*0.9</f>
        <v>65502.9</v>
      </c>
      <c r="AG189" s="6">
        <f>ROUNDDOWN(('SPT-01'!$M197*'TABELA AUXILIAR'!$J$5+SUM('SPT-01'!$P$10:$P197))/2,0)*0.9</f>
        <v>75984.3</v>
      </c>
    </row>
    <row r="190" spans="10:33" x14ac:dyDescent="0.25">
      <c r="O190" s="8">
        <v>132</v>
      </c>
      <c r="P190" s="6">
        <f>ROUNDDOWN(('SPT-01'!$M222*'TABELA AUXILIAR'!$J$3+SUM('SPT-01'!$N$34:$N222))/2,0)*0.9</f>
        <v>68366.7</v>
      </c>
      <c r="Q190" s="6">
        <f>ROUNDDOWN(('SPT-01'!$M222*'TABELA AUXILIAR'!$J$4+SUM('SPT-01'!$O$34:$O222))/2,0)*0.9</f>
        <v>74340.900000000009</v>
      </c>
      <c r="R190" s="6">
        <f>ROUNDDOWN(('SPT-01'!$M222*'TABELA AUXILIAR'!$J$5+SUM('SPT-01'!$P$34:$P222))/2,0)*0.9</f>
        <v>86211.900000000009</v>
      </c>
      <c r="T190" s="8">
        <v>127.2</v>
      </c>
      <c r="U190" s="6">
        <f>ROUNDDOWN(('SPT-01'!$M214*'TABELA AUXILIAR'!$J$3+SUM('SPT-01'!$N$26:$N214))/2,0)*0.9</f>
        <v>66165.3</v>
      </c>
      <c r="V190" s="6">
        <f>ROUNDDOWN(('SPT-01'!$M214*'TABELA AUXILIAR'!$J$4+SUM('SPT-01'!$O$26:$O214))/2,0)*0.9</f>
        <v>71948.7</v>
      </c>
      <c r="W190" s="6">
        <f>ROUNDDOWN(('SPT-01'!$M214*'TABELA AUXILIAR'!$J$5+SUM('SPT-01'!$P$26:$P214))/2,0)*0.9</f>
        <v>83442.600000000006</v>
      </c>
      <c r="Y190" s="8">
        <v>122.4</v>
      </c>
      <c r="Z190" s="6">
        <f>ROUNDDOWN(('SPT-01'!$M206*'TABELA AUXILIAR'!$J$3+SUM('SPT-01'!$N$18:$N206))/2,0)*0.9</f>
        <v>63578.700000000004</v>
      </c>
      <c r="AA190" s="6">
        <f>ROUNDDOWN(('SPT-01'!$M206*'TABELA AUXILIAR'!$J$4+SUM('SPT-01'!$O$18:$O206))/2,0)*0.9</f>
        <v>69138.900000000009</v>
      </c>
      <c r="AB190" s="6">
        <f>ROUNDDOWN(('SPT-01'!$M206*'TABELA AUXILIAR'!$J$5+SUM('SPT-01'!$P$18:$P206))/2,0)*0.9</f>
        <v>80190.900000000009</v>
      </c>
      <c r="AD190" s="8">
        <v>117.6</v>
      </c>
      <c r="AE190" s="6">
        <f>ROUNDDOWN(('SPT-01'!$M198*'TABELA AUXILIAR'!$J$3+SUM('SPT-01'!$N$10:$N198))/2,0)*0.9</f>
        <v>60680.700000000004</v>
      </c>
      <c r="AF190" s="6">
        <f>ROUNDDOWN(('SPT-01'!$M198*'TABELA AUXILIAR'!$J$4+SUM('SPT-01'!$O$10:$O198))/2,0)*0.9</f>
        <v>65990.7</v>
      </c>
      <c r="AG190" s="6">
        <f>ROUNDDOWN(('SPT-01'!$M198*'TABELA AUXILIAR'!$J$5+SUM('SPT-01'!$P$10:$P198))/2,0)*0.9</f>
        <v>76547.7</v>
      </c>
    </row>
    <row r="191" spans="10:33" x14ac:dyDescent="0.25">
      <c r="T191" s="8">
        <v>127.8</v>
      </c>
      <c r="U191" s="6">
        <f>ROUNDDOWN(('SPT-01'!$M215*'TABELA AUXILIAR'!$J$3+SUM('SPT-01'!$N$26:$N215))/2,0)*0.9</f>
        <v>66635.100000000006</v>
      </c>
      <c r="V191" s="6">
        <f>ROUNDDOWN(('SPT-01'!$M215*'TABELA AUXILIAR'!$J$4+SUM('SPT-01'!$O$26:$O215))/2,0)*0.9</f>
        <v>72459</v>
      </c>
      <c r="W191" s="6">
        <f>ROUNDDOWN(('SPT-01'!$M215*'TABELA AUXILIAR'!$J$5+SUM('SPT-01'!$P$26:$P215))/2,0)*0.9</f>
        <v>84033</v>
      </c>
      <c r="Y191" s="8">
        <v>123</v>
      </c>
      <c r="Z191" s="6">
        <f>ROUNDDOWN(('SPT-01'!$M207*'TABELA AUXILIAR'!$J$3+SUM('SPT-01'!$N$18:$N207))/2,0)*0.9</f>
        <v>64039.5</v>
      </c>
      <c r="AA191" s="6">
        <f>ROUNDDOWN(('SPT-01'!$M207*'TABELA AUXILIAR'!$J$4+SUM('SPT-01'!$O$18:$O207))/2,0)*0.9</f>
        <v>69639.3</v>
      </c>
      <c r="AB191" s="6">
        <f>ROUNDDOWN(('SPT-01'!$M207*'TABELA AUXILIAR'!$J$5+SUM('SPT-01'!$P$18:$P207))/2,0)*0.9</f>
        <v>80768.7</v>
      </c>
      <c r="AD191" s="8">
        <v>118.2</v>
      </c>
      <c r="AE191" s="6">
        <f>ROUNDDOWN(('SPT-01'!$M199*'TABELA AUXILIAR'!$J$3+SUM('SPT-01'!$N$10:$N199))/2,0)*0.9</f>
        <v>61130.700000000004</v>
      </c>
      <c r="AF191" s="6">
        <f>ROUNDDOWN(('SPT-01'!$M199*'TABELA AUXILIAR'!$J$4+SUM('SPT-01'!$O$10:$O199))/2,0)*0.9</f>
        <v>66479.400000000009</v>
      </c>
      <c r="AG191" s="6">
        <f>ROUNDDOWN(('SPT-01'!$M199*'TABELA AUXILIAR'!$J$5+SUM('SPT-01'!$P$10:$P199))/2,0)*0.9</f>
        <v>77113.8</v>
      </c>
    </row>
    <row r="192" spans="10:33" x14ac:dyDescent="0.25">
      <c r="T192" s="8">
        <v>128.4</v>
      </c>
      <c r="U192" s="6">
        <f>ROUNDDOWN(('SPT-01'!$M216*'TABELA AUXILIAR'!$J$3+SUM('SPT-01'!$N$26:$N216))/2,0)*0.9</f>
        <v>67106.7</v>
      </c>
      <c r="V192" s="6">
        <f>ROUNDDOWN(('SPT-01'!$M216*'TABELA AUXILIAR'!$J$4+SUM('SPT-01'!$O$26:$O216))/2,0)*0.9</f>
        <v>72971.100000000006</v>
      </c>
      <c r="W192" s="6">
        <f>ROUNDDOWN(('SPT-01'!$M216*'TABELA AUXILIAR'!$J$5+SUM('SPT-01'!$P$26:$P216))/2,0)*0.9</f>
        <v>84624.3</v>
      </c>
      <c r="Y192" s="8">
        <v>123.6</v>
      </c>
      <c r="Z192" s="6">
        <f>ROUNDDOWN(('SPT-01'!$M208*'TABELA AUXILIAR'!$J$3+SUM('SPT-01'!$N$18:$N208))/2,0)*0.9</f>
        <v>64500.3</v>
      </c>
      <c r="AA192" s="6">
        <f>ROUNDDOWN(('SPT-01'!$M208*'TABELA AUXILIAR'!$J$4+SUM('SPT-01'!$O$18:$O208))/2,0)*0.9</f>
        <v>70140.600000000006</v>
      </c>
      <c r="AB192" s="6">
        <f>ROUNDDOWN(('SPT-01'!$M208*'TABELA AUXILIAR'!$J$5+SUM('SPT-01'!$P$18:$P208))/2,0)*0.9</f>
        <v>81348.3</v>
      </c>
      <c r="AD192" s="8">
        <v>118.8</v>
      </c>
      <c r="AE192" s="6">
        <f>ROUNDDOWN(('SPT-01'!$M200*'TABELA AUXILIAR'!$J$3+SUM('SPT-01'!$N$10:$N200))/2,0)*0.9</f>
        <v>61581.599999999999</v>
      </c>
      <c r="AF192" s="6">
        <f>ROUNDDOWN(('SPT-01'!$M200*'TABELA AUXILIAR'!$J$4+SUM('SPT-01'!$O$10:$O200))/2,0)*0.9</f>
        <v>66969.900000000009</v>
      </c>
      <c r="AG192" s="6">
        <f>ROUNDDOWN(('SPT-01'!$M200*'TABELA AUXILIAR'!$J$5+SUM('SPT-01'!$P$10:$P200))/2,0)*0.9</f>
        <v>77680.800000000003</v>
      </c>
    </row>
    <row r="193" spans="20:33" x14ac:dyDescent="0.25">
      <c r="T193" s="8">
        <v>129</v>
      </c>
      <c r="U193" s="6">
        <f>ROUNDDOWN(('SPT-01'!$M217*'TABELA AUXILIAR'!$J$3+SUM('SPT-01'!$N$26:$N217))/2,0)*0.9</f>
        <v>67579.199999999997</v>
      </c>
      <c r="V193" s="6">
        <f>ROUNDDOWN(('SPT-01'!$M217*'TABELA AUXILIAR'!$J$4+SUM('SPT-01'!$O$26:$O217))/2,0)*0.9</f>
        <v>73484.100000000006</v>
      </c>
      <c r="W193" s="6">
        <f>ROUNDDOWN(('SPT-01'!$M217*'TABELA AUXILIAR'!$J$5+SUM('SPT-01'!$P$26:$P217))/2,0)*0.9</f>
        <v>85217.400000000009</v>
      </c>
      <c r="Y193" s="8">
        <v>124.2</v>
      </c>
      <c r="Z193" s="6">
        <f>ROUNDDOWN(('SPT-01'!$M209*'TABELA AUXILIAR'!$J$3+SUM('SPT-01'!$N$18:$N209))/2,0)*0.9</f>
        <v>64962.9</v>
      </c>
      <c r="AA193" s="6">
        <f>ROUNDDOWN(('SPT-01'!$M209*'TABELA AUXILIAR'!$J$4+SUM('SPT-01'!$O$18:$O209))/2,0)*0.9</f>
        <v>70642.8</v>
      </c>
      <c r="AB193" s="6">
        <f>ROUNDDOWN(('SPT-01'!$M209*'TABELA AUXILIAR'!$J$5+SUM('SPT-01'!$P$18:$P209))/2,0)*0.9</f>
        <v>81929.7</v>
      </c>
      <c r="AD193" s="8">
        <v>119.4</v>
      </c>
      <c r="AE193" s="6">
        <f>ROUNDDOWN(('SPT-01'!$M201*'TABELA AUXILIAR'!$J$3+SUM('SPT-01'!$N$10:$N201))/2,0)*0.9</f>
        <v>62034.3</v>
      </c>
      <c r="AF193" s="6">
        <f>ROUNDDOWN(('SPT-01'!$M201*'TABELA AUXILIAR'!$J$4+SUM('SPT-01'!$O$10:$O201))/2,0)*0.9</f>
        <v>67461.3</v>
      </c>
      <c r="AG193" s="6">
        <f>ROUNDDOWN(('SPT-01'!$M201*'TABELA AUXILIAR'!$J$5+SUM('SPT-01'!$P$10:$P201))/2,0)*0.9</f>
        <v>78248.7</v>
      </c>
    </row>
    <row r="194" spans="20:33" x14ac:dyDescent="0.25">
      <c r="T194" s="8">
        <v>129.6</v>
      </c>
      <c r="U194" s="6">
        <f>ROUNDDOWN(('SPT-01'!$M218*'TABELA AUXILIAR'!$J$3+SUM('SPT-01'!$N$26:$N218))/2,0)*0.9</f>
        <v>68052.600000000006</v>
      </c>
      <c r="V194" s="6">
        <f>ROUNDDOWN(('SPT-01'!$M218*'TABELA AUXILIAR'!$J$4+SUM('SPT-01'!$O$26:$O218))/2,0)*0.9</f>
        <v>73998.900000000009</v>
      </c>
      <c r="W194" s="6">
        <f>ROUNDDOWN(('SPT-01'!$M218*'TABELA AUXILIAR'!$J$5+SUM('SPT-01'!$P$26:$P218))/2,0)*0.9</f>
        <v>85812.3</v>
      </c>
      <c r="Y194" s="8">
        <v>124.8</v>
      </c>
      <c r="Z194" s="6">
        <f>ROUNDDOWN(('SPT-01'!$M210*'TABELA AUXILIAR'!$J$3+SUM('SPT-01'!$N$18:$N210))/2,0)*0.9</f>
        <v>65427.3</v>
      </c>
      <c r="AA194" s="6">
        <f>ROUNDDOWN(('SPT-01'!$M210*'TABELA AUXILIAR'!$J$4+SUM('SPT-01'!$O$18:$O210))/2,0)*0.9</f>
        <v>71146.8</v>
      </c>
      <c r="AB194" s="6">
        <f>ROUNDDOWN(('SPT-01'!$M210*'TABELA AUXILIAR'!$J$5+SUM('SPT-01'!$P$18:$P210))/2,0)*0.9</f>
        <v>82512</v>
      </c>
      <c r="AD194" s="8">
        <v>120</v>
      </c>
      <c r="AE194" s="6">
        <f>ROUNDDOWN(('SPT-01'!$M202*'TABELA AUXILIAR'!$J$3+SUM('SPT-01'!$N$10:$N202))/2,0)*0.9</f>
        <v>62488.800000000003</v>
      </c>
      <c r="AF194" s="6">
        <f>ROUNDDOWN(('SPT-01'!$M202*'TABELA AUXILIAR'!$J$4+SUM('SPT-01'!$O$10:$O202))/2,0)*0.9</f>
        <v>67954.5</v>
      </c>
      <c r="AG194" s="6">
        <f>ROUNDDOWN(('SPT-01'!$M202*'TABELA AUXILIAR'!$J$5+SUM('SPT-01'!$P$10:$P202))/2,0)*0.9</f>
        <v>78819.3</v>
      </c>
    </row>
    <row r="195" spans="20:33" x14ac:dyDescent="0.25">
      <c r="T195" s="8">
        <v>130.19999999999999</v>
      </c>
      <c r="U195" s="6">
        <f>ROUNDDOWN(('SPT-01'!$M219*'TABELA AUXILIAR'!$J$3+SUM('SPT-01'!$N$26:$N219))/2,0)*0.9</f>
        <v>68527.8</v>
      </c>
      <c r="V195" s="6">
        <f>ROUNDDOWN(('SPT-01'!$M219*'TABELA AUXILIAR'!$J$4+SUM('SPT-01'!$O$26:$O219))/2,0)*0.9</f>
        <v>74514.600000000006</v>
      </c>
      <c r="W195" s="6">
        <f>ROUNDDOWN(('SPT-01'!$M219*'TABELA AUXILIAR'!$J$5+SUM('SPT-01'!$P$26:$P219))/2,0)*0.9</f>
        <v>86409</v>
      </c>
      <c r="Y195" s="8">
        <v>125.4</v>
      </c>
      <c r="Z195" s="6">
        <f>ROUNDDOWN(('SPT-01'!$M211*'TABELA AUXILIAR'!$J$3+SUM('SPT-01'!$N$18:$N211))/2,0)*0.9</f>
        <v>65892.600000000006</v>
      </c>
      <c r="AA195" s="6">
        <f>ROUNDDOWN(('SPT-01'!$M211*'TABELA AUXILIAR'!$J$4+SUM('SPT-01'!$O$18:$O211))/2,0)*0.9</f>
        <v>71651.7</v>
      </c>
      <c r="AB195" s="6">
        <f>ROUNDDOWN(('SPT-01'!$M211*'TABELA AUXILIAR'!$J$5+SUM('SPT-01'!$P$18:$P211))/2,0)*0.9</f>
        <v>83096.100000000006</v>
      </c>
      <c r="AD195" s="8">
        <v>120.6</v>
      </c>
      <c r="AE195" s="6">
        <f>ROUNDDOWN(('SPT-01'!$M203*'TABELA AUXILIAR'!$J$3+SUM('SPT-01'!$N$10:$N203))/2,0)*0.9</f>
        <v>62943.3</v>
      </c>
      <c r="AF195" s="6">
        <f>ROUNDDOWN(('SPT-01'!$M203*'TABELA AUXILIAR'!$J$4+SUM('SPT-01'!$O$10:$O203))/2,0)*0.9</f>
        <v>68448.600000000006</v>
      </c>
      <c r="AG195" s="6">
        <f>ROUNDDOWN(('SPT-01'!$M203*'TABELA AUXILIAR'!$J$5+SUM('SPT-01'!$P$10:$P203))/2,0)*0.9</f>
        <v>79390.8</v>
      </c>
    </row>
    <row r="196" spans="20:33" x14ac:dyDescent="0.25">
      <c r="T196" s="8">
        <v>130.80000000000001</v>
      </c>
      <c r="U196" s="6">
        <f>ROUNDDOWN(('SPT-01'!$M220*'TABELA AUXILIAR'!$J$3+SUM('SPT-01'!$N$26:$N220))/2,0)*0.9</f>
        <v>69003.900000000009</v>
      </c>
      <c r="V196" s="6">
        <f>ROUNDDOWN(('SPT-01'!$M220*'TABELA AUXILIAR'!$J$4+SUM('SPT-01'!$O$26:$O220))/2,0)*0.9</f>
        <v>75031.199999999997</v>
      </c>
      <c r="W196" s="6">
        <f>ROUNDDOWN(('SPT-01'!$M220*'TABELA AUXILIAR'!$J$5+SUM('SPT-01'!$P$26:$P220))/2,0)*0.9</f>
        <v>87007.5</v>
      </c>
      <c r="Y196" s="8">
        <v>126</v>
      </c>
      <c r="Z196" s="6">
        <f>ROUNDDOWN(('SPT-01'!$M212*'TABELA AUXILIAR'!$J$3+SUM('SPT-01'!$N$18:$N212))/2,0)*0.9</f>
        <v>66358.8</v>
      </c>
      <c r="AA196" s="6">
        <f>ROUNDDOWN(('SPT-01'!$M212*'TABELA AUXILIAR'!$J$4+SUM('SPT-01'!$O$18:$O212))/2,0)*0.9</f>
        <v>72158.400000000009</v>
      </c>
      <c r="AB196" s="6">
        <f>ROUNDDOWN(('SPT-01'!$M212*'TABELA AUXILIAR'!$J$5+SUM('SPT-01'!$P$18:$P212))/2,0)*0.9</f>
        <v>83682</v>
      </c>
      <c r="AD196" s="8">
        <v>121.2</v>
      </c>
      <c r="AE196" s="6">
        <f>ROUNDDOWN(('SPT-01'!$M204*'TABELA AUXILIAR'!$J$3+SUM('SPT-01'!$N$10:$N204))/2,0)*0.9</f>
        <v>63400.5</v>
      </c>
      <c r="AF196" s="6">
        <f>ROUNDDOWN(('SPT-01'!$M204*'TABELA AUXILIAR'!$J$4+SUM('SPT-01'!$O$10:$O204))/2,0)*0.9</f>
        <v>68944.5</v>
      </c>
      <c r="AG196" s="6">
        <f>ROUNDDOWN(('SPT-01'!$M204*'TABELA AUXILIAR'!$J$5+SUM('SPT-01'!$P$10:$P204))/2,0)*0.9</f>
        <v>79964.100000000006</v>
      </c>
    </row>
    <row r="197" spans="20:33" x14ac:dyDescent="0.25">
      <c r="T197" s="8">
        <v>131.4</v>
      </c>
      <c r="U197" s="6">
        <f>ROUNDDOWN(('SPT-01'!$M221*'TABELA AUXILIAR'!$J$3+SUM('SPT-01'!$N$26:$N221))/2,0)*0.9</f>
        <v>69480.900000000009</v>
      </c>
      <c r="V197" s="6">
        <f>ROUNDDOWN(('SPT-01'!$M221*'TABELA AUXILIAR'!$J$4+SUM('SPT-01'!$O$26:$O221))/2,0)*0.9</f>
        <v>75549.600000000006</v>
      </c>
      <c r="W197" s="6">
        <f>ROUNDDOWN(('SPT-01'!$M221*'TABELA AUXILIAR'!$J$5+SUM('SPT-01'!$P$26:$P221))/2,0)*0.9</f>
        <v>87606.900000000009</v>
      </c>
      <c r="Y197" s="8">
        <v>126.6</v>
      </c>
      <c r="Z197" s="6">
        <f>ROUNDDOWN(('SPT-01'!$M213*'TABELA AUXILIAR'!$J$3+SUM('SPT-01'!$N$18:$N213))/2,0)*0.9</f>
        <v>66826.8</v>
      </c>
      <c r="AA197" s="6">
        <f>ROUNDDOWN(('SPT-01'!$M213*'TABELA AUXILIAR'!$J$4+SUM('SPT-01'!$O$18:$O213))/2,0)*0.9</f>
        <v>72666</v>
      </c>
      <c r="AB197" s="6">
        <f>ROUNDDOWN(('SPT-01'!$M213*'TABELA AUXILIAR'!$J$5+SUM('SPT-01'!$P$18:$P213))/2,0)*0.9</f>
        <v>84269.7</v>
      </c>
      <c r="AD197" s="8">
        <v>121.8</v>
      </c>
      <c r="AE197" s="6">
        <f>ROUNDDOWN(('SPT-01'!$M205*'TABELA AUXILIAR'!$J$3+SUM('SPT-01'!$N$10:$N205))/2,0)*0.9</f>
        <v>63857.700000000004</v>
      </c>
      <c r="AF197" s="6">
        <f>ROUNDDOWN(('SPT-01'!$M205*'TABELA AUXILIAR'!$J$4+SUM('SPT-01'!$O$10:$O205))/2,0)*0.9</f>
        <v>69441.3</v>
      </c>
      <c r="AG197" s="6">
        <f>ROUNDDOWN(('SPT-01'!$M205*'TABELA AUXILIAR'!$J$5+SUM('SPT-01'!$P$10:$P205))/2,0)*0.9</f>
        <v>80539.199999999997</v>
      </c>
    </row>
    <row r="198" spans="20:33" x14ac:dyDescent="0.25">
      <c r="T198" s="8">
        <v>132</v>
      </c>
      <c r="U198" s="6">
        <f>ROUNDDOWN(('SPT-01'!$M222*'TABELA AUXILIAR'!$J$3+SUM('SPT-01'!$N$26:$N222))/2,0)*0.9</f>
        <v>69959.7</v>
      </c>
      <c r="V198" s="6">
        <f>ROUNDDOWN(('SPT-01'!$M222*'TABELA AUXILIAR'!$J$4+SUM('SPT-01'!$O$26:$O222))/2,0)*0.9</f>
        <v>76069.8</v>
      </c>
      <c r="W198" s="6">
        <f>ROUNDDOWN(('SPT-01'!$M222*'TABELA AUXILIAR'!$J$5+SUM('SPT-01'!$P$26:$P222))/2,0)*0.9</f>
        <v>88208.1</v>
      </c>
      <c r="Y198" s="8">
        <v>127.2</v>
      </c>
      <c r="Z198" s="6">
        <f>ROUNDDOWN(('SPT-01'!$M214*'TABELA AUXILIAR'!$J$3+SUM('SPT-01'!$N$18:$N214))/2,0)*0.9</f>
        <v>67295.7</v>
      </c>
      <c r="AA198" s="6">
        <f>ROUNDDOWN(('SPT-01'!$M214*'TABELA AUXILIAR'!$J$4+SUM('SPT-01'!$O$18:$O214))/2,0)*0.9</f>
        <v>73175.400000000009</v>
      </c>
      <c r="AB198" s="6">
        <f>ROUNDDOWN(('SPT-01'!$M214*'TABELA AUXILIAR'!$J$5+SUM('SPT-01'!$P$18:$P214))/2,0)*0.9</f>
        <v>84858.3</v>
      </c>
      <c r="AD198" s="8">
        <v>122.4</v>
      </c>
      <c r="AE198" s="6">
        <f>ROUNDDOWN(('SPT-01'!$M206*'TABELA AUXILIAR'!$J$3+SUM('SPT-01'!$N$10:$N206))/2,0)*0.9</f>
        <v>64316.700000000004</v>
      </c>
      <c r="AF198" s="6">
        <f>ROUNDDOWN(('SPT-01'!$M206*'TABELA AUXILIAR'!$J$4+SUM('SPT-01'!$O$10:$O206))/2,0)*0.9</f>
        <v>69939.900000000009</v>
      </c>
      <c r="AG198" s="6">
        <f>ROUNDDOWN(('SPT-01'!$M206*'TABELA AUXILIAR'!$J$5+SUM('SPT-01'!$P$10:$P206))/2,0)*0.9</f>
        <v>81115.199999999997</v>
      </c>
    </row>
    <row r="199" spans="20:33" x14ac:dyDescent="0.25">
      <c r="U199" s="6">
        <f>ROUNDDOWN(('SPT-01'!$M223*'TABELA AUXILIAR'!$J$3+SUM('SPT-01'!$N$26:$N223))/2,0)*0.9</f>
        <v>68085</v>
      </c>
      <c r="V199" s="6">
        <f>ROUNDDOWN(('SPT-01'!$M223*'TABELA AUXILIAR'!$J$4+SUM('SPT-01'!$O$26:$O223))/2,0)*0.9</f>
        <v>73879.199999999997</v>
      </c>
      <c r="W199" s="6">
        <f>ROUNDDOWN(('SPT-01'!$M223*'TABELA AUXILIAR'!$J$5+SUM('SPT-01'!$P$26:$P223))/2,0)*0.9</f>
        <v>85286.7</v>
      </c>
      <c r="Y199" s="8">
        <v>127.8</v>
      </c>
      <c r="Z199" s="6">
        <f>ROUNDDOWN(('SPT-01'!$M215*'TABELA AUXILIAR'!$J$3+SUM('SPT-01'!$N$18:$N215))/2,0)*0.9</f>
        <v>67765.5</v>
      </c>
      <c r="AA199" s="6">
        <f>ROUNDDOWN(('SPT-01'!$M215*'TABELA AUXILIAR'!$J$4+SUM('SPT-01'!$O$18:$O215))/2,0)*0.9</f>
        <v>73685.7</v>
      </c>
      <c r="AB199" s="6">
        <f>ROUNDDOWN(('SPT-01'!$M215*'TABELA AUXILIAR'!$J$5+SUM('SPT-01'!$P$18:$P215))/2,0)*0.9</f>
        <v>85448.7</v>
      </c>
      <c r="AD199" s="8">
        <v>123</v>
      </c>
      <c r="AE199" s="6">
        <f>ROUNDDOWN(('SPT-01'!$M207*'TABELA AUXILIAR'!$J$3+SUM('SPT-01'!$N$10:$N207))/2,0)*0.9</f>
        <v>64777.5</v>
      </c>
      <c r="AF199" s="6">
        <f>ROUNDDOWN(('SPT-01'!$M207*'TABELA AUXILIAR'!$J$4+SUM('SPT-01'!$O$10:$O207))/2,0)*0.9</f>
        <v>70439.400000000009</v>
      </c>
      <c r="AG199" s="6">
        <f>ROUNDDOWN(('SPT-01'!$M207*'TABELA AUXILIAR'!$J$5+SUM('SPT-01'!$P$10:$P207))/2,0)*0.9</f>
        <v>81693</v>
      </c>
    </row>
    <row r="200" spans="20:33" x14ac:dyDescent="0.25">
      <c r="U200" s="6">
        <f>ROUNDDOWN(('SPT-01'!$M224*'TABELA AUXILIAR'!$J$3+SUM('SPT-01'!$N$26:$N224))/2,0)*0.9</f>
        <v>68085</v>
      </c>
      <c r="V200" s="6">
        <f>ROUNDDOWN(('SPT-01'!$M224*'TABELA AUXILIAR'!$J$4+SUM('SPT-01'!$O$26:$O224))/2,0)*0.9</f>
        <v>73879.199999999997</v>
      </c>
      <c r="W200" s="6">
        <f>ROUNDDOWN(('SPT-01'!$M224*'TABELA AUXILIAR'!$J$5+SUM('SPT-01'!$P$26:$P224))/2,0)*0.9</f>
        <v>85286.7</v>
      </c>
      <c r="Y200" s="8">
        <v>128.4</v>
      </c>
      <c r="Z200" s="6">
        <f>ROUNDDOWN(('SPT-01'!$M216*'TABELA AUXILIAR'!$J$3+SUM('SPT-01'!$N$18:$N216))/2,0)*0.9</f>
        <v>68237.100000000006</v>
      </c>
      <c r="AA200" s="6">
        <f>ROUNDDOWN(('SPT-01'!$M216*'TABELA AUXILIAR'!$J$4+SUM('SPT-01'!$O$18:$O216))/2,0)*0.9</f>
        <v>74197.8</v>
      </c>
      <c r="AB200" s="6">
        <f>ROUNDDOWN(('SPT-01'!$M216*'TABELA AUXILIAR'!$J$5+SUM('SPT-01'!$P$18:$P216))/2,0)*0.9</f>
        <v>86040</v>
      </c>
      <c r="AD200" s="8">
        <v>123.6</v>
      </c>
      <c r="AE200" s="6">
        <f>ROUNDDOWN(('SPT-01'!$M208*'TABELA AUXILIAR'!$J$3+SUM('SPT-01'!$N$10:$N208))/2,0)*0.9</f>
        <v>65238.3</v>
      </c>
      <c r="AF200" s="6">
        <f>ROUNDDOWN(('SPT-01'!$M208*'TABELA AUXILIAR'!$J$4+SUM('SPT-01'!$O$10:$O208))/2,0)*0.9</f>
        <v>70940.7</v>
      </c>
      <c r="AG200" s="6">
        <f>ROUNDDOWN(('SPT-01'!$M208*'TABELA AUXILIAR'!$J$5+SUM('SPT-01'!$P$10:$P208))/2,0)*0.9</f>
        <v>82272.600000000006</v>
      </c>
    </row>
    <row r="201" spans="20:33" x14ac:dyDescent="0.25">
      <c r="U201" s="6">
        <f>ROUNDDOWN(('SPT-01'!$M225*'TABELA AUXILIAR'!$J$3+SUM('SPT-01'!$N$26:$N225))/2,0)*0.9</f>
        <v>68085</v>
      </c>
      <c r="V201" s="6">
        <f>ROUNDDOWN(('SPT-01'!$M225*'TABELA AUXILIAR'!$J$4+SUM('SPT-01'!$O$26:$O225))/2,0)*0.9</f>
        <v>73879.199999999997</v>
      </c>
      <c r="W201" s="6">
        <f>ROUNDDOWN(('SPT-01'!$M225*'TABELA AUXILIAR'!$J$5+SUM('SPT-01'!$P$26:$P225))/2,0)*0.9</f>
        <v>85286.7</v>
      </c>
      <c r="Y201" s="8">
        <v>129</v>
      </c>
      <c r="Z201" s="6">
        <f>ROUNDDOWN(('SPT-01'!$M217*'TABELA AUXILIAR'!$J$3+SUM('SPT-01'!$N$18:$N217))/2,0)*0.9</f>
        <v>68709.600000000006</v>
      </c>
      <c r="AA201" s="6">
        <f>ROUNDDOWN(('SPT-01'!$M217*'TABELA AUXILIAR'!$J$4+SUM('SPT-01'!$O$18:$O217))/2,0)*0.9</f>
        <v>74710.8</v>
      </c>
      <c r="AB201" s="6">
        <f>ROUNDDOWN(('SPT-01'!$M217*'TABELA AUXILIAR'!$J$5+SUM('SPT-01'!$P$18:$P217))/2,0)*0.9</f>
        <v>86634</v>
      </c>
      <c r="AD201" s="8">
        <v>124.2</v>
      </c>
      <c r="AE201" s="6">
        <f>ROUNDDOWN(('SPT-01'!$M209*'TABELA AUXILIAR'!$J$3+SUM('SPT-01'!$N$10:$N209))/2,0)*0.9</f>
        <v>65700.900000000009</v>
      </c>
      <c r="AF201" s="6">
        <f>ROUNDDOWN(('SPT-01'!$M209*'TABELA AUXILIAR'!$J$4+SUM('SPT-01'!$O$10:$O209))/2,0)*0.9</f>
        <v>71442.900000000009</v>
      </c>
      <c r="AG201" s="6">
        <f>ROUNDDOWN(('SPT-01'!$M209*'TABELA AUXILIAR'!$J$5+SUM('SPT-01'!$P$10:$P209))/2,0)*0.9</f>
        <v>82854</v>
      </c>
    </row>
    <row r="202" spans="20:33" x14ac:dyDescent="0.25">
      <c r="U202" s="6">
        <f>ROUNDDOWN(('SPT-01'!$M226*'TABELA AUXILIAR'!$J$3+SUM('SPT-01'!$N$26:$N226))/2,0)*0.9</f>
        <v>68085</v>
      </c>
      <c r="V202" s="6">
        <f>ROUNDDOWN(('SPT-01'!$M226*'TABELA AUXILIAR'!$J$4+SUM('SPT-01'!$O$26:$O226))/2,0)*0.9</f>
        <v>73879.199999999997</v>
      </c>
      <c r="W202" s="6">
        <f>ROUNDDOWN(('SPT-01'!$M226*'TABELA AUXILIAR'!$J$5+SUM('SPT-01'!$P$26:$P226))/2,0)*0.9</f>
        <v>85286.7</v>
      </c>
      <c r="Y202" s="8">
        <v>129.6</v>
      </c>
      <c r="Z202" s="6">
        <f>ROUNDDOWN(('SPT-01'!$M218*'TABELA AUXILIAR'!$J$3+SUM('SPT-01'!$N$18:$N218))/2,0)*0.9</f>
        <v>69183</v>
      </c>
      <c r="AA202" s="6">
        <f>ROUNDDOWN(('SPT-01'!$M218*'TABELA AUXILIAR'!$J$4+SUM('SPT-01'!$O$18:$O218))/2,0)*0.9</f>
        <v>75224.7</v>
      </c>
      <c r="AB202" s="6">
        <f>ROUNDDOWN(('SPT-01'!$M218*'TABELA AUXILIAR'!$J$5+SUM('SPT-01'!$P$18:$P218))/2,0)*0.9</f>
        <v>87228.900000000009</v>
      </c>
      <c r="AD202" s="8">
        <v>124.8</v>
      </c>
      <c r="AE202" s="6">
        <f>ROUNDDOWN(('SPT-01'!$M210*'TABELA AUXILIAR'!$J$3+SUM('SPT-01'!$N$10:$N210))/2,0)*0.9</f>
        <v>66165.3</v>
      </c>
      <c r="AF202" s="6">
        <f>ROUNDDOWN(('SPT-01'!$M210*'TABELA AUXILIAR'!$J$4+SUM('SPT-01'!$O$10:$O210))/2,0)*0.9</f>
        <v>71946.900000000009</v>
      </c>
      <c r="AG202" s="6">
        <f>ROUNDDOWN(('SPT-01'!$M210*'TABELA AUXILIAR'!$J$5+SUM('SPT-01'!$P$10:$P210))/2,0)*0.9</f>
        <v>83436.3</v>
      </c>
    </row>
    <row r="203" spans="20:33" x14ac:dyDescent="0.25">
      <c r="U203" s="6">
        <f>ROUNDDOWN(('SPT-01'!$M227*'TABELA AUXILIAR'!$J$3+SUM('SPT-01'!$N$26:$N227))/2,0)*0.9</f>
        <v>68085</v>
      </c>
      <c r="V203" s="6">
        <f>ROUNDDOWN(('SPT-01'!$M227*'TABELA AUXILIAR'!$J$4+SUM('SPT-01'!$O$26:$O227))/2,0)*0.9</f>
        <v>73879.199999999997</v>
      </c>
      <c r="W203" s="6">
        <f>ROUNDDOWN(('SPT-01'!$M227*'TABELA AUXILIAR'!$J$5+SUM('SPT-01'!$P$26:$P227))/2,0)*0.9</f>
        <v>85286.7</v>
      </c>
      <c r="Y203" s="8">
        <v>130.19999999999999</v>
      </c>
      <c r="Z203" s="6">
        <f>ROUNDDOWN(('SPT-01'!$M219*'TABELA AUXILIAR'!$J$3+SUM('SPT-01'!$N$18:$N219))/2,0)*0.9</f>
        <v>69658.2</v>
      </c>
      <c r="AA203" s="6">
        <f>ROUNDDOWN(('SPT-01'!$M219*'TABELA AUXILIAR'!$J$4+SUM('SPT-01'!$O$18:$O219))/2,0)*0.9</f>
        <v>75741.3</v>
      </c>
      <c r="AB203" s="6">
        <f>ROUNDDOWN(('SPT-01'!$M219*'TABELA AUXILIAR'!$J$5+SUM('SPT-01'!$P$18:$P219))/2,0)*0.9</f>
        <v>87824.7</v>
      </c>
      <c r="AD203" s="8">
        <v>125.4</v>
      </c>
      <c r="AE203" s="6">
        <f>ROUNDDOWN(('SPT-01'!$M211*'TABELA AUXILIAR'!$J$3+SUM('SPT-01'!$N$10:$N211))/2,0)*0.9</f>
        <v>66630.600000000006</v>
      </c>
      <c r="AF203" s="6">
        <f>ROUNDDOWN(('SPT-01'!$M211*'TABELA AUXILIAR'!$J$4+SUM('SPT-01'!$O$10:$O211))/2,0)*0.9</f>
        <v>72452.7</v>
      </c>
      <c r="AG203" s="6">
        <f>ROUNDDOWN(('SPT-01'!$M211*'TABELA AUXILIAR'!$J$5+SUM('SPT-01'!$P$10:$P211))/2,0)*0.9</f>
        <v>84020.400000000009</v>
      </c>
    </row>
    <row r="204" spans="20:33" x14ac:dyDescent="0.25">
      <c r="U204" s="6">
        <f>ROUNDDOWN(('SPT-01'!$M228*'TABELA AUXILIAR'!$J$3+SUM('SPT-01'!$N$26:$N228))/2,0)*0.9</f>
        <v>68085</v>
      </c>
      <c r="V204" s="6">
        <f>ROUNDDOWN(('SPT-01'!$M228*'TABELA AUXILIAR'!$J$4+SUM('SPT-01'!$O$26:$O228))/2,0)*0.9</f>
        <v>73879.199999999997</v>
      </c>
      <c r="W204" s="6">
        <f>ROUNDDOWN(('SPT-01'!$M228*'TABELA AUXILIAR'!$J$5+SUM('SPT-01'!$P$26:$P228))/2,0)*0.9</f>
        <v>85286.7</v>
      </c>
      <c r="Y204" s="8">
        <v>130.80000000000001</v>
      </c>
      <c r="Z204" s="6">
        <f>ROUNDDOWN(('SPT-01'!$M220*'TABELA AUXILIAR'!$J$3+SUM('SPT-01'!$N$18:$N220))/2,0)*0.9</f>
        <v>70134.3</v>
      </c>
      <c r="AA204" s="6">
        <f>ROUNDDOWN(('SPT-01'!$M220*'TABELA AUXILIAR'!$J$4+SUM('SPT-01'!$O$18:$O220))/2,0)*0.9</f>
        <v>76257.900000000009</v>
      </c>
      <c r="AB204" s="6">
        <f>ROUNDDOWN(('SPT-01'!$M220*'TABELA AUXILIAR'!$J$5+SUM('SPT-01'!$P$18:$P220))/2,0)*0.9</f>
        <v>88423.2</v>
      </c>
      <c r="AD204" s="8">
        <v>126</v>
      </c>
      <c r="AE204" s="6">
        <f>ROUNDDOWN(('SPT-01'!$M212*'TABELA AUXILIAR'!$J$3+SUM('SPT-01'!$N$10:$N212))/2,0)*0.9</f>
        <v>67096.800000000003</v>
      </c>
      <c r="AF204" s="6">
        <f>ROUNDDOWN(('SPT-01'!$M212*'TABELA AUXILIAR'!$J$4+SUM('SPT-01'!$O$10:$O212))/2,0)*0.9</f>
        <v>72958.5</v>
      </c>
      <c r="AG204" s="6">
        <f>ROUNDDOWN(('SPT-01'!$M212*'TABELA AUXILIAR'!$J$5+SUM('SPT-01'!$P$10:$P212))/2,0)*0.9</f>
        <v>84606.3</v>
      </c>
    </row>
    <row r="205" spans="20:33" x14ac:dyDescent="0.25">
      <c r="U205" s="6">
        <f>ROUNDDOWN(('SPT-01'!$M229*'TABELA AUXILIAR'!$J$3+SUM('SPT-01'!$N$26:$N229))/2,0)*0.9</f>
        <v>68085</v>
      </c>
      <c r="V205" s="6">
        <f>ROUNDDOWN(('SPT-01'!$M229*'TABELA AUXILIAR'!$J$4+SUM('SPT-01'!$O$26:$O229))/2,0)*0.9</f>
        <v>73879.199999999997</v>
      </c>
      <c r="W205" s="6">
        <f>ROUNDDOWN(('SPT-01'!$M229*'TABELA AUXILIAR'!$J$5+SUM('SPT-01'!$P$26:$P229))/2,0)*0.9</f>
        <v>85286.7</v>
      </c>
      <c r="Y205" s="8">
        <v>131.4</v>
      </c>
      <c r="Z205" s="6">
        <f>ROUNDDOWN(('SPT-01'!$M221*'TABELA AUXILIAR'!$J$3+SUM('SPT-01'!$N$18:$N221))/2,0)*0.9</f>
        <v>70611.3</v>
      </c>
      <c r="AA205" s="6">
        <f>ROUNDDOWN(('SPT-01'!$M221*'TABELA AUXILIAR'!$J$4+SUM('SPT-01'!$O$18:$O221))/2,0)*0.9</f>
        <v>76776.3</v>
      </c>
      <c r="AB205" s="6">
        <f>ROUNDDOWN(('SPT-01'!$M221*'TABELA AUXILIAR'!$J$5+SUM('SPT-01'!$P$18:$P221))/2,0)*0.9</f>
        <v>89022.6</v>
      </c>
      <c r="AD205" s="8">
        <v>126.6</v>
      </c>
      <c r="AE205" s="6">
        <f>ROUNDDOWN(('SPT-01'!$M213*'TABELA AUXILIAR'!$J$3+SUM('SPT-01'!$N$10:$N213))/2,0)*0.9</f>
        <v>67563.900000000009</v>
      </c>
      <c r="AF205" s="6">
        <f>ROUNDDOWN(('SPT-01'!$M213*'TABELA AUXILIAR'!$J$4+SUM('SPT-01'!$O$10:$O213))/2,0)*0.9</f>
        <v>73467</v>
      </c>
      <c r="AG205" s="6">
        <f>ROUNDDOWN(('SPT-01'!$M213*'TABELA AUXILIAR'!$J$5+SUM('SPT-01'!$P$10:$P213))/2,0)*0.9</f>
        <v>85194</v>
      </c>
    </row>
    <row r="206" spans="20:33" x14ac:dyDescent="0.25">
      <c r="U206" s="6">
        <f>ROUNDDOWN(('SPT-01'!$M230*'TABELA AUXILIAR'!$J$3+SUM('SPT-01'!$N$26:$N230))/2,0)*0.9</f>
        <v>68085</v>
      </c>
      <c r="V206" s="6">
        <f>ROUNDDOWN(('SPT-01'!$M230*'TABELA AUXILIAR'!$J$4+SUM('SPT-01'!$O$26:$O230))/2,0)*0.9</f>
        <v>73879.199999999997</v>
      </c>
      <c r="W206" s="6">
        <f>ROUNDDOWN(('SPT-01'!$M230*'TABELA AUXILIAR'!$J$5+SUM('SPT-01'!$P$26:$P230))/2,0)*0.9</f>
        <v>85286.7</v>
      </c>
      <c r="Y206" s="8">
        <v>132</v>
      </c>
      <c r="Z206" s="6">
        <f>ROUNDDOWN(('SPT-01'!$M222*'TABELA AUXILIAR'!$J$3+SUM('SPT-01'!$N$18:$N222))/2,0)*0.9</f>
        <v>71090.100000000006</v>
      </c>
      <c r="AA206" s="6">
        <f>ROUNDDOWN(('SPT-01'!$M222*'TABELA AUXILIAR'!$J$4+SUM('SPT-01'!$O$18:$O222))/2,0)*0.9</f>
        <v>77296.5</v>
      </c>
      <c r="AB206" s="6">
        <f>ROUNDDOWN(('SPT-01'!$M222*'TABELA AUXILIAR'!$J$5+SUM('SPT-01'!$P$18:$P222))/2,0)*0.9</f>
        <v>89623.8</v>
      </c>
      <c r="AD206" s="8">
        <v>127.2</v>
      </c>
      <c r="AE206" s="6">
        <f>ROUNDDOWN(('SPT-01'!$M214*'TABELA AUXILIAR'!$J$3+SUM('SPT-01'!$N$10:$N214))/2,0)*0.9</f>
        <v>68032.800000000003</v>
      </c>
      <c r="AF206" s="6">
        <f>ROUNDDOWN(('SPT-01'!$M214*'TABELA AUXILIAR'!$J$4+SUM('SPT-01'!$O$10:$O214))/2,0)*0.9</f>
        <v>73975.5</v>
      </c>
      <c r="AG206" s="6">
        <f>ROUNDDOWN(('SPT-01'!$M214*'TABELA AUXILIAR'!$J$5+SUM('SPT-01'!$P$10:$P214))/2,0)*0.9</f>
        <v>85782.6</v>
      </c>
    </row>
    <row r="207" spans="20:33" x14ac:dyDescent="0.25">
      <c r="U207" s="6">
        <f>ROUNDDOWN(('SPT-01'!$M231*'TABELA AUXILIAR'!$J$3+SUM('SPT-01'!$N$26:$N231))/2,0)*0.9</f>
        <v>68085</v>
      </c>
      <c r="V207" s="6">
        <f>ROUNDDOWN(('SPT-01'!$M231*'TABELA AUXILIAR'!$J$4+SUM('SPT-01'!$O$26:$O231))/2,0)*0.9</f>
        <v>73879.199999999997</v>
      </c>
      <c r="W207" s="6">
        <f>ROUNDDOWN(('SPT-01'!$M231*'TABELA AUXILIAR'!$J$5+SUM('SPT-01'!$P$26:$P231))/2,0)*0.9</f>
        <v>85286.7</v>
      </c>
      <c r="Z207" s="6">
        <f>ROUNDDOWN(('SPT-01'!$M223*'TABELA AUXILIAR'!$J$3+SUM('SPT-01'!$N$18:$N223))/2,0)*0.9</f>
        <v>69214.5</v>
      </c>
      <c r="AA207" s="6">
        <f>ROUNDDOWN(('SPT-01'!$M223*'TABELA AUXILIAR'!$J$4+SUM('SPT-01'!$O$18:$O223))/2,0)*0.9</f>
        <v>75105.900000000009</v>
      </c>
      <c r="AB207" s="6">
        <f>ROUNDDOWN(('SPT-01'!$M223*'TABELA AUXILIAR'!$J$5+SUM('SPT-01'!$P$18:$P223))/2,0)*0.9</f>
        <v>86703.3</v>
      </c>
      <c r="AD207" s="8">
        <v>127.8</v>
      </c>
      <c r="AE207" s="6">
        <f>ROUNDDOWN(('SPT-01'!$M215*'TABELA AUXILIAR'!$J$3+SUM('SPT-01'!$N$10:$N215))/2,0)*0.9</f>
        <v>68503.5</v>
      </c>
      <c r="AF207" s="6">
        <f>ROUNDDOWN(('SPT-01'!$M215*'TABELA AUXILIAR'!$J$4+SUM('SPT-01'!$O$10:$O215))/2,0)*0.9</f>
        <v>74486.7</v>
      </c>
      <c r="AG207" s="6">
        <f>ROUNDDOWN(('SPT-01'!$M215*'TABELA AUXILIAR'!$J$5+SUM('SPT-01'!$P$10:$P215))/2,0)*0.9</f>
        <v>86373</v>
      </c>
    </row>
    <row r="208" spans="20:33" x14ac:dyDescent="0.25">
      <c r="U208" s="6">
        <f>ROUNDDOWN(('SPT-01'!$M232*'TABELA AUXILIAR'!$J$3+SUM('SPT-01'!$N$26:$N232))/2,0)*0.9</f>
        <v>68085</v>
      </c>
      <c r="V208" s="6">
        <f>ROUNDDOWN(('SPT-01'!$M232*'TABELA AUXILIAR'!$J$4+SUM('SPT-01'!$O$26:$O232))/2,0)*0.9</f>
        <v>73879.199999999997</v>
      </c>
      <c r="W208" s="6">
        <f>ROUNDDOWN(('SPT-01'!$M232*'TABELA AUXILIAR'!$J$5+SUM('SPT-01'!$P$26:$P232))/2,0)*0.9</f>
        <v>85286.7</v>
      </c>
      <c r="Z208" s="6">
        <f>ROUNDDOWN(('SPT-01'!$M224*'TABELA AUXILIAR'!$J$3+SUM('SPT-01'!$N$18:$N224))/2,0)*0.9</f>
        <v>69214.5</v>
      </c>
      <c r="AA208" s="6">
        <f>ROUNDDOWN(('SPT-01'!$M224*'TABELA AUXILIAR'!$J$4+SUM('SPT-01'!$O$18:$O224))/2,0)*0.9</f>
        <v>75105.900000000009</v>
      </c>
      <c r="AB208" s="6">
        <f>ROUNDDOWN(('SPT-01'!$M224*'TABELA AUXILIAR'!$J$5+SUM('SPT-01'!$P$18:$P224))/2,0)*0.9</f>
        <v>86703.3</v>
      </c>
      <c r="AD208" s="8">
        <v>128.4</v>
      </c>
      <c r="AE208" s="6">
        <f>ROUNDDOWN(('SPT-01'!$M216*'TABELA AUXILIAR'!$J$3+SUM('SPT-01'!$N$10:$N216))/2,0)*0.9</f>
        <v>68974.2</v>
      </c>
      <c r="AF208" s="6">
        <f>ROUNDDOWN(('SPT-01'!$M216*'TABELA AUXILIAR'!$J$4+SUM('SPT-01'!$O$10:$O216))/2,0)*0.9</f>
        <v>74997.900000000009</v>
      </c>
      <c r="AG208" s="6">
        <f>ROUNDDOWN(('SPT-01'!$M216*'TABELA AUXILIAR'!$J$5+SUM('SPT-01'!$P$10:$P216))/2,0)*0.9</f>
        <v>86964.3</v>
      </c>
    </row>
    <row r="209" spans="21:33" x14ac:dyDescent="0.25">
      <c r="U209" s="6">
        <f>ROUNDDOWN(('SPT-01'!$M233*'TABELA AUXILIAR'!$J$3+SUM('SPT-01'!$N$26:$N233))/2,0)*0.9</f>
        <v>68085</v>
      </c>
      <c r="V209" s="6">
        <f>ROUNDDOWN(('SPT-01'!$M233*'TABELA AUXILIAR'!$J$4+SUM('SPT-01'!$O$26:$O233))/2,0)*0.9</f>
        <v>73879.199999999997</v>
      </c>
      <c r="W209" s="6">
        <f>ROUNDDOWN(('SPT-01'!$M233*'TABELA AUXILIAR'!$J$5+SUM('SPT-01'!$P$26:$P233))/2,0)*0.9</f>
        <v>85286.7</v>
      </c>
      <c r="Z209" s="6">
        <f>ROUNDDOWN(('SPT-01'!$M225*'TABELA AUXILIAR'!$J$3+SUM('SPT-01'!$N$18:$N225))/2,0)*0.9</f>
        <v>69214.5</v>
      </c>
      <c r="AA209" s="6">
        <f>ROUNDDOWN(('SPT-01'!$M225*'TABELA AUXILIAR'!$J$4+SUM('SPT-01'!$O$18:$O225))/2,0)*0.9</f>
        <v>75105.900000000009</v>
      </c>
      <c r="AB209" s="6">
        <f>ROUNDDOWN(('SPT-01'!$M225*'TABELA AUXILIAR'!$J$5+SUM('SPT-01'!$P$18:$P225))/2,0)*0.9</f>
        <v>86703.3</v>
      </c>
      <c r="AD209" s="8">
        <v>129</v>
      </c>
      <c r="AE209" s="6">
        <f>ROUNDDOWN(('SPT-01'!$M217*'TABELA AUXILIAR'!$J$3+SUM('SPT-01'!$N$10:$N217))/2,0)*0.9</f>
        <v>69446.7</v>
      </c>
      <c r="AF209" s="6">
        <f>ROUNDDOWN(('SPT-01'!$M217*'TABELA AUXILIAR'!$J$4+SUM('SPT-01'!$O$10:$O217))/2,0)*0.9</f>
        <v>75510.900000000009</v>
      </c>
      <c r="AG209" s="6">
        <f>ROUNDDOWN(('SPT-01'!$M217*'TABELA AUXILIAR'!$J$5+SUM('SPT-01'!$P$10:$P217))/2,0)*0.9</f>
        <v>87558.3</v>
      </c>
    </row>
    <row r="210" spans="21:33" x14ac:dyDescent="0.25">
      <c r="U210" s="6">
        <f>ROUNDDOWN(('SPT-01'!$M234*'TABELA AUXILIAR'!$J$3+SUM('SPT-01'!$N$26:$N234))/2,0)*0.9</f>
        <v>68085</v>
      </c>
      <c r="V210" s="6">
        <f>ROUNDDOWN(('SPT-01'!$M234*'TABELA AUXILIAR'!$J$4+SUM('SPT-01'!$O$26:$O234))/2,0)*0.9</f>
        <v>73879.199999999997</v>
      </c>
      <c r="W210" s="6">
        <f>ROUNDDOWN(('SPT-01'!$M234*'TABELA AUXILIAR'!$J$5+SUM('SPT-01'!$P$26:$P234))/2,0)*0.9</f>
        <v>85286.7</v>
      </c>
      <c r="Z210" s="6">
        <f>ROUNDDOWN(('SPT-01'!$M226*'TABELA AUXILIAR'!$J$3+SUM('SPT-01'!$N$18:$N226))/2,0)*0.9</f>
        <v>69214.5</v>
      </c>
      <c r="AA210" s="6">
        <f>ROUNDDOWN(('SPT-01'!$M226*'TABELA AUXILIAR'!$J$4+SUM('SPT-01'!$O$18:$O226))/2,0)*0.9</f>
        <v>75105.900000000009</v>
      </c>
      <c r="AB210" s="6">
        <f>ROUNDDOWN(('SPT-01'!$M226*'TABELA AUXILIAR'!$J$5+SUM('SPT-01'!$P$18:$P226))/2,0)*0.9</f>
        <v>86703.3</v>
      </c>
      <c r="AD210" s="8">
        <v>129.6</v>
      </c>
      <c r="AE210" s="6">
        <f>ROUNDDOWN(('SPT-01'!$M218*'TABELA AUXILIAR'!$J$3+SUM('SPT-01'!$N$10:$N218))/2,0)*0.9</f>
        <v>69921</v>
      </c>
      <c r="AF210" s="6">
        <f>ROUNDDOWN(('SPT-01'!$M218*'TABELA AUXILIAR'!$J$4+SUM('SPT-01'!$O$10:$O218))/2,0)*0.9</f>
        <v>76025.7</v>
      </c>
      <c r="AG210" s="6">
        <f>ROUNDDOWN(('SPT-01'!$M218*'TABELA AUXILIAR'!$J$5+SUM('SPT-01'!$P$10:$P218))/2,0)*0.9</f>
        <v>88153.2</v>
      </c>
    </row>
    <row r="211" spans="21:33" x14ac:dyDescent="0.25">
      <c r="U211" s="6">
        <f>ROUNDDOWN(('SPT-01'!$M235*'TABELA AUXILIAR'!$J$3+SUM('SPT-01'!$N$26:$N235))/2,0)*0.9</f>
        <v>68085</v>
      </c>
      <c r="V211" s="6">
        <f>ROUNDDOWN(('SPT-01'!$M235*'TABELA AUXILIAR'!$J$4+SUM('SPT-01'!$O$26:$O235))/2,0)*0.9</f>
        <v>73879.199999999997</v>
      </c>
      <c r="W211" s="6">
        <f>ROUNDDOWN(('SPT-01'!$M235*'TABELA AUXILIAR'!$J$5+SUM('SPT-01'!$P$26:$P235))/2,0)*0.9</f>
        <v>85286.7</v>
      </c>
      <c r="Z211" s="6">
        <f>ROUNDDOWN(('SPT-01'!$M227*'TABELA AUXILIAR'!$J$3+SUM('SPT-01'!$N$18:$N227))/2,0)*0.9</f>
        <v>69214.5</v>
      </c>
      <c r="AA211" s="6">
        <f>ROUNDDOWN(('SPT-01'!$M227*'TABELA AUXILIAR'!$J$4+SUM('SPT-01'!$O$18:$O227))/2,0)*0.9</f>
        <v>75105.900000000009</v>
      </c>
      <c r="AB211" s="6">
        <f>ROUNDDOWN(('SPT-01'!$M227*'TABELA AUXILIAR'!$J$5+SUM('SPT-01'!$P$18:$P227))/2,0)*0.9</f>
        <v>86703.3</v>
      </c>
      <c r="AD211" s="8">
        <v>130.19999999999999</v>
      </c>
      <c r="AE211" s="6">
        <f>ROUNDDOWN(('SPT-01'!$M219*'TABELA AUXILIAR'!$J$3+SUM('SPT-01'!$N$10:$N219))/2,0)*0.9</f>
        <v>70396.2</v>
      </c>
      <c r="AF211" s="6">
        <f>ROUNDDOWN(('SPT-01'!$M219*'TABELA AUXILIAR'!$J$4+SUM('SPT-01'!$O$10:$O219))/2,0)*0.9</f>
        <v>76541.400000000009</v>
      </c>
      <c r="AG211" s="6">
        <f>ROUNDDOWN(('SPT-01'!$M219*'TABELA AUXILIAR'!$J$5+SUM('SPT-01'!$P$10:$P219))/2,0)*0.9</f>
        <v>88749.900000000009</v>
      </c>
    </row>
    <row r="212" spans="21:33" x14ac:dyDescent="0.25">
      <c r="U212" s="6">
        <f>ROUNDDOWN(('SPT-01'!$M236*'TABELA AUXILIAR'!$J$3+SUM('SPT-01'!$N$26:$N236))/2,0)*0.9</f>
        <v>68085</v>
      </c>
      <c r="V212" s="6">
        <f>ROUNDDOWN(('SPT-01'!$M236*'TABELA AUXILIAR'!$J$4+SUM('SPT-01'!$O$26:$O236))/2,0)*0.9</f>
        <v>73879.199999999997</v>
      </c>
      <c r="W212" s="6">
        <f>ROUNDDOWN(('SPT-01'!$M236*'TABELA AUXILIAR'!$J$5+SUM('SPT-01'!$P$26:$P236))/2,0)*0.9</f>
        <v>85286.7</v>
      </c>
      <c r="Z212" s="6">
        <f>ROUNDDOWN(('SPT-01'!$M228*'TABELA AUXILIAR'!$J$3+SUM('SPT-01'!$N$18:$N228))/2,0)*0.9</f>
        <v>69214.5</v>
      </c>
      <c r="AA212" s="6">
        <f>ROUNDDOWN(('SPT-01'!$M228*'TABELA AUXILIAR'!$J$4+SUM('SPT-01'!$O$18:$O228))/2,0)*0.9</f>
        <v>75105.900000000009</v>
      </c>
      <c r="AB212" s="6">
        <f>ROUNDDOWN(('SPT-01'!$M228*'TABELA AUXILIAR'!$J$5+SUM('SPT-01'!$P$18:$P228))/2,0)*0.9</f>
        <v>86703.3</v>
      </c>
      <c r="AD212" s="8">
        <v>130.80000000000001</v>
      </c>
      <c r="AE212" s="6">
        <f>ROUNDDOWN(('SPT-01'!$M220*'TABELA AUXILIAR'!$J$3+SUM('SPT-01'!$N$10:$N220))/2,0)*0.9</f>
        <v>70872.3</v>
      </c>
      <c r="AF212" s="6">
        <f>ROUNDDOWN(('SPT-01'!$M220*'TABELA AUXILIAR'!$J$4+SUM('SPT-01'!$O$10:$O220))/2,0)*0.9</f>
        <v>77058.900000000009</v>
      </c>
      <c r="AG212" s="6">
        <f>ROUNDDOWN(('SPT-01'!$M220*'TABELA AUXILIAR'!$J$5+SUM('SPT-01'!$P$10:$P220))/2,0)*0.9</f>
        <v>89347.5</v>
      </c>
    </row>
    <row r="213" spans="21:33" x14ac:dyDescent="0.25">
      <c r="U213" s="6">
        <f>ROUNDDOWN(('SPT-01'!$M237*'TABELA AUXILIAR'!$J$3+SUM('SPT-01'!$N$26:$N237))/2,0)*0.9</f>
        <v>68085</v>
      </c>
      <c r="V213" s="6">
        <f>ROUNDDOWN(('SPT-01'!$M237*'TABELA AUXILIAR'!$J$4+SUM('SPT-01'!$O$26:$O237))/2,0)*0.9</f>
        <v>73879.199999999997</v>
      </c>
      <c r="W213" s="6">
        <f>ROUNDDOWN(('SPT-01'!$M237*'TABELA AUXILIAR'!$J$5+SUM('SPT-01'!$P$26:$P237))/2,0)*0.9</f>
        <v>85286.7</v>
      </c>
      <c r="Z213" s="6">
        <f>ROUNDDOWN(('SPT-01'!$M229*'TABELA AUXILIAR'!$J$3+SUM('SPT-01'!$N$18:$N229))/2,0)*0.9</f>
        <v>69214.5</v>
      </c>
      <c r="AA213" s="6">
        <f>ROUNDDOWN(('SPT-01'!$M229*'TABELA AUXILIAR'!$J$4+SUM('SPT-01'!$O$18:$O229))/2,0)*0.9</f>
        <v>75105.900000000009</v>
      </c>
      <c r="AB213" s="6">
        <f>ROUNDDOWN(('SPT-01'!$M229*'TABELA AUXILIAR'!$J$5+SUM('SPT-01'!$P$18:$P229))/2,0)*0.9</f>
        <v>86703.3</v>
      </c>
      <c r="AD213" s="8">
        <v>131.4</v>
      </c>
      <c r="AE213" s="6">
        <f>ROUNDDOWN(('SPT-01'!$M221*'TABELA AUXILIAR'!$J$3+SUM('SPT-01'!$N$10:$N221))/2,0)*0.9</f>
        <v>71349.3</v>
      </c>
      <c r="AF213" s="6">
        <f>ROUNDDOWN(('SPT-01'!$M221*'TABELA AUXILIAR'!$J$4+SUM('SPT-01'!$O$10:$O221))/2,0)*0.9</f>
        <v>77577.3</v>
      </c>
      <c r="AG213" s="6">
        <f>ROUNDDOWN(('SPT-01'!$M221*'TABELA AUXILIAR'!$J$5+SUM('SPT-01'!$P$10:$P221))/2,0)*0.9</f>
        <v>89946.900000000009</v>
      </c>
    </row>
    <row r="214" spans="21:33" x14ac:dyDescent="0.25">
      <c r="U214" s="6">
        <f>ROUNDDOWN(('SPT-01'!$M238*'TABELA AUXILIAR'!$J$3+SUM('SPT-01'!$N$26:$N238))/2,0)*0.9</f>
        <v>68085</v>
      </c>
      <c r="V214" s="6">
        <f>ROUNDDOWN(('SPT-01'!$M238*'TABELA AUXILIAR'!$J$4+SUM('SPT-01'!$O$26:$O238))/2,0)*0.9</f>
        <v>73879.199999999997</v>
      </c>
      <c r="W214" s="6">
        <f>ROUNDDOWN(('SPT-01'!$M238*'TABELA AUXILIAR'!$J$5+SUM('SPT-01'!$P$26:$P238))/2,0)*0.9</f>
        <v>85286.7</v>
      </c>
      <c r="Z214" s="6">
        <f>ROUNDDOWN(('SPT-01'!$M230*'TABELA AUXILIAR'!$J$3+SUM('SPT-01'!$N$18:$N230))/2,0)*0.9</f>
        <v>69214.5</v>
      </c>
      <c r="AA214" s="6">
        <f>ROUNDDOWN(('SPT-01'!$M230*'TABELA AUXILIAR'!$J$4+SUM('SPT-01'!$O$18:$O230))/2,0)*0.9</f>
        <v>75105.900000000009</v>
      </c>
      <c r="AB214" s="6">
        <f>ROUNDDOWN(('SPT-01'!$M230*'TABELA AUXILIAR'!$J$5+SUM('SPT-01'!$P$18:$P230))/2,0)*0.9</f>
        <v>86703.3</v>
      </c>
      <c r="AD214" s="8">
        <v>132</v>
      </c>
      <c r="AE214" s="6">
        <f>ROUNDDOWN(('SPT-01'!$M222*'TABELA AUXILIAR'!$J$3+SUM('SPT-01'!$N$10:$N222))/2,0)*0.9</f>
        <v>71828.100000000006</v>
      </c>
      <c r="AF214" s="6">
        <f>ROUNDDOWN(('SPT-01'!$M222*'TABELA AUXILIAR'!$J$4+SUM('SPT-01'!$O$10:$O222))/2,0)*0.9</f>
        <v>78096.600000000006</v>
      </c>
      <c r="AG214" s="6">
        <f>ROUNDDOWN(('SPT-01'!$M222*'TABELA AUXILIAR'!$J$5+SUM('SPT-01'!$P$10:$P222))/2,0)*0.9</f>
        <v>90548.1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DD4C-2CAD-4A10-8AD8-4645BDBA964D}">
  <dimension ref="A1:V222"/>
  <sheetViews>
    <sheetView workbookViewId="0">
      <pane ySplit="1" topLeftCell="A62" activePane="bottomLeft" state="frozen"/>
      <selection pane="bottomLeft" activeCell="C76" sqref="C76:C222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16384" width="9.140625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34</v>
      </c>
      <c r="D2" s="1" t="s">
        <v>18</v>
      </c>
      <c r="E2" s="1" t="s">
        <v>2</v>
      </c>
      <c r="F2" s="1" cm="1">
        <f t="array" ref="F2">_xlfn.XLOOKUP(D2,'TABELA AUXILIAR'!$A$2:$A$5,IF('SPT-01'!A2&lt;3,'TABELA AUXILIAR'!$B$2:$B$5,'TABELA AUXILIAR'!$C$2:$C$5),"",0,1)</f>
        <v>18.5</v>
      </c>
      <c r="G2" s="6">
        <f>C2 / MIN(2, SQRT(101.3/J2))</f>
        <v>17</v>
      </c>
      <c r="H2" s="2">
        <f>27.5+9.2*LOG10(C2)</f>
        <v>41.589606036788744</v>
      </c>
      <c r="I2" s="2">
        <f>IF(D2="Areias",101.3*0.47*(G2)^0.8,101.3*0.15*(G2))</f>
        <v>459.26826846786327</v>
      </c>
      <c r="J2" s="1">
        <f>(B2-A2)/2*F2</f>
        <v>5.55</v>
      </c>
      <c r="K2" s="1">
        <f>(1-SIN(RADIANS(H2)))*(I2/J2)^SIN(RADIANS(H2))*TAN(RADIANS(H2))</f>
        <v>5.5948260060674793</v>
      </c>
      <c r="L2" s="1">
        <f>K2*J2</f>
        <v>31.051284333674509</v>
      </c>
      <c r="M2" s="1">
        <f>0.59*(G2*101.3/J2)^0.8*J2</f>
        <v>322.52048310344361</v>
      </c>
      <c r="N2" s="1">
        <f>$L2*'TABELA AUXILIAR'!$I$3*(B2-A2)</f>
        <v>70.051697456769688</v>
      </c>
      <c r="O2" s="1">
        <f>$L2*'TABELA AUXILIAR'!$I$4*(B2-A2)</f>
        <v>76.0135440488352</v>
      </c>
      <c r="P2" s="1">
        <f>$L2*'TABELA AUXILIAR'!$I$5*(B2-A2)</f>
        <v>87.750929526964157</v>
      </c>
      <c r="Q2" s="1">
        <f>$M2*'TABELA AUXILIAR'!$J$3+SUM(N$2:N2)</f>
        <v>434.49984336366094</v>
      </c>
      <c r="R2" s="1">
        <f>$M2*'TABELA AUXILIAR'!$J$4+SUM(O$2:O2)</f>
        <v>501.74058174538084</v>
      </c>
      <c r="S2" s="1">
        <f>$M2*'TABELA AUXILIAR'!$J$5+SUM(P$2:P2)</f>
        <v>655.38697978902485</v>
      </c>
      <c r="T2" s="2">
        <f>ROUNDDOWN(Q2/2,0)</f>
        <v>217</v>
      </c>
      <c r="U2" s="2">
        <f t="shared" ref="U2:V2" si="0">ROUNDDOWN(R2/2,0)</f>
        <v>250</v>
      </c>
      <c r="V2" s="2">
        <f t="shared" si="0"/>
        <v>327</v>
      </c>
    </row>
    <row r="3" spans="1:22" x14ac:dyDescent="0.25">
      <c r="A3" s="1">
        <v>0.6</v>
      </c>
      <c r="B3" s="1">
        <v>1.2</v>
      </c>
      <c r="C3" s="1">
        <v>50</v>
      </c>
      <c r="D3" s="1" t="s">
        <v>18</v>
      </c>
      <c r="E3" s="1" t="s">
        <v>2</v>
      </c>
      <c r="F3" s="1" cm="1">
        <f t="array" ref="F3">_xlfn.XLOOKUP(D3,'TABELA AUXILIAR'!$A$2:$A$5,IF('SPT-01'!A3&lt;3,'TABELA AUXILIAR'!$B$2:$B$5,'TABELA AUXILIAR'!$C$2:$C$5),"",0,1)</f>
        <v>18.5</v>
      </c>
      <c r="G3" s="6">
        <f t="shared" ref="G3:G66" si="1">C3 / MIN(2, SQRT(101.3/J3))</f>
        <v>25</v>
      </c>
      <c r="H3" s="2">
        <f t="shared" ref="H3:H66" si="2">27.5+9.2*LOG10(C3)</f>
        <v>43.13052403989137</v>
      </c>
      <c r="I3" s="2">
        <f t="shared" ref="I3:I66" si="3">IF(D3="Areias",101.3*0.47*(G3)^0.8,101.3*0.15*(G3))</f>
        <v>625.25807647733882</v>
      </c>
      <c r="J3" s="1">
        <f>J2+(B2-A2)/2*F2+(B3-A3)/2*F3</f>
        <v>16.649999999999999</v>
      </c>
      <c r="K3" s="1">
        <f t="shared" ref="K3:K66" si="4">(1-SIN(RADIANS(H3)))*(I3/J3)^SIN(RADIANS(H3))*TAN(RADIANS(H3))</f>
        <v>3.5343991819907079</v>
      </c>
      <c r="L3" s="1">
        <f t="shared" ref="L3:L66" si="5">K3*J3</f>
        <v>58.847746380145281</v>
      </c>
      <c r="M3" s="1">
        <f t="shared" ref="M3:M66" si="6">0.59*(G3*101.3/J3)^0.8*J3</f>
        <v>546.98374760197623</v>
      </c>
      <c r="N3" s="1">
        <f>$L3*'TABELA AUXILIAR'!$I$3*(B3-A3)</f>
        <v>132.76051583360774</v>
      </c>
      <c r="O3" s="1">
        <f>$L3*'TABELA AUXILIAR'!$I$4*(B3-A3)</f>
        <v>144.05928313859565</v>
      </c>
      <c r="P3" s="1">
        <f>$L3*'TABELA AUXILIAR'!$I$5*(B3-A3)</f>
        <v>166.30373127029057</v>
      </c>
      <c r="Q3" s="1">
        <f>$M3*'TABELA AUXILIAR'!$J$3+SUM(N$2:N3)</f>
        <v>820.90384808061049</v>
      </c>
      <c r="R3" s="1">
        <f>$M3*'TABELA AUXILIAR'!$J$4+SUM(O$2:O3)</f>
        <v>942.09137402203942</v>
      </c>
      <c r="S3" s="1">
        <f>$M3*'TABELA AUXILIAR'!$J$5+SUM(P$2:P3)</f>
        <v>1216.7460565767328</v>
      </c>
      <c r="T3" s="2">
        <f t="shared" ref="T3:T66" si="7">ROUNDDOWN(Q3/2,0)</f>
        <v>410</v>
      </c>
      <c r="U3" s="2">
        <f t="shared" ref="U3:U66" si="8">ROUNDDOWN(R3/2,0)</f>
        <v>471</v>
      </c>
      <c r="V3" s="2">
        <f t="shared" ref="V3:V66" si="9">ROUNDDOWN(S3/2,0)</f>
        <v>608</v>
      </c>
    </row>
    <row r="4" spans="1:22" x14ac:dyDescent="0.25">
      <c r="A4" s="1">
        <v>1.2</v>
      </c>
      <c r="B4" s="1">
        <v>1.8</v>
      </c>
      <c r="C4" s="1">
        <v>21</v>
      </c>
      <c r="D4" s="1" t="s">
        <v>18</v>
      </c>
      <c r="E4" s="1" t="s">
        <v>2</v>
      </c>
      <c r="F4" s="1" cm="1">
        <f t="array" ref="F4">_xlfn.XLOOKUP(D4,'TABELA AUXILIAR'!$A$2:$A$5,IF('SPT-01'!A4&lt;3,'TABELA AUXILIAR'!$B$2:$B$5,'TABELA AUXILIAR'!$C$2:$C$5),"",0,1)</f>
        <v>18.5</v>
      </c>
      <c r="G4" s="6">
        <f t="shared" si="1"/>
        <v>10.991224175882389</v>
      </c>
      <c r="H4" s="2">
        <f t="shared" si="2"/>
        <v>39.66441751155206</v>
      </c>
      <c r="I4" s="2">
        <f t="shared" si="3"/>
        <v>323.999362672583</v>
      </c>
      <c r="J4" s="1">
        <f t="shared" ref="J4:J67" si="10">J3+(B3-A3)/2*F3+(B4-A4)/2*F4</f>
        <v>27.75</v>
      </c>
      <c r="K4" s="1">
        <f t="shared" si="4"/>
        <v>1.439586204489409</v>
      </c>
      <c r="L4" s="1">
        <f t="shared" si="5"/>
        <v>39.948517174581099</v>
      </c>
      <c r="M4" s="1">
        <f t="shared" si="6"/>
        <v>313.92725174145215</v>
      </c>
      <c r="N4" s="1">
        <f>$L4*'TABELA AUXILIAR'!$I$3*(B4-A4)</f>
        <v>90.12385474585497</v>
      </c>
      <c r="O4" s="1">
        <f>$L4*'TABELA AUXILIAR'!$I$4*(B4-A4)</f>
        <v>97.793970043374557</v>
      </c>
      <c r="P4" s="1">
        <f>$L4*'TABELA AUXILIAR'!$I$5*(B4-A4)</f>
        <v>112.8945095353662</v>
      </c>
      <c r="Q4" s="1">
        <f>$M4*'TABELA AUXILIAR'!$J$3+SUM(N$2:N4)</f>
        <v>647.67386250407333</v>
      </c>
      <c r="R4" s="1">
        <f>$M4*'TABELA AUXILIAR'!$J$4+SUM(O$2:O4)</f>
        <v>732.25076952952224</v>
      </c>
      <c r="S4" s="1">
        <f>$M4*'TABELA AUXILIAR'!$J$5+SUM(P$2:P4)</f>
        <v>919.46113339757676</v>
      </c>
      <c r="T4" s="2">
        <f t="shared" si="7"/>
        <v>323</v>
      </c>
      <c r="U4" s="2">
        <f t="shared" si="8"/>
        <v>366</v>
      </c>
      <c r="V4" s="2">
        <f t="shared" si="9"/>
        <v>459</v>
      </c>
    </row>
    <row r="5" spans="1:22" x14ac:dyDescent="0.25">
      <c r="A5" s="1">
        <v>1.8</v>
      </c>
      <c r="B5" s="1">
        <v>2.4</v>
      </c>
      <c r="C5" s="1">
        <v>16</v>
      </c>
      <c r="D5" s="1" t="s">
        <v>18</v>
      </c>
      <c r="E5" s="1" t="s">
        <v>3</v>
      </c>
      <c r="F5" s="1" cm="1">
        <f t="array" ref="F5">_xlfn.XLOOKUP(D5,'TABELA AUXILIAR'!$A$2:$A$5,IF('SPT-01'!A5&lt;3,'TABELA AUXILIAR'!$B$2:$B$5,'TABELA AUXILIAR'!$C$2:$C$5),"",0,1)</f>
        <v>18.5</v>
      </c>
      <c r="G5" s="6">
        <f t="shared" si="1"/>
        <v>9.9085652020500614</v>
      </c>
      <c r="H5" s="2">
        <f t="shared" si="2"/>
        <v>38.577903840434509</v>
      </c>
      <c r="I5" s="2">
        <f t="shared" si="3"/>
        <v>298.20568632904445</v>
      </c>
      <c r="J5" s="1">
        <f t="shared" si="10"/>
        <v>38.849999999999994</v>
      </c>
      <c r="K5" s="1">
        <f t="shared" si="4"/>
        <v>1.070129297733857</v>
      </c>
      <c r="L5" s="1">
        <f t="shared" si="5"/>
        <v>41.574523216960337</v>
      </c>
      <c r="M5" s="1">
        <f t="shared" si="6"/>
        <v>309.04832192307941</v>
      </c>
      <c r="N5" s="1">
        <f>$L5*'TABELA AUXILIAR'!$I$3*(B5-A5)</f>
        <v>93.7921243774625</v>
      </c>
      <c r="O5" s="1">
        <f>$L5*'TABELA AUXILIAR'!$I$4*(B5-A5)</f>
        <v>101.77443283511887</v>
      </c>
      <c r="P5" s="1">
        <f>$L5*'TABELA AUXILIAR'!$I$5*(B5-A5)</f>
        <v>117.48960261112988</v>
      </c>
      <c r="Q5" s="1">
        <f>$M5*'TABELA AUXILIAR'!$J$3+SUM(N$2:N5)</f>
        <v>735.95279618677466</v>
      </c>
      <c r="R5" s="1">
        <f>$M5*'TABELA AUXILIAR'!$J$4+SUM(O$2:O5)</f>
        <v>827.58501500438911</v>
      </c>
      <c r="S5" s="1">
        <f>$M5*'TABELA AUXILIAR'!$J$5+SUM(P$2:P5)</f>
        <v>1028.3638195283706</v>
      </c>
      <c r="T5" s="2">
        <f t="shared" si="7"/>
        <v>367</v>
      </c>
      <c r="U5" s="2">
        <f t="shared" si="8"/>
        <v>413</v>
      </c>
      <c r="V5" s="2">
        <f t="shared" si="9"/>
        <v>514</v>
      </c>
    </row>
    <row r="6" spans="1:22" x14ac:dyDescent="0.25">
      <c r="A6" s="1">
        <v>2.4</v>
      </c>
      <c r="B6" s="1">
        <v>3</v>
      </c>
      <c r="C6" s="1">
        <v>27</v>
      </c>
      <c r="D6" s="1" t="s">
        <v>18</v>
      </c>
      <c r="E6" s="1" t="s">
        <v>3</v>
      </c>
      <c r="F6" s="1" cm="1">
        <f t="array" ref="F6">_xlfn.XLOOKUP(D6,'TABELA AUXILIAR'!$A$2:$A$5,IF('SPT-01'!A6&lt;3,'TABELA AUXILIAR'!$B$2:$B$5,'TABELA AUXILIAR'!$C$2:$C$5),"",0,1)</f>
        <v>18.5</v>
      </c>
      <c r="G6" s="6">
        <f t="shared" si="1"/>
        <v>18.959495975906496</v>
      </c>
      <c r="H6" s="2">
        <f t="shared" si="2"/>
        <v>40.668546630262682</v>
      </c>
      <c r="I6" s="2">
        <f t="shared" si="3"/>
        <v>501.15115256872861</v>
      </c>
      <c r="J6" s="1">
        <f t="shared" si="10"/>
        <v>49.949999999999989</v>
      </c>
      <c r="K6" s="1">
        <f t="shared" si="4"/>
        <v>1.3448584941586161</v>
      </c>
      <c r="L6" s="1">
        <f t="shared" si="5"/>
        <v>67.175681783222856</v>
      </c>
      <c r="M6" s="1">
        <f t="shared" si="6"/>
        <v>546.14516931922401</v>
      </c>
      <c r="N6" s="1">
        <f>$L6*'TABELA AUXILIAR'!$I$3*(B6-A6)</f>
        <v>151.54833810295079</v>
      </c>
      <c r="O6" s="1">
        <f>$L6*'TABELA AUXILIAR'!$I$4*(B6-A6)</f>
        <v>164.4460690053296</v>
      </c>
      <c r="P6" s="1">
        <f>$L6*'TABELA AUXILIAR'!$I$5*(B6-A6)</f>
        <v>189.83847671938784</v>
      </c>
      <c r="Q6" s="1">
        <f>$M6*'TABELA AUXILIAR'!$J$3+SUM(N$2:N6)</f>
        <v>1155.4205718473688</v>
      </c>
      <c r="R6" s="1">
        <f>$M6*'TABELA AUXILIAR'!$J$4+SUM(O$2:O6)</f>
        <v>1304.9989225726297</v>
      </c>
      <c r="S6" s="1">
        <f>$M6*'TABELA AUXILIAR'!$J$5+SUM(P$2:P6)</f>
        <v>1635.4927476649727</v>
      </c>
      <c r="T6" s="2">
        <f t="shared" si="7"/>
        <v>577</v>
      </c>
      <c r="U6" s="2">
        <f t="shared" si="8"/>
        <v>652</v>
      </c>
      <c r="V6" s="2">
        <f t="shared" si="9"/>
        <v>817</v>
      </c>
    </row>
    <row r="7" spans="1:22" x14ac:dyDescent="0.25">
      <c r="A7" s="1">
        <v>3</v>
      </c>
      <c r="B7" s="1">
        <v>3.6</v>
      </c>
      <c r="C7" s="1">
        <v>26</v>
      </c>
      <c r="D7" s="1" t="s">
        <v>18</v>
      </c>
      <c r="E7" s="1" t="s">
        <v>3</v>
      </c>
      <c r="F7" s="1" cm="1">
        <f t="array" ref="F7">_xlfn.XLOOKUP(D7,'TABELA AUXILIAR'!$A$2:$A$5,IF('SPT-01'!A7&lt;3,'TABELA AUXILIAR'!$B$2:$B$5,'TABELA AUXILIAR'!$C$2:$C$5),"",0,1)</f>
        <v>8.5</v>
      </c>
      <c r="G7" s="6">
        <f t="shared" si="1"/>
        <v>19.682023106471352</v>
      </c>
      <c r="H7" s="2">
        <f t="shared" si="2"/>
        <v>40.51775480133152</v>
      </c>
      <c r="I7" s="2">
        <f t="shared" si="3"/>
        <v>516.37248548323919</v>
      </c>
      <c r="J7" s="1">
        <f t="shared" si="10"/>
        <v>58.049999999999983</v>
      </c>
      <c r="K7" s="1">
        <f t="shared" si="4"/>
        <v>1.238471751543833</v>
      </c>
      <c r="L7" s="1">
        <f t="shared" si="5"/>
        <v>71.893285177119481</v>
      </c>
      <c r="M7" s="1">
        <f t="shared" si="6"/>
        <v>579.90359703842807</v>
      </c>
      <c r="N7" s="1">
        <f>$L7*'TABELA AUXILIAR'!$I$3*(B7-A7)</f>
        <v>162.19125135958157</v>
      </c>
      <c r="O7" s="1">
        <f>$L7*'TABELA AUXILIAR'!$I$4*(B7-A7)</f>
        <v>175.99476211358851</v>
      </c>
      <c r="P7" s="1">
        <f>$L7*'TABELA AUXILIAR'!$I$5*(B7-A7)</f>
        <v>203.17042391053968</v>
      </c>
      <c r="Q7" s="1">
        <f>$M7*'TABELA AUXILIAR'!$J$3+SUM(N$2:N7)</f>
        <v>1355.7588465296508</v>
      </c>
      <c r="R7" s="1">
        <f>$M7*'TABELA AUXILIAR'!$J$4+SUM(O$2:O7)</f>
        <v>1525.5548092755675</v>
      </c>
      <c r="S7" s="1">
        <f>$M7*'TABELA AUXILIAR'!$J$5+SUM(P$2:P7)</f>
        <v>1898.0780043613117</v>
      </c>
      <c r="T7" s="2">
        <f t="shared" si="7"/>
        <v>677</v>
      </c>
      <c r="U7" s="2">
        <f t="shared" si="8"/>
        <v>762</v>
      </c>
      <c r="V7" s="2">
        <f t="shared" si="9"/>
        <v>949</v>
      </c>
    </row>
    <row r="8" spans="1:22" x14ac:dyDescent="0.25">
      <c r="A8" s="1">
        <v>3.6</v>
      </c>
      <c r="B8" s="1">
        <v>4.2</v>
      </c>
      <c r="C8" s="1">
        <v>47</v>
      </c>
      <c r="D8" s="1" t="s">
        <v>19</v>
      </c>
      <c r="E8" s="1" t="s">
        <v>4</v>
      </c>
      <c r="F8" s="1" cm="1">
        <f t="array" ref="F8">_xlfn.XLOOKUP(D8,'TABELA AUXILIAR'!$A$2:$A$5,IF('SPT-01'!A8&lt;3,'TABELA AUXILIAR'!$B$2:$B$5,'TABELA AUXILIAR'!$C$2:$C$5),"",0,1)</f>
        <v>10.5</v>
      </c>
      <c r="G8" s="6">
        <f t="shared" si="1"/>
        <v>37.284921220839728</v>
      </c>
      <c r="H8" s="2">
        <f t="shared" si="2"/>
        <v>42.883300293008602</v>
      </c>
      <c r="I8" s="2">
        <f t="shared" si="3"/>
        <v>566.54437795065962</v>
      </c>
      <c r="J8" s="1">
        <f t="shared" si="10"/>
        <v>63.749999999999979</v>
      </c>
      <c r="K8" s="1">
        <f t="shared" si="4"/>
        <v>1.3121301926119995</v>
      </c>
      <c r="L8" s="1">
        <f t="shared" si="5"/>
        <v>83.648299779014934</v>
      </c>
      <c r="M8" s="1">
        <f t="shared" si="6"/>
        <v>985.05887820263081</v>
      </c>
      <c r="N8" s="1">
        <f>$L8*'TABELA AUXILIAR'!$I$3*(B8-A8)</f>
        <v>188.71056430145771</v>
      </c>
      <c r="O8" s="1">
        <f>$L8*'TABELA AUXILIAR'!$I$4*(B8-A8)</f>
        <v>204.77103785902858</v>
      </c>
      <c r="P8" s="1">
        <f>$L8*'TABELA AUXILIAR'!$I$5*(B8-A8)</f>
        <v>236.39009517549624</v>
      </c>
      <c r="Q8" s="1">
        <f>$M8*'TABELA AUXILIAR'!$J$3+SUM(N$2:N8)</f>
        <v>2002.2948785466576</v>
      </c>
      <c r="R8" s="1">
        <f>$M8*'TABELA AUXILIAR'!$J$4+SUM(O$2:O8)</f>
        <v>2265.1308182713437</v>
      </c>
      <c r="S8" s="1">
        <f>$M8*'TABELA AUXILIAR'!$J$5+SUM(P$2:P8)</f>
        <v>2847.5413943858048</v>
      </c>
      <c r="T8" s="2">
        <f t="shared" si="7"/>
        <v>1001</v>
      </c>
      <c r="U8" s="2">
        <f t="shared" si="8"/>
        <v>1132</v>
      </c>
      <c r="V8" s="2">
        <f t="shared" si="9"/>
        <v>1423</v>
      </c>
    </row>
    <row r="9" spans="1:22" x14ac:dyDescent="0.25">
      <c r="A9" s="1">
        <v>4.2</v>
      </c>
      <c r="B9" s="1">
        <v>4.8</v>
      </c>
      <c r="C9" s="1">
        <v>50</v>
      </c>
      <c r="D9" s="1" t="s">
        <v>19</v>
      </c>
      <c r="E9" s="1" t="s">
        <v>4</v>
      </c>
      <c r="F9" s="1" cm="1">
        <f t="array" ref="F9">_xlfn.XLOOKUP(D9,'TABELA AUXILIAR'!$A$2:$A$5,IF('SPT-01'!A9&lt;3,'TABELA AUXILIAR'!$B$2:$B$5,'TABELA AUXILIAR'!$C$2:$C$5),"",0,1)</f>
        <v>10.5</v>
      </c>
      <c r="G9" s="6">
        <f t="shared" si="1"/>
        <v>41.578551118687599</v>
      </c>
      <c r="H9" s="2">
        <f t="shared" si="2"/>
        <v>43.13052403989137</v>
      </c>
      <c r="I9" s="2">
        <f t="shared" si="3"/>
        <v>631.786084248458</v>
      </c>
      <c r="J9" s="1">
        <f t="shared" si="10"/>
        <v>70.049999999999969</v>
      </c>
      <c r="K9" s="1">
        <f t="shared" si="4"/>
        <v>1.3329016062875618</v>
      </c>
      <c r="L9" s="1">
        <f t="shared" si="5"/>
        <v>93.36975752044367</v>
      </c>
      <c r="M9" s="1">
        <f t="shared" si="6"/>
        <v>1095.2586127926913</v>
      </c>
      <c r="N9" s="1">
        <f>$L9*'TABELA AUXILIAR'!$I$3*(B9-A9)</f>
        <v>210.64217296612077</v>
      </c>
      <c r="O9" s="1">
        <f>$L9*'TABELA AUXILIAR'!$I$4*(B9-A9)</f>
        <v>228.56916641004599</v>
      </c>
      <c r="P9" s="1">
        <f>$L9*'TABELA AUXILIAR'!$I$5*(B9-A9)</f>
        <v>263.86293475277364</v>
      </c>
      <c r="Q9" s="1">
        <f>$M9*'TABELA AUXILIAR'!$J$3+SUM(N$2:N9)</f>
        <v>2337.4627515995471</v>
      </c>
      <c r="R9" s="1">
        <f>$M9*'TABELA AUXILIAR'!$J$4+SUM(O$2:O9)</f>
        <v>2639.1636343402697</v>
      </c>
      <c r="S9" s="1">
        <f>$M9*'TABELA AUXILIAR'!$J$5+SUM(P$2:P9)</f>
        <v>3305.3558620170852</v>
      </c>
      <c r="T9" s="2">
        <f t="shared" si="7"/>
        <v>1168</v>
      </c>
      <c r="U9" s="2">
        <f t="shared" si="8"/>
        <v>1319</v>
      </c>
      <c r="V9" s="2">
        <f t="shared" si="9"/>
        <v>1652</v>
      </c>
    </row>
    <row r="10" spans="1:22" x14ac:dyDescent="0.25">
      <c r="A10" s="1">
        <v>4.8</v>
      </c>
      <c r="B10" s="1">
        <v>5.4</v>
      </c>
      <c r="C10" s="1">
        <v>17</v>
      </c>
      <c r="D10" s="1" t="s">
        <v>19</v>
      </c>
      <c r="E10" s="1" t="s">
        <v>4</v>
      </c>
      <c r="F10" s="1" cm="1">
        <f t="array" ref="F10">_xlfn.XLOOKUP(D10,'TABELA AUXILIAR'!$A$2:$A$5,IF('SPT-01'!A10&lt;3,'TABELA AUXILIAR'!$B$2:$B$5,'TABELA AUXILIAR'!$C$2:$C$5),"",0,1)</f>
        <v>10.5</v>
      </c>
      <c r="G10" s="6">
        <f t="shared" si="1"/>
        <v>14.75872088134019</v>
      </c>
      <c r="H10" s="2">
        <f t="shared" si="2"/>
        <v>38.820130076680115</v>
      </c>
      <c r="I10" s="2">
        <f t="shared" si="3"/>
        <v>224.25876379196418</v>
      </c>
      <c r="J10" s="1">
        <f t="shared" si="10"/>
        <v>76.349999999999966</v>
      </c>
      <c r="K10" s="1">
        <f t="shared" si="4"/>
        <v>0.58989173181352894</v>
      </c>
      <c r="L10" s="1">
        <f t="shared" si="5"/>
        <v>45.038233723962918</v>
      </c>
      <c r="M10" s="1">
        <f t="shared" si="6"/>
        <v>486.56442418085936</v>
      </c>
      <c r="N10" s="1">
        <f>$L10*'TABELA AUXILIAR'!$I$3*(B10-A10)</f>
        <v>101.60625528126042</v>
      </c>
      <c r="O10" s="1">
        <f>$L10*'TABELA AUXILIAR'!$I$4*(B10-A10)</f>
        <v>110.25359615626132</v>
      </c>
      <c r="P10" s="1">
        <f>$L10*'TABELA AUXILIAR'!$I$5*(B10-A10)</f>
        <v>127.27804850391932</v>
      </c>
      <c r="Q10" s="1">
        <f>$M10*'TABELA AUXILIAR'!$J$3+SUM(N$2:N10)</f>
        <v>1751.2445737494372</v>
      </c>
      <c r="R10" s="1">
        <f>$M10*'TABELA AUXILIAR'!$J$4+SUM(O$2:O10)</f>
        <v>1945.9409015289127</v>
      </c>
      <c r="S10" s="1">
        <f>$M10*'TABELA AUXILIAR'!$J$5+SUM(P$2:P10)</f>
        <v>2361.3321385641802</v>
      </c>
      <c r="T10" s="2">
        <f t="shared" si="7"/>
        <v>875</v>
      </c>
      <c r="U10" s="2">
        <f t="shared" si="8"/>
        <v>972</v>
      </c>
      <c r="V10" s="2">
        <f t="shared" si="9"/>
        <v>1180</v>
      </c>
    </row>
    <row r="11" spans="1:22" x14ac:dyDescent="0.25">
      <c r="A11" s="1">
        <v>5.4</v>
      </c>
      <c r="B11" s="1">
        <v>6</v>
      </c>
      <c r="C11" s="1">
        <v>32</v>
      </c>
      <c r="D11" s="1" t="s">
        <v>19</v>
      </c>
      <c r="E11" s="1" t="s">
        <v>4</v>
      </c>
      <c r="F11" s="1" cm="1">
        <f t="array" ref="F11">_xlfn.XLOOKUP(D11,'TABELA AUXILIAR'!$A$2:$A$5,IF('SPT-01'!A11&lt;3,'TABELA AUXILIAR'!$B$2:$B$5,'TABELA AUXILIAR'!$C$2:$C$5),"",0,1)</f>
        <v>10.5</v>
      </c>
      <c r="G11" s="6">
        <f t="shared" si="1"/>
        <v>28.904581423120529</v>
      </c>
      <c r="H11" s="2">
        <f t="shared" si="2"/>
        <v>41.347379800543138</v>
      </c>
      <c r="I11" s="2">
        <f t="shared" si="3"/>
        <v>439.20511472431639</v>
      </c>
      <c r="J11" s="1">
        <f t="shared" si="10"/>
        <v>82.649999999999963</v>
      </c>
      <c r="K11" s="1">
        <f t="shared" si="4"/>
        <v>0.9003084109596553</v>
      </c>
      <c r="L11" s="1">
        <f t="shared" si="5"/>
        <v>74.410490165815474</v>
      </c>
      <c r="M11" s="1">
        <f t="shared" si="6"/>
        <v>846.3723892872755</v>
      </c>
      <c r="N11" s="1">
        <f>$L11*'TABELA AUXILIAR'!$I$3*(B11-A11)</f>
        <v>167.87006581407962</v>
      </c>
      <c r="O11" s="1">
        <f>$L11*'TABELA AUXILIAR'!$I$4*(B11-A11)</f>
        <v>182.15687992591617</v>
      </c>
      <c r="P11" s="1">
        <f>$L11*'TABELA AUXILIAR'!$I$5*(B11-A11)</f>
        <v>210.28404520859439</v>
      </c>
      <c r="Q11" s="1">
        <f>$M11*'TABELA AUXILIAR'!$J$3+SUM(N$2:N11)</f>
        <v>2325.697640133767</v>
      </c>
      <c r="R11" s="1">
        <f>$M11*'TABELA AUXILIAR'!$J$4+SUM(O$2:O11)</f>
        <v>2603.0442953952979</v>
      </c>
      <c r="S11" s="1">
        <f>$M11*'TABELA AUXILIAR'!$J$5+SUM(P$2:P11)</f>
        <v>3204.878202360067</v>
      </c>
      <c r="T11" s="2">
        <f t="shared" si="7"/>
        <v>1162</v>
      </c>
      <c r="U11" s="2">
        <f t="shared" si="8"/>
        <v>1301</v>
      </c>
      <c r="V11" s="2">
        <f t="shared" si="9"/>
        <v>1602</v>
      </c>
    </row>
    <row r="12" spans="1:22" x14ac:dyDescent="0.25">
      <c r="A12" s="1">
        <v>6</v>
      </c>
      <c r="B12" s="1">
        <v>6.6</v>
      </c>
      <c r="C12" s="1">
        <v>50</v>
      </c>
      <c r="D12" s="1" t="s">
        <v>19</v>
      </c>
      <c r="E12" s="1" t="s">
        <v>4</v>
      </c>
      <c r="F12" s="1" cm="1">
        <f t="array" ref="F12">_xlfn.XLOOKUP(D12,'TABELA AUXILIAR'!$A$2:$A$5,IF('SPT-01'!A12&lt;3,'TABELA AUXILIAR'!$B$2:$B$5,'TABELA AUXILIAR'!$C$2:$C$5),"",0,1)</f>
        <v>10.5</v>
      </c>
      <c r="G12" s="6">
        <f t="shared" si="1"/>
        <v>46.853092116408988</v>
      </c>
      <c r="H12" s="2">
        <f t="shared" si="2"/>
        <v>43.13052403989137</v>
      </c>
      <c r="I12" s="2">
        <f t="shared" si="3"/>
        <v>711.93273470883446</v>
      </c>
      <c r="J12" s="1">
        <f t="shared" si="10"/>
        <v>88.949999999999946</v>
      </c>
      <c r="K12" s="1">
        <f t="shared" si="4"/>
        <v>1.228392783616886</v>
      </c>
      <c r="L12" s="1">
        <f t="shared" si="5"/>
        <v>109.26553810272195</v>
      </c>
      <c r="M12" s="1">
        <f t="shared" si="6"/>
        <v>1264.0357723663781</v>
      </c>
      <c r="N12" s="1">
        <f>$L12*'TABELA AUXILIAR'!$I$3*(B12-A12)</f>
        <v>246.50305395974056</v>
      </c>
      <c r="O12" s="1">
        <f>$L12*'TABELA AUXILIAR'!$I$4*(B12-A12)</f>
        <v>267.4820372754632</v>
      </c>
      <c r="P12" s="1">
        <f>$L12*'TABELA AUXILIAR'!$I$5*(B12-A12)</f>
        <v>308.78441067829203</v>
      </c>
      <c r="Q12" s="1">
        <f>$M12*'TABELA AUXILIAR'!$J$3+SUM(N$2:N12)</f>
        <v>3044.1603169728933</v>
      </c>
      <c r="R12" s="1">
        <f>$M12*'TABELA AUXILIAR'!$J$4+SUM(O$2:O12)</f>
        <v>3421.8419983351769</v>
      </c>
      <c r="S12" s="1">
        <f>$M12*'TABELA AUXILIAR'!$J$5+SUM(P$2:P12)</f>
        <v>4248.7501672575791</v>
      </c>
      <c r="T12" s="2">
        <f t="shared" si="7"/>
        <v>1522</v>
      </c>
      <c r="U12" s="2">
        <f t="shared" si="8"/>
        <v>1710</v>
      </c>
      <c r="V12" s="2">
        <f t="shared" si="9"/>
        <v>2124</v>
      </c>
    </row>
    <row r="13" spans="1:22" x14ac:dyDescent="0.25">
      <c r="A13" s="1">
        <v>6.6</v>
      </c>
      <c r="B13" s="1">
        <v>7.2</v>
      </c>
      <c r="C13" s="1">
        <v>50</v>
      </c>
      <c r="D13" s="1" t="s">
        <v>19</v>
      </c>
      <c r="E13" s="1" t="s">
        <v>4</v>
      </c>
      <c r="F13" s="1" cm="1">
        <f t="array" ref="F13">_xlfn.XLOOKUP(D13,'TABELA AUXILIAR'!$A$2:$A$5,IF('SPT-01'!A13&lt;3,'TABELA AUXILIAR'!$B$2:$B$5,'TABELA AUXILIAR'!$C$2:$C$5),"",0,1)</f>
        <v>10.5</v>
      </c>
      <c r="G13" s="6">
        <f t="shared" si="1"/>
        <v>48.483925344198717</v>
      </c>
      <c r="H13" s="2">
        <f t="shared" si="2"/>
        <v>43.13052403989137</v>
      </c>
      <c r="I13" s="2">
        <f t="shared" si="3"/>
        <v>736.71324560509947</v>
      </c>
      <c r="J13" s="1">
        <f t="shared" si="10"/>
        <v>95.249999999999943</v>
      </c>
      <c r="K13" s="1">
        <f t="shared" si="4"/>
        <v>1.1999920259534116</v>
      </c>
      <c r="L13" s="1">
        <f t="shared" si="5"/>
        <v>114.29924047206238</v>
      </c>
      <c r="M13" s="1">
        <f t="shared" si="6"/>
        <v>1317.0151896054276</v>
      </c>
      <c r="N13" s="1">
        <f>$L13*'TABELA AUXILIAR'!$I$3*(B13-A13)</f>
        <v>257.85908650497294</v>
      </c>
      <c r="O13" s="1">
        <f>$L13*'TABELA AUXILIAR'!$I$4*(B13-A13)</f>
        <v>279.80454067560896</v>
      </c>
      <c r="P13" s="1">
        <f>$L13*'TABELA AUXILIAR'!$I$5*(B13-A13)</f>
        <v>323.00965357404857</v>
      </c>
      <c r="Q13" s="1">
        <f>$M13*'TABELA AUXILIAR'!$J$3+SUM(N$2:N13)</f>
        <v>3361.8861449579927</v>
      </c>
      <c r="R13" s="1">
        <f>$M13*'TABELA AUXILIAR'!$J$4+SUM(O$2:O13)</f>
        <v>3771.5793697663312</v>
      </c>
      <c r="S13" s="1">
        <f>$M13*'TABELA AUXILIAR'!$J$5+SUM(P$2:P13)</f>
        <v>4665.0035951723548</v>
      </c>
      <c r="T13" s="2">
        <f t="shared" si="7"/>
        <v>1680</v>
      </c>
      <c r="U13" s="2">
        <f t="shared" si="8"/>
        <v>1885</v>
      </c>
      <c r="V13" s="2">
        <f t="shared" si="9"/>
        <v>2332</v>
      </c>
    </row>
    <row r="14" spans="1:22" x14ac:dyDescent="0.25">
      <c r="A14" s="1">
        <v>7.2</v>
      </c>
      <c r="B14" s="1">
        <v>7.8</v>
      </c>
      <c r="C14" s="1">
        <v>42</v>
      </c>
      <c r="D14" s="1" t="s">
        <v>19</v>
      </c>
      <c r="E14" s="1" t="s">
        <v>4</v>
      </c>
      <c r="F14" s="1" cm="1">
        <f t="array" ref="F14">_xlfn.XLOOKUP(D14,'TABELA AUXILIAR'!$A$2:$A$5,IF('SPT-01'!A14&lt;3,'TABELA AUXILIAR'!$B$2:$B$5,'TABELA AUXILIAR'!$C$2:$C$5),"",0,1)</f>
        <v>10.5</v>
      </c>
      <c r="G14" s="6">
        <f t="shared" si="1"/>
        <v>42.051794322306471</v>
      </c>
      <c r="H14" s="2">
        <f t="shared" si="2"/>
        <v>42.433893471660681</v>
      </c>
      <c r="I14" s="2">
        <f t="shared" si="3"/>
        <v>638.97701472744677</v>
      </c>
      <c r="J14" s="1">
        <f t="shared" si="10"/>
        <v>101.54999999999994</v>
      </c>
      <c r="K14" s="1">
        <f t="shared" si="4"/>
        <v>1.0286399922393497</v>
      </c>
      <c r="L14" s="1">
        <f t="shared" si="5"/>
        <v>104.45839121190589</v>
      </c>
      <c r="M14" s="1">
        <f t="shared" si="6"/>
        <v>1190.4281244645351</v>
      </c>
      <c r="N14" s="1">
        <f>$L14*'TABELA AUXILIAR'!$I$3*(B14-A14)</f>
        <v>235.65813057405956</v>
      </c>
      <c r="O14" s="1">
        <f>$L14*'TABELA AUXILIAR'!$I$4*(B14-A14)</f>
        <v>255.71414168674548</v>
      </c>
      <c r="P14" s="1">
        <f>$L14*'TABELA AUXILIAR'!$I$5*(B14-A14)</f>
        <v>295.19941356484588</v>
      </c>
      <c r="Q14" s="1">
        <f>$M14*'TABELA AUXILIAR'!$J$3+SUM(N$2:N14)</f>
        <v>3454.5008919228439</v>
      </c>
      <c r="R14" s="1">
        <f>$M14*'TABELA AUXILIAR'!$J$4+SUM(O$2:O14)</f>
        <v>3860.1985854670984</v>
      </c>
      <c r="S14" s="1">
        <f>$M14*'TABELA AUXILIAR'!$J$5+SUM(P$2:P14)</f>
        <v>4737.4097740892303</v>
      </c>
      <c r="T14" s="2">
        <f t="shared" si="7"/>
        <v>1727</v>
      </c>
      <c r="U14" s="2">
        <f t="shared" si="8"/>
        <v>1930</v>
      </c>
      <c r="V14" s="2">
        <f t="shared" si="9"/>
        <v>2368</v>
      </c>
    </row>
    <row r="15" spans="1:22" x14ac:dyDescent="0.25">
      <c r="A15" s="1">
        <v>7.8</v>
      </c>
      <c r="B15" s="1">
        <v>8.4</v>
      </c>
      <c r="C15" s="1">
        <v>50</v>
      </c>
      <c r="D15" s="1" t="s">
        <v>19</v>
      </c>
      <c r="E15" s="1" t="s">
        <v>4</v>
      </c>
      <c r="F15" s="1" cm="1">
        <f t="array" ref="F15">_xlfn.XLOOKUP(D15,'TABELA AUXILIAR'!$A$2:$A$5,IF('SPT-01'!A15&lt;3,'TABELA AUXILIAR'!$B$2:$B$5,'TABELA AUXILIAR'!$C$2:$C$5),"",0,1)</f>
        <v>10.5</v>
      </c>
      <c r="G15" s="6">
        <f t="shared" si="1"/>
        <v>51.591167544533171</v>
      </c>
      <c r="H15" s="2">
        <f t="shared" si="2"/>
        <v>43.13052403989137</v>
      </c>
      <c r="I15" s="2">
        <f t="shared" si="3"/>
        <v>783.92779083918151</v>
      </c>
      <c r="J15" s="1">
        <f t="shared" si="10"/>
        <v>107.84999999999994</v>
      </c>
      <c r="K15" s="1">
        <f t="shared" si="4"/>
        <v>1.150097856686193</v>
      </c>
      <c r="L15" s="1">
        <f t="shared" si="5"/>
        <v>124.03805384360585</v>
      </c>
      <c r="M15" s="1">
        <f t="shared" si="6"/>
        <v>1418.9395140062052</v>
      </c>
      <c r="N15" s="1">
        <f>$L15*'TABELA AUXILIAR'!$I$3*(B15-A15)</f>
        <v>279.82984947117507</v>
      </c>
      <c r="O15" s="1">
        <f>$L15*'TABELA AUXILIAR'!$I$4*(B15-A15)</f>
        <v>303.64515580914741</v>
      </c>
      <c r="P15" s="1">
        <f>$L15*'TABELA AUXILIAR'!$I$5*(B15-A15)</f>
        <v>350.53154016203047</v>
      </c>
      <c r="Q15" s="1">
        <f>$M15*'TABELA AUXILIAR'!$J$3+SUM(N$2:N15)</f>
        <v>3992.5486115761059</v>
      </c>
      <c r="R15" s="1">
        <f>$M15*'TABELA AUXILIAR'!$J$4+SUM(O$2:O15)</f>
        <v>4465.4787754712506</v>
      </c>
      <c r="S15" s="1">
        <f>$M15*'TABELA AUXILIAR'!$J$5+SUM(P$2:P15)</f>
        <v>5490.1213598446011</v>
      </c>
      <c r="T15" s="2">
        <f t="shared" si="7"/>
        <v>1996</v>
      </c>
      <c r="U15" s="2">
        <f t="shared" si="8"/>
        <v>2232</v>
      </c>
      <c r="V15" s="2">
        <f t="shared" si="9"/>
        <v>2745</v>
      </c>
    </row>
    <row r="16" spans="1:22" x14ac:dyDescent="0.25">
      <c r="A16" s="1">
        <v>8.4</v>
      </c>
      <c r="B16" s="1">
        <v>9</v>
      </c>
      <c r="C16" s="1">
        <v>26</v>
      </c>
      <c r="D16" s="1" t="s">
        <v>19</v>
      </c>
      <c r="E16" s="1" t="s">
        <v>5</v>
      </c>
      <c r="F16" s="1" cm="1">
        <f t="array" ref="F16">_xlfn.XLOOKUP(D16,'TABELA AUXILIAR'!$A$2:$A$5,IF('SPT-01'!A16&lt;3,'TABELA AUXILIAR'!$B$2:$B$5,'TABELA AUXILIAR'!$C$2:$C$5),"",0,1)</f>
        <v>10.5</v>
      </c>
      <c r="G16" s="6">
        <f t="shared" si="1"/>
        <v>27.599841194444192</v>
      </c>
      <c r="H16" s="2">
        <f t="shared" si="2"/>
        <v>40.51775480133152</v>
      </c>
      <c r="I16" s="2">
        <f t="shared" si="3"/>
        <v>419.37958694957945</v>
      </c>
      <c r="J16" s="1">
        <f t="shared" si="10"/>
        <v>114.14999999999993</v>
      </c>
      <c r="K16" s="1">
        <f t="shared" si="4"/>
        <v>0.69724983321983525</v>
      </c>
      <c r="L16" s="1">
        <f t="shared" si="5"/>
        <v>79.591068462044149</v>
      </c>
      <c r="M16" s="1">
        <f t="shared" si="6"/>
        <v>870.08166635970929</v>
      </c>
      <c r="N16" s="1">
        <f>$L16*'TABELA AUXILIAR'!$I$3*(B16-A16)</f>
        <v>179.55745045037148</v>
      </c>
      <c r="O16" s="1">
        <f>$L16*'TABELA AUXILIAR'!$I$4*(B16-A16)</f>
        <v>194.83893559508397</v>
      </c>
      <c r="P16" s="1">
        <f>$L16*'TABELA AUXILIAR'!$I$5*(B16-A16)</f>
        <v>224.92435947373662</v>
      </c>
      <c r="Q16" s="1">
        <f>$M16*'TABELA AUXILIAR'!$J$3+SUM(N$2:N16)</f>
        <v>3551.8966941859371</v>
      </c>
      <c r="R16" s="1">
        <f>$M16*'TABELA AUXILIAR'!$J$4+SUM(O$2:O16)</f>
        <v>3935.8253521729598</v>
      </c>
      <c r="S16" s="1">
        <f>$M16*'TABELA AUXILIAR'!$J$5+SUM(P$2:P16)</f>
        <v>4749.0559074605044</v>
      </c>
      <c r="T16" s="2">
        <f t="shared" si="7"/>
        <v>1775</v>
      </c>
      <c r="U16" s="2">
        <f t="shared" si="8"/>
        <v>1967</v>
      </c>
      <c r="V16" s="2">
        <f t="shared" si="9"/>
        <v>2374</v>
      </c>
    </row>
    <row r="17" spans="1:22" x14ac:dyDescent="0.25">
      <c r="A17" s="1">
        <v>9</v>
      </c>
      <c r="B17" s="1">
        <v>9.6</v>
      </c>
      <c r="C17" s="1">
        <v>23</v>
      </c>
      <c r="D17" s="1" t="s">
        <v>19</v>
      </c>
      <c r="E17" s="1" t="s">
        <v>5</v>
      </c>
      <c r="F17" s="1" cm="1">
        <f t="array" ref="F17">_xlfn.XLOOKUP(D17,'TABELA AUXILIAR'!$A$2:$A$5,IF('SPT-01'!A17&lt;3,'TABELA AUXILIAR'!$B$2:$B$5,'TABELA AUXILIAR'!$C$2:$C$5),"",0,1)</f>
        <v>10.5</v>
      </c>
      <c r="G17" s="6">
        <f t="shared" si="1"/>
        <v>25.079941289482893</v>
      </c>
      <c r="H17" s="2">
        <f t="shared" si="2"/>
        <v>40.027896091361853</v>
      </c>
      <c r="I17" s="2">
        <f t="shared" si="3"/>
        <v>381.08970789369249</v>
      </c>
      <c r="J17" s="1">
        <f t="shared" si="10"/>
        <v>120.44999999999992</v>
      </c>
      <c r="K17" s="1">
        <f t="shared" si="4"/>
        <v>0.6286918732129031</v>
      </c>
      <c r="L17" s="1">
        <f t="shared" si="5"/>
        <v>75.725936128494126</v>
      </c>
      <c r="M17" s="1">
        <f t="shared" si="6"/>
        <v>814.63326681309638</v>
      </c>
      <c r="N17" s="1">
        <f>$L17*'TABELA AUXILIAR'!$I$3*(B17-A17)</f>
        <v>170.83771190588263</v>
      </c>
      <c r="O17" s="1">
        <f>$L17*'TABELA AUXILIAR'!$I$4*(B17-A17)</f>
        <v>185.37709164255352</v>
      </c>
      <c r="P17" s="1">
        <f>$L17*'TABELA AUXILIAR'!$I$5*(B17-A17)</f>
        <v>214.00149549912425</v>
      </c>
      <c r="Q17" s="1">
        <f>$M17*'TABELA AUXILIAR'!$J$3+SUM(N$2:N17)</f>
        <v>3660.0777146041473</v>
      </c>
      <c r="R17" s="1">
        <f>$M17*'TABELA AUXILIAR'!$J$4+SUM(O$2:O17)</f>
        <v>4048.0105564139844</v>
      </c>
      <c r="S17" s="1">
        <f>$M17*'TABELA AUXILIAR'!$J$5+SUM(P$2:P17)</f>
        <v>4865.4682197575903</v>
      </c>
      <c r="T17" s="2">
        <f t="shared" si="7"/>
        <v>1830</v>
      </c>
      <c r="U17" s="2">
        <f t="shared" si="8"/>
        <v>2024</v>
      </c>
      <c r="V17" s="2">
        <f t="shared" si="9"/>
        <v>2432</v>
      </c>
    </row>
    <row r="18" spans="1:22" x14ac:dyDescent="0.25">
      <c r="A18" s="1">
        <v>9.6</v>
      </c>
      <c r="B18" s="1">
        <v>10.199999999999999</v>
      </c>
      <c r="C18" s="1">
        <v>39</v>
      </c>
      <c r="D18" s="1" t="s">
        <v>19</v>
      </c>
      <c r="E18" s="1" t="s">
        <v>5</v>
      </c>
      <c r="F18" s="1" cm="1">
        <f t="array" ref="F18">_xlfn.XLOOKUP(D18,'TABELA AUXILIAR'!$A$2:$A$5,IF('SPT-01'!A18&lt;3,'TABELA AUXILIAR'!$B$2:$B$5,'TABELA AUXILIAR'!$C$2:$C$5),"",0,1)</f>
        <v>10.5</v>
      </c>
      <c r="G18" s="6">
        <f t="shared" si="1"/>
        <v>43.624842130806698</v>
      </c>
      <c r="H18" s="2">
        <f t="shared" si="2"/>
        <v>42.13779438464379</v>
      </c>
      <c r="I18" s="2">
        <f t="shared" si="3"/>
        <v>662.87947617760767</v>
      </c>
      <c r="J18" s="1">
        <f t="shared" si="10"/>
        <v>126.7499999999999</v>
      </c>
      <c r="K18" s="1">
        <f t="shared" si="4"/>
        <v>0.90341714752496083</v>
      </c>
      <c r="L18" s="1">
        <f t="shared" si="5"/>
        <v>114.50812344878869</v>
      </c>
      <c r="M18" s="1">
        <f t="shared" si="6"/>
        <v>1281.4930530096999</v>
      </c>
      <c r="N18" s="1">
        <f>$L18*'TABELA AUXILIAR'!$I$3*(B18-A18)</f>
        <v>258.33032650046715</v>
      </c>
      <c r="O18" s="1">
        <f>$L18*'TABELA AUXILIAR'!$I$4*(B18-A18)</f>
        <v>280.31588620263454</v>
      </c>
      <c r="P18" s="1">
        <f>$L18*'TABELA AUXILIAR'!$I$5*(B18-A18)</f>
        <v>323.59995686627667</v>
      </c>
      <c r="Q18" s="1">
        <f>$M18*'TABELA AUXILIAR'!$J$3+SUM(N$2:N18)</f>
        <v>4445.9595995067766</v>
      </c>
      <c r="R18" s="1">
        <f>$M18*'TABELA AUXILIAR'!$J$4+SUM(O$2:O18)</f>
        <v>4944.581360396136</v>
      </c>
      <c r="S18" s="1">
        <f>$M18*'TABELA AUXILIAR'!$J$5+SUM(P$2:P18)</f>
        <v>6010.7414003298891</v>
      </c>
      <c r="T18" s="2">
        <f t="shared" si="7"/>
        <v>2222</v>
      </c>
      <c r="U18" s="2">
        <f t="shared" si="8"/>
        <v>2472</v>
      </c>
      <c r="V18" s="2">
        <f t="shared" si="9"/>
        <v>3005</v>
      </c>
    </row>
    <row r="19" spans="1:22" x14ac:dyDescent="0.25">
      <c r="A19" s="1">
        <v>10.199999999999999</v>
      </c>
      <c r="B19" s="1">
        <v>10.8</v>
      </c>
      <c r="C19" s="1">
        <v>50</v>
      </c>
      <c r="D19" s="1" t="s">
        <v>19</v>
      </c>
      <c r="E19" s="1" t="s">
        <v>5</v>
      </c>
      <c r="F19" s="1" cm="1">
        <f t="array" ref="F19">_xlfn.XLOOKUP(D19,'TABELA AUXILIAR'!$A$2:$A$5,IF('SPT-01'!A19&lt;3,'TABELA AUXILIAR'!$B$2:$B$5,'TABELA AUXILIAR'!$C$2:$C$5),"",0,1)</f>
        <v>10.5</v>
      </c>
      <c r="G19" s="6">
        <f t="shared" si="1"/>
        <v>57.302388015340249</v>
      </c>
      <c r="H19" s="2">
        <f t="shared" si="2"/>
        <v>43.13052403989137</v>
      </c>
      <c r="I19" s="2">
        <f t="shared" si="3"/>
        <v>870.70978589309505</v>
      </c>
      <c r="J19" s="1">
        <f t="shared" si="10"/>
        <v>133.0499999999999</v>
      </c>
      <c r="K19" s="1">
        <f t="shared" si="4"/>
        <v>1.0704381483736887</v>
      </c>
      <c r="L19" s="1">
        <f t="shared" si="5"/>
        <v>142.42179564111916</v>
      </c>
      <c r="M19" s="1">
        <f t="shared" si="6"/>
        <v>1609.4619751704843</v>
      </c>
      <c r="N19" s="1">
        <f>$L19*'TABELA AUXILIAR'!$I$3*(B19-A19)</f>
        <v>321.30357096636556</v>
      </c>
      <c r="O19" s="1">
        <f>$L19*'TABELA AUXILIAR'!$I$4*(B19-A19)</f>
        <v>348.64855572946055</v>
      </c>
      <c r="P19" s="1">
        <f>$L19*'TABELA AUXILIAR'!$I$5*(B19-A19)</f>
        <v>402.48399448180368</v>
      </c>
      <c r="Q19" s="1">
        <f>$M19*'TABELA AUXILIAR'!$J$3+SUM(N$2:N19)</f>
        <v>5137.8680525148284</v>
      </c>
      <c r="R19" s="1">
        <f>$M19*'TABELA AUXILIAR'!$J$4+SUM(O$2:O19)</f>
        <v>5726.148893377831</v>
      </c>
      <c r="S19" s="1">
        <f>$M19*'TABELA AUXILIAR'!$J$5+SUM(P$2:P19)</f>
        <v>6990.4506978146728</v>
      </c>
      <c r="T19" s="2">
        <f t="shared" si="7"/>
        <v>2568</v>
      </c>
      <c r="U19" s="2">
        <f t="shared" si="8"/>
        <v>2863</v>
      </c>
      <c r="V19" s="2">
        <f t="shared" si="9"/>
        <v>3495</v>
      </c>
    </row>
    <row r="20" spans="1:22" x14ac:dyDescent="0.25">
      <c r="A20" s="1">
        <v>10.8</v>
      </c>
      <c r="B20" s="1">
        <v>11.4</v>
      </c>
      <c r="C20" s="1">
        <v>22</v>
      </c>
      <c r="D20" s="1" t="s">
        <v>19</v>
      </c>
      <c r="E20" s="1" t="s">
        <v>5</v>
      </c>
      <c r="F20" s="1" cm="1">
        <f t="array" ref="F20">_xlfn.XLOOKUP(D20,'TABELA AUXILIAR'!$A$2:$A$5,IF('SPT-01'!A20&lt;3,'TABELA AUXILIAR'!$B$2:$B$5,'TABELA AUXILIAR'!$C$2:$C$5),"",0,1)</f>
        <v>10.5</v>
      </c>
      <c r="G20" s="6">
        <f t="shared" si="1"/>
        <v>25.803073808491032</v>
      </c>
      <c r="H20" s="2">
        <f t="shared" si="2"/>
        <v>39.850288663564299</v>
      </c>
      <c r="I20" s="2">
        <f t="shared" si="3"/>
        <v>392.0777065200212</v>
      </c>
      <c r="J20" s="1">
        <f t="shared" si="10"/>
        <v>139.34999999999991</v>
      </c>
      <c r="K20" s="1">
        <f t="shared" si="4"/>
        <v>0.58176238669628166</v>
      </c>
      <c r="L20" s="1">
        <f t="shared" si="5"/>
        <v>81.068588586126793</v>
      </c>
      <c r="M20" s="1">
        <f t="shared" si="6"/>
        <v>858.02139704930357</v>
      </c>
      <c r="N20" s="1">
        <f>$L20*'TABELA AUXILIAR'!$I$3*(B20-A20)</f>
        <v>182.89073585030192</v>
      </c>
      <c r="O20" s="1">
        <f>$L20*'TABELA AUXILIAR'!$I$4*(B20-A20)</f>
        <v>198.45590485883827</v>
      </c>
      <c r="P20" s="1">
        <f>$L20*'TABELA AUXILIAR'!$I$5*(B20-A20)</f>
        <v>229.09983134439418</v>
      </c>
      <c r="Q20" s="1">
        <f>$M20*'TABELA AUXILIAR'!$J$3+SUM(N$2:N20)</f>
        <v>4471.6309350881966</v>
      </c>
      <c r="R20" s="1">
        <f>$M20*'TABELA AUXILIAR'!$J$4+SUM(O$2:O20)</f>
        <v>4932.7032351167109</v>
      </c>
      <c r="S20" s="1">
        <f>$M20*'TABELA AUXILIAR'!$J$5+SUM(P$2:P20)</f>
        <v>5897.0151116657889</v>
      </c>
      <c r="T20" s="2">
        <f t="shared" si="7"/>
        <v>2235</v>
      </c>
      <c r="U20" s="2">
        <f t="shared" si="8"/>
        <v>2466</v>
      </c>
      <c r="V20" s="2">
        <f t="shared" si="9"/>
        <v>2948</v>
      </c>
    </row>
    <row r="21" spans="1:22" x14ac:dyDescent="0.25">
      <c r="A21" s="1">
        <v>11.4</v>
      </c>
      <c r="B21" s="1">
        <v>12</v>
      </c>
      <c r="C21" s="1">
        <v>50</v>
      </c>
      <c r="D21" s="1" t="s">
        <v>19</v>
      </c>
      <c r="E21" s="1" t="s">
        <v>5</v>
      </c>
      <c r="F21" s="1" cm="1">
        <f t="array" ref="F21">_xlfn.XLOOKUP(D21,'TABELA AUXILIAR'!$A$2:$A$5,IF('SPT-01'!A21&lt;3,'TABELA AUXILIAR'!$B$2:$B$5,'TABELA AUXILIAR'!$C$2:$C$5),"",0,1)</f>
        <v>10.5</v>
      </c>
      <c r="G21" s="6">
        <f t="shared" si="1"/>
        <v>59.954326149885709</v>
      </c>
      <c r="H21" s="2">
        <f t="shared" si="2"/>
        <v>43.13052403989137</v>
      </c>
      <c r="I21" s="2">
        <f t="shared" si="3"/>
        <v>911.00598584751322</v>
      </c>
      <c r="J21" s="1">
        <f t="shared" si="10"/>
        <v>145.64999999999992</v>
      </c>
      <c r="K21" s="1">
        <f t="shared" si="4"/>
        <v>1.0378368987607305</v>
      </c>
      <c r="L21" s="1">
        <f t="shared" si="5"/>
        <v>151.1609443045003</v>
      </c>
      <c r="M21" s="1">
        <f t="shared" si="6"/>
        <v>1699.2531615909886</v>
      </c>
      <c r="N21" s="1">
        <f>$L21*'TABELA AUXILIAR'!$I$3*(B21-A21)</f>
        <v>341.01909035095247</v>
      </c>
      <c r="O21" s="1">
        <f>$L21*'TABELA AUXILIAR'!$I$4*(B21-A21)</f>
        <v>370.04199165741653</v>
      </c>
      <c r="P21" s="1">
        <f>$L21*'TABELA AUXILIAR'!$I$5*(B21-A21)</f>
        <v>427.18082860451761</v>
      </c>
      <c r="Q21" s="1">
        <f>$M21*'TABELA AUXILIAR'!$J$3+SUM(N$2:N21)</f>
        <v>5763.2419193712522</v>
      </c>
      <c r="R21" s="1">
        <f>$M21*'TABELA AUXILIAR'!$J$4+SUM(O$2:O21)</f>
        <v>6413.1711559691521</v>
      </c>
      <c r="S21" s="1">
        <f>$M21*'TABELA AUXILIAR'!$J$5+SUM(P$2:P21)</f>
        <v>7804.7638458636729</v>
      </c>
      <c r="T21" s="2">
        <f t="shared" si="7"/>
        <v>2881</v>
      </c>
      <c r="U21" s="2">
        <f t="shared" si="8"/>
        <v>3206</v>
      </c>
      <c r="V21" s="2">
        <f t="shared" si="9"/>
        <v>3902</v>
      </c>
    </row>
    <row r="22" spans="1:22" x14ac:dyDescent="0.25">
      <c r="A22" s="1">
        <v>12</v>
      </c>
      <c r="B22" s="1">
        <v>12.6</v>
      </c>
      <c r="C22" s="1">
        <v>50</v>
      </c>
      <c r="D22" s="1" t="s">
        <v>19</v>
      </c>
      <c r="E22" s="1" t="s">
        <v>5</v>
      </c>
      <c r="F22" s="1" cm="1">
        <f t="array" ref="F22">_xlfn.XLOOKUP(D22,'TABELA AUXILIAR'!$A$2:$A$5,IF('SPT-01'!A22&lt;3,'TABELA AUXILIAR'!$B$2:$B$5,'TABELA AUXILIAR'!$C$2:$C$5),"",0,1)</f>
        <v>10.5</v>
      </c>
      <c r="G22" s="6">
        <f t="shared" si="1"/>
        <v>61.237243569579434</v>
      </c>
      <c r="H22" s="2">
        <f t="shared" si="2"/>
        <v>43.13052403989137</v>
      </c>
      <c r="I22" s="2">
        <f t="shared" si="3"/>
        <v>930.49991603975946</v>
      </c>
      <c r="J22" s="1">
        <f t="shared" si="10"/>
        <v>151.94999999999993</v>
      </c>
      <c r="K22" s="1">
        <f t="shared" si="4"/>
        <v>1.0229225567484037</v>
      </c>
      <c r="L22" s="1">
        <f t="shared" si="5"/>
        <v>155.43308249791988</v>
      </c>
      <c r="M22" s="1">
        <f t="shared" si="6"/>
        <v>1742.9792459779485</v>
      </c>
      <c r="N22" s="1">
        <f>$L22*'TABELA AUXILIAR'!$I$3*(B22-A22)</f>
        <v>350.65703411530706</v>
      </c>
      <c r="O22" s="1">
        <f>$L22*'TABELA AUXILIAR'!$I$4*(B22-A22)</f>
        <v>380.50018595490769</v>
      </c>
      <c r="P22" s="1">
        <f>$L22*'TABELA AUXILIAR'!$I$5*(B22-A22)</f>
        <v>439.25389113912132</v>
      </c>
      <c r="Q22" s="1">
        <f>$M22*'TABELA AUXILIAR'!$J$3+SUM(N$2:N22)</f>
        <v>6163.3094288438242</v>
      </c>
      <c r="R22" s="1">
        <f>$M22*'TABELA AUXILIAR'!$J$4+SUM(O$2:O22)</f>
        <v>6851.389773314846</v>
      </c>
      <c r="S22" s="1">
        <f>$M22*'TABELA AUXILIAR'!$J$5+SUM(P$2:P22)</f>
        <v>8320.9756455238439</v>
      </c>
      <c r="T22" s="2">
        <f t="shared" si="7"/>
        <v>3081</v>
      </c>
      <c r="U22" s="2">
        <f t="shared" si="8"/>
        <v>3425</v>
      </c>
      <c r="V22" s="2">
        <f t="shared" si="9"/>
        <v>4160</v>
      </c>
    </row>
    <row r="23" spans="1:22" x14ac:dyDescent="0.25">
      <c r="A23" s="1">
        <v>12.6</v>
      </c>
      <c r="B23" s="1">
        <v>13.2</v>
      </c>
      <c r="C23" s="1">
        <v>50</v>
      </c>
      <c r="D23" s="1" t="s">
        <v>19</v>
      </c>
      <c r="E23" s="1" t="s">
        <v>5</v>
      </c>
      <c r="F23" s="1" cm="1">
        <f t="array" ref="F23">_xlfn.XLOOKUP(D23,'TABELA AUXILIAR'!$A$2:$A$5,IF('SPT-01'!A23&lt;3,'TABELA AUXILIAR'!$B$2:$B$5,'TABELA AUXILIAR'!$C$2:$C$5),"",0,1)</f>
        <v>10.5</v>
      </c>
      <c r="G23" s="6">
        <f t="shared" si="1"/>
        <v>62.493829902744224</v>
      </c>
      <c r="H23" s="2">
        <f t="shared" si="2"/>
        <v>43.13052403989137</v>
      </c>
      <c r="I23" s="2">
        <f t="shared" si="3"/>
        <v>949.59374537219844</v>
      </c>
      <c r="J23" s="1">
        <f t="shared" si="10"/>
        <v>158.24999999999994</v>
      </c>
      <c r="K23" s="1">
        <f t="shared" si="4"/>
        <v>1.0088156719136401</v>
      </c>
      <c r="L23" s="1">
        <f t="shared" si="5"/>
        <v>159.64508008033349</v>
      </c>
      <c r="M23" s="1">
        <f t="shared" si="6"/>
        <v>1785.9858941207722</v>
      </c>
      <c r="N23" s="1">
        <f>$L23*'TABELA AUXILIAR'!$I$3*(B23-A23)</f>
        <v>360.15930066123212</v>
      </c>
      <c r="O23" s="1">
        <f>$L23*'TABELA AUXILIAR'!$I$4*(B23-A23)</f>
        <v>390.81115603665614</v>
      </c>
      <c r="P23" s="1">
        <f>$L23*'TABELA AUXILIAR'!$I$5*(B23-A23)</f>
        <v>451.15699630702221</v>
      </c>
      <c r="Q23" s="1">
        <f>$M23*'TABELA AUXILIAR'!$J$3+SUM(N$2:N23)</f>
        <v>6572.0662419064465</v>
      </c>
      <c r="R23" s="1">
        <f>$M23*'TABELA AUXILIAR'!$J$4+SUM(O$2:O23)</f>
        <v>7298.9697049000297</v>
      </c>
      <c r="S23" s="1">
        <f>$M23*'TABELA AUXILIAR'!$J$5+SUM(P$2:P23)</f>
        <v>8847.824342562235</v>
      </c>
      <c r="T23" s="2">
        <f t="shared" si="7"/>
        <v>3286</v>
      </c>
      <c r="U23" s="2">
        <f t="shared" si="8"/>
        <v>3649</v>
      </c>
      <c r="V23" s="2">
        <f t="shared" si="9"/>
        <v>4423</v>
      </c>
    </row>
    <row r="24" spans="1:22" x14ac:dyDescent="0.25">
      <c r="A24" s="1">
        <v>13.2</v>
      </c>
      <c r="B24" s="1">
        <v>13.8</v>
      </c>
      <c r="C24" s="1">
        <v>41</v>
      </c>
      <c r="D24" s="1" t="s">
        <v>19</v>
      </c>
      <c r="E24" s="1" t="s">
        <v>5</v>
      </c>
      <c r="F24" s="1" cm="1">
        <f t="array" ref="F24">_xlfn.XLOOKUP(D24,'TABELA AUXILIAR'!$A$2:$A$5,IF('SPT-01'!A24&lt;3,'TABELA AUXILIAR'!$B$2:$B$5,'TABELA AUXILIAR'!$C$2:$C$5),"",0,1)</f>
        <v>10.5</v>
      </c>
      <c r="G24" s="6">
        <f t="shared" si="1"/>
        <v>52.255027105992163</v>
      </c>
      <c r="H24" s="2">
        <f t="shared" si="2"/>
        <v>42.337611481821568</v>
      </c>
      <c r="I24" s="2">
        <f t="shared" si="3"/>
        <v>794.01513687555087</v>
      </c>
      <c r="J24" s="1">
        <f t="shared" si="10"/>
        <v>164.54999999999995</v>
      </c>
      <c r="K24" s="1">
        <f t="shared" si="4"/>
        <v>0.85866402784508433</v>
      </c>
      <c r="L24" s="1">
        <f t="shared" si="5"/>
        <v>141.29316578190858</v>
      </c>
      <c r="M24" s="1">
        <f t="shared" si="6"/>
        <v>1559.9174169917712</v>
      </c>
      <c r="N24" s="1">
        <f>$L24*'TABELA AUXILIAR'!$I$3*(B24-A24)</f>
        <v>318.75738200398649</v>
      </c>
      <c r="O24" s="1">
        <f>$L24*'TABELA AUXILIAR'!$I$4*(B24-A24)</f>
        <v>345.88566983411306</v>
      </c>
      <c r="P24" s="1">
        <f>$L24*'TABELA AUXILIAR'!$I$5*(B24-A24)</f>
        <v>399.29448649967458</v>
      </c>
      <c r="Q24" s="1">
        <f>$M24*'TABELA AUXILIAR'!$J$3+SUM(N$2:N24)</f>
        <v>6635.3662447546621</v>
      </c>
      <c r="R24" s="1">
        <f>$M24*'TABELA AUXILIAR'!$J$4+SUM(O$2:O24)</f>
        <v>7346.4449849238608</v>
      </c>
      <c r="S24" s="1">
        <f>$M24*'TABELA AUXILIAR'!$J$5+SUM(P$2:P24)</f>
        <v>8849.2383093148674</v>
      </c>
      <c r="T24" s="2">
        <f t="shared" si="7"/>
        <v>3317</v>
      </c>
      <c r="U24" s="2">
        <f t="shared" si="8"/>
        <v>3673</v>
      </c>
      <c r="V24" s="2">
        <f t="shared" si="9"/>
        <v>4424</v>
      </c>
    </row>
    <row r="25" spans="1:22" x14ac:dyDescent="0.25">
      <c r="A25" s="1">
        <v>13.8</v>
      </c>
      <c r="B25" s="1">
        <v>14.4</v>
      </c>
      <c r="C25" s="1">
        <v>50</v>
      </c>
      <c r="D25" s="1" t="s">
        <v>19</v>
      </c>
      <c r="E25" s="1" t="s">
        <v>5</v>
      </c>
      <c r="F25" s="1" cm="1">
        <f t="array" ref="F25">_xlfn.XLOOKUP(D25,'TABELA AUXILIAR'!$A$2:$A$5,IF('SPT-01'!A25&lt;3,'TABELA AUXILIAR'!$B$2:$B$5,'TABELA AUXILIAR'!$C$2:$C$5),"",0,1)</f>
        <v>10.5</v>
      </c>
      <c r="G25" s="6">
        <f t="shared" si="1"/>
        <v>64.934092183839653</v>
      </c>
      <c r="H25" s="2">
        <f t="shared" si="2"/>
        <v>43.13052403989137</v>
      </c>
      <c r="I25" s="2">
        <f t="shared" si="3"/>
        <v>986.67353073344339</v>
      </c>
      <c r="J25" s="1">
        <f t="shared" si="10"/>
        <v>170.84999999999997</v>
      </c>
      <c r="K25" s="1">
        <f t="shared" si="4"/>
        <v>0.98274005969216305</v>
      </c>
      <c r="L25" s="1">
        <f t="shared" si="5"/>
        <v>167.90113919840601</v>
      </c>
      <c r="M25" s="1">
        <f t="shared" si="6"/>
        <v>1869.9964545771375</v>
      </c>
      <c r="N25" s="1">
        <f>$L25*'TABELA AUXILIAR'!$I$3*(B25-A25)</f>
        <v>378.78497003160373</v>
      </c>
      <c r="O25" s="1">
        <f>$L25*'TABELA AUXILIAR'!$I$4*(B25-A25)</f>
        <v>411.02198875769767</v>
      </c>
      <c r="P25" s="1">
        <f>$L25*'TABELA AUXILIAR'!$I$5*(B25-A25)</f>
        <v>474.48861937469513</v>
      </c>
      <c r="Q25" s="1">
        <f>$M25*'TABELA AUXILIAR'!$J$3+SUM(N$2:N25)</f>
        <v>7364.54052725773</v>
      </c>
      <c r="R25" s="1">
        <f>$M25*'TABELA AUXILIAR'!$J$4+SUM(O$2:O25)</f>
        <v>8166.7713032942429</v>
      </c>
      <c r="S25" s="1">
        <f>$M25*'TABELA AUXILIAR'!$J$5+SUM(P$2:P25)</f>
        <v>9869.4660348398083</v>
      </c>
      <c r="T25" s="2">
        <f t="shared" si="7"/>
        <v>3682</v>
      </c>
      <c r="U25" s="2">
        <f t="shared" si="8"/>
        <v>4083</v>
      </c>
      <c r="V25" s="2">
        <f t="shared" si="9"/>
        <v>4934</v>
      </c>
    </row>
    <row r="26" spans="1:22" x14ac:dyDescent="0.25">
      <c r="A26" s="1">
        <v>14.4</v>
      </c>
      <c r="B26" s="1">
        <v>15</v>
      </c>
      <c r="C26" s="1">
        <v>50</v>
      </c>
      <c r="D26" s="1" t="s">
        <v>19</v>
      </c>
      <c r="E26" s="1" t="s">
        <v>5</v>
      </c>
      <c r="F26" s="1" cm="1">
        <f t="array" ref="F26">_xlfn.XLOOKUP(D26,'TABELA AUXILIAR'!$A$2:$A$5,IF('SPT-01'!A26&lt;3,'TABELA AUXILIAR'!$B$2:$B$5,'TABELA AUXILIAR'!$C$2:$C$5),"",0,1)</f>
        <v>10.5</v>
      </c>
      <c r="G26" s="6">
        <f t="shared" si="1"/>
        <v>66.120459039941011</v>
      </c>
      <c r="H26" s="2">
        <f t="shared" si="2"/>
        <v>43.13052403989137</v>
      </c>
      <c r="I26" s="2">
        <f t="shared" si="3"/>
        <v>1004.7003751119036</v>
      </c>
      <c r="J26" s="1">
        <f t="shared" si="10"/>
        <v>177.14999999999998</v>
      </c>
      <c r="K26" s="1">
        <f t="shared" si="4"/>
        <v>0.97065067480459499</v>
      </c>
      <c r="L26" s="1">
        <f t="shared" si="5"/>
        <v>171.95076704163398</v>
      </c>
      <c r="M26" s="1">
        <f t="shared" si="6"/>
        <v>1911.0695259454794</v>
      </c>
      <c r="N26" s="1">
        <f>$L26*'TABELA AUXILIAR'!$I$3*(B26-A26)</f>
        <v>387.92093044592599</v>
      </c>
      <c r="O26" s="1">
        <f>$L26*'TABELA AUXILIAR'!$I$4*(B26-A26)</f>
        <v>420.93547771791975</v>
      </c>
      <c r="P26" s="1">
        <f>$L26*'TABELA AUXILIAR'!$I$5*(B26-A26)</f>
        <v>485.93286765965735</v>
      </c>
      <c r="Q26" s="1">
        <f>$M26*'TABELA AUXILIAR'!$J$3+SUM(N$2:N26)</f>
        <v>7798.8740283498828</v>
      </c>
      <c r="R26" s="1">
        <f>$M26*'TABELA AUXILIAR'!$J$4+SUM(O$2:O26)</f>
        <v>8641.9232352183735</v>
      </c>
      <c r="S26" s="1">
        <f>$M26*'TABELA AUXILIAR'!$J$5+SUM(P$2:P26)</f>
        <v>10427.687508107747</v>
      </c>
      <c r="T26" s="2">
        <f t="shared" si="7"/>
        <v>3899</v>
      </c>
      <c r="U26" s="2">
        <f t="shared" si="8"/>
        <v>4320</v>
      </c>
      <c r="V26" s="2">
        <f t="shared" si="9"/>
        <v>5213</v>
      </c>
    </row>
    <row r="27" spans="1:22" x14ac:dyDescent="0.25">
      <c r="A27" s="1">
        <v>15</v>
      </c>
      <c r="B27" s="1">
        <v>15.6</v>
      </c>
      <c r="C27" s="1">
        <v>31</v>
      </c>
      <c r="D27" s="1" t="s">
        <v>19</v>
      </c>
      <c r="E27" s="1" t="s">
        <v>5</v>
      </c>
      <c r="F27" s="1" cm="1">
        <f t="array" ref="F27">_xlfn.XLOOKUP(D27,'TABELA AUXILIAR'!$A$2:$A$5,IF('SPT-01'!A27&lt;3,'TABELA AUXILIAR'!$B$2:$B$5,'TABELA AUXILIAR'!$C$2:$C$5),"",0,1)</f>
        <v>10.5</v>
      </c>
      <c r="G27" s="6">
        <f t="shared" si="1"/>
        <v>41.717265098578004</v>
      </c>
      <c r="H27" s="2">
        <f t="shared" si="2"/>
        <v>41.220527583275306</v>
      </c>
      <c r="I27" s="2">
        <f t="shared" si="3"/>
        <v>633.89384317289273</v>
      </c>
      <c r="J27" s="1">
        <f t="shared" si="10"/>
        <v>183.45</v>
      </c>
      <c r="K27" s="1">
        <f t="shared" si="4"/>
        <v>0.67638271610712597</v>
      </c>
      <c r="L27" s="1">
        <f t="shared" si="5"/>
        <v>124.08240926985225</v>
      </c>
      <c r="M27" s="1">
        <f t="shared" si="6"/>
        <v>1331.3608272224942</v>
      </c>
      <c r="N27" s="1">
        <f>$L27*'TABELA AUXILIAR'!$I$3*(B27-A27)</f>
        <v>279.92991531278648</v>
      </c>
      <c r="O27" s="1">
        <f>$L27*'TABELA AUXILIAR'!$I$4*(B27-A27)</f>
        <v>303.75373789259811</v>
      </c>
      <c r="P27" s="1">
        <f>$L27*'TABELA AUXILIAR'!$I$5*(B27-A27)</f>
        <v>350.65688859660224</v>
      </c>
      <c r="Q27" s="1">
        <f>$M27*'TABELA AUXILIAR'!$J$3+SUM(N$2:N27)</f>
        <v>7423.7331141056957</v>
      </c>
      <c r="R27" s="1">
        <f>$M27*'TABELA AUXILIAR'!$J$4+SUM(O$2:O27)</f>
        <v>8180.4614907966316</v>
      </c>
      <c r="S27" s="1">
        <f>$M27*'TABELA AUXILIAR'!$J$5+SUM(P$2:P27)</f>
        <v>9758.0570869518961</v>
      </c>
      <c r="T27" s="2">
        <f t="shared" si="7"/>
        <v>3711</v>
      </c>
      <c r="U27" s="2">
        <f t="shared" si="8"/>
        <v>4090</v>
      </c>
      <c r="V27" s="2">
        <f t="shared" si="9"/>
        <v>4879</v>
      </c>
    </row>
    <row r="28" spans="1:22" x14ac:dyDescent="0.25">
      <c r="A28" s="1">
        <v>15.6</v>
      </c>
      <c r="B28" s="1">
        <v>16.2</v>
      </c>
      <c r="C28" s="1">
        <v>28</v>
      </c>
      <c r="D28" s="1" t="s">
        <v>19</v>
      </c>
      <c r="E28" s="1" t="s">
        <v>5</v>
      </c>
      <c r="F28" s="1" cm="1">
        <f t="array" ref="F28">_xlfn.XLOOKUP(D28,'TABELA AUXILIAR'!$A$2:$A$5,IF('SPT-01'!A28&lt;3,'TABELA AUXILIAR'!$B$2:$B$5,'TABELA AUXILIAR'!$C$2:$C$5),"",0,1)</f>
        <v>10.5</v>
      </c>
      <c r="G28" s="6">
        <f t="shared" si="1"/>
        <v>38.321650078749798</v>
      </c>
      <c r="H28" s="2">
        <f t="shared" si="2"/>
        <v>40.813853888348419</v>
      </c>
      <c r="I28" s="2">
        <f t="shared" si="3"/>
        <v>582.29747294660308</v>
      </c>
      <c r="J28" s="1">
        <f t="shared" si="10"/>
        <v>189.75</v>
      </c>
      <c r="K28" s="1">
        <f t="shared" si="4"/>
        <v>0.62253858459148492</v>
      </c>
      <c r="L28" s="1">
        <f t="shared" si="5"/>
        <v>118.12669642623426</v>
      </c>
      <c r="M28" s="1">
        <f t="shared" si="6"/>
        <v>1252.3660489893368</v>
      </c>
      <c r="N28" s="1">
        <f>$L28*'TABELA AUXILIAR'!$I$3*(B28-A28)</f>
        <v>266.49382713758433</v>
      </c>
      <c r="O28" s="1">
        <f>$L28*'TABELA AUXILIAR'!$I$4*(B28-A28)</f>
        <v>289.1741528514213</v>
      </c>
      <c r="P28" s="1">
        <f>$L28*'TABELA AUXILIAR'!$I$5*(B28-A28)</f>
        <v>333.82604410053784</v>
      </c>
      <c r="Q28" s="1">
        <f>$M28*'TABELA AUXILIAR'!$J$3+SUM(N$2:N28)</f>
        <v>7600.9628418398115</v>
      </c>
      <c r="R28" s="1">
        <f>$M28*'TABELA AUXILIAR'!$J$4+SUM(O$2:O28)</f>
        <v>8365.3625363802857</v>
      </c>
      <c r="S28" s="1">
        <f>$M28*'TABELA AUXILIAR'!$J$5+SUM(P$2:P28)</f>
        <v>9952.8523213620756</v>
      </c>
      <c r="T28" s="2">
        <f t="shared" si="7"/>
        <v>3800</v>
      </c>
      <c r="U28" s="2">
        <f t="shared" si="8"/>
        <v>4182</v>
      </c>
      <c r="V28" s="2">
        <f t="shared" si="9"/>
        <v>4976</v>
      </c>
    </row>
    <row r="29" spans="1:22" x14ac:dyDescent="0.25">
      <c r="A29" s="1">
        <v>16.2</v>
      </c>
      <c r="B29" s="1">
        <v>16.8</v>
      </c>
      <c r="C29" s="1">
        <v>50</v>
      </c>
      <c r="D29" s="1" t="s">
        <v>18</v>
      </c>
      <c r="E29" s="1" t="s">
        <v>2</v>
      </c>
      <c r="F29" s="1" cm="1">
        <f t="array" ref="F29">_xlfn.XLOOKUP(D29,'TABELA AUXILIAR'!$A$2:$A$5,IF('SPT-01'!A29&lt;3,'TABELA AUXILIAR'!$B$2:$B$5,'TABELA AUXILIAR'!$C$2:$C$5),"",0,1)</f>
        <v>8.5</v>
      </c>
      <c r="G29" s="6">
        <f t="shared" si="1"/>
        <v>69.451738127450696</v>
      </c>
      <c r="H29" s="2">
        <f t="shared" si="2"/>
        <v>43.13052403989137</v>
      </c>
      <c r="I29" s="2">
        <f t="shared" si="3"/>
        <v>1415.9691732497679</v>
      </c>
      <c r="J29" s="1">
        <f t="shared" si="10"/>
        <v>195.45000000000002</v>
      </c>
      <c r="K29" s="1">
        <f t="shared" si="4"/>
        <v>1.1474977229204189</v>
      </c>
      <c r="L29" s="1">
        <f t="shared" si="5"/>
        <v>224.27842994479587</v>
      </c>
      <c r="M29" s="1">
        <f t="shared" si="6"/>
        <v>2027.1841322321566</v>
      </c>
      <c r="N29" s="1">
        <f>$L29*'TABELA AUXILIAR'!$I$3*(B29-A29)</f>
        <v>505.97213795546065</v>
      </c>
      <c r="O29" s="1">
        <f>$L29*'TABELA AUXILIAR'!$I$4*(B29-A29)</f>
        <v>549.03359650486163</v>
      </c>
      <c r="P29" s="1">
        <f>$L29*'TABELA AUXILIAR'!$I$5*(B29-A29)</f>
        <v>633.81084302399461</v>
      </c>
      <c r="Q29" s="1">
        <f>$M29*'TABELA AUXILIAR'!$J$3+SUM(N$2:N29)</f>
        <v>8982.479413859659</v>
      </c>
      <c r="R29" s="1">
        <f>$M29*'TABELA AUXILIAR'!$J$4+SUM(O$2:O29)</f>
        <v>9937.1560027656687</v>
      </c>
      <c r="S29" s="1">
        <f>$M29*'TABELA AUXILIAR'!$J$5+SUM(P$2:P29)</f>
        <v>11950.342990893434</v>
      </c>
      <c r="T29" s="2">
        <f t="shared" si="7"/>
        <v>4491</v>
      </c>
      <c r="U29" s="2">
        <f t="shared" si="8"/>
        <v>4968</v>
      </c>
      <c r="V29" s="2">
        <f t="shared" si="9"/>
        <v>5975</v>
      </c>
    </row>
    <row r="30" spans="1:22" x14ac:dyDescent="0.25">
      <c r="A30" s="1">
        <v>16.8</v>
      </c>
      <c r="B30" s="1">
        <v>17.399999999999999</v>
      </c>
      <c r="C30" s="1">
        <v>50</v>
      </c>
      <c r="D30" s="1" t="s">
        <v>18</v>
      </c>
      <c r="E30" s="1" t="s">
        <v>2</v>
      </c>
      <c r="F30" s="1" cm="1">
        <f t="array" ref="F30">_xlfn.XLOOKUP(D30,'TABELA AUXILIAR'!$A$2:$A$5,IF('SPT-01'!A30&lt;3,'TABELA AUXILIAR'!$B$2:$B$5,'TABELA AUXILIAR'!$C$2:$C$5),"",0,1)</f>
        <v>8.5</v>
      </c>
      <c r="G30" s="6">
        <f t="shared" si="1"/>
        <v>70.352026977915031</v>
      </c>
      <c r="H30" s="2">
        <f t="shared" si="2"/>
        <v>43.13052403989137</v>
      </c>
      <c r="I30" s="2">
        <f t="shared" si="3"/>
        <v>1430.6341746230516</v>
      </c>
      <c r="J30" s="1">
        <f t="shared" si="10"/>
        <v>200.55</v>
      </c>
      <c r="K30" s="1">
        <f t="shared" si="4"/>
        <v>1.1354367726123265</v>
      </c>
      <c r="L30" s="1">
        <f t="shared" si="5"/>
        <v>227.71184474740207</v>
      </c>
      <c r="M30" s="1">
        <f t="shared" si="6"/>
        <v>2058.7584421271213</v>
      </c>
      <c r="N30" s="1">
        <f>$L30*'TABELA AUXILIAR'!$I$3*(B30-A30)</f>
        <v>513.71792175013718</v>
      </c>
      <c r="O30" s="1">
        <f>$L30*'TABELA AUXILIAR'!$I$4*(B30-A30)</f>
        <v>557.43859594163825</v>
      </c>
      <c r="P30" s="1">
        <f>$L30*'TABELA AUXILIAR'!$I$5*(B30-A30)</f>
        <v>643.51367325615593</v>
      </c>
      <c r="Q30" s="1">
        <f>$M30*'TABELA AUXILIAR'!$J$3+SUM(N$2:N30)</f>
        <v>9531.8763057911056</v>
      </c>
      <c r="R30" s="1">
        <f>$M30*'TABELA AUXILIAR'!$J$4+SUM(O$2:O30)</f>
        <v>10536.27268776866</v>
      </c>
      <c r="S30" s="1">
        <f>$M30*'TABELA AUXILIAR'!$J$5+SUM(P$2:P30)</f>
        <v>12649.427449564726</v>
      </c>
      <c r="T30" s="2">
        <f t="shared" si="7"/>
        <v>4765</v>
      </c>
      <c r="U30" s="2">
        <f t="shared" si="8"/>
        <v>5268</v>
      </c>
      <c r="V30" s="2">
        <f t="shared" si="9"/>
        <v>6324</v>
      </c>
    </row>
    <row r="31" spans="1:22" x14ac:dyDescent="0.25">
      <c r="A31" s="1">
        <v>17.399999999999999</v>
      </c>
      <c r="B31" s="1">
        <v>18</v>
      </c>
      <c r="C31" s="1">
        <v>50</v>
      </c>
      <c r="D31" s="1" t="s">
        <v>18</v>
      </c>
      <c r="E31" s="1" t="s">
        <v>2</v>
      </c>
      <c r="F31" s="1" cm="1">
        <f t="array" ref="F31">_xlfn.XLOOKUP(D31,'TABELA AUXILIAR'!$A$2:$A$5,IF('SPT-01'!A31&lt;3,'TABELA AUXILIAR'!$B$2:$B$5,'TABELA AUXILIAR'!$C$2:$C$5),"",0,1)</f>
        <v>8.5</v>
      </c>
      <c r="G31" s="6">
        <f t="shared" si="1"/>
        <v>71.240939570436453</v>
      </c>
      <c r="H31" s="2">
        <f t="shared" si="2"/>
        <v>43.13052403989137</v>
      </c>
      <c r="I31" s="2">
        <f t="shared" si="3"/>
        <v>1445.0770843401708</v>
      </c>
      <c r="J31" s="1">
        <f t="shared" si="10"/>
        <v>205.65</v>
      </c>
      <c r="K31" s="1">
        <f t="shared" si="4"/>
        <v>1.1238007582642808</v>
      </c>
      <c r="L31" s="1">
        <f t="shared" si="5"/>
        <v>231.10962593704937</v>
      </c>
      <c r="M31" s="1">
        <f t="shared" si="6"/>
        <v>2090.0131641342746</v>
      </c>
      <c r="N31" s="1">
        <f>$L31*'TABELA AUXILIAR'!$I$3*(B31-A31)</f>
        <v>521.38331611398462</v>
      </c>
      <c r="O31" s="1">
        <f>$L31*'TABELA AUXILIAR'!$I$4*(B31-A31)</f>
        <v>565.75636429389829</v>
      </c>
      <c r="P31" s="1">
        <f>$L31*'TABELA AUXILIAR'!$I$5*(B31-A31)</f>
        <v>653.11580289810308</v>
      </c>
      <c r="Q31" s="1">
        <f>$M31*'TABELA AUXILIAR'!$J$3+SUM(N$2:N31)</f>
        <v>10088.577457773174</v>
      </c>
      <c r="R31" s="1">
        <f>$M31*'TABELA AUXILIAR'!$J$4+SUM(O$2:O31)</f>
        <v>11143.285285112001</v>
      </c>
      <c r="S31" s="1">
        <f>$M31*'TABELA AUXILIAR'!$J$5+SUM(P$2:P31)</f>
        <v>13357.551563195419</v>
      </c>
      <c r="T31" s="2">
        <f t="shared" si="7"/>
        <v>5044</v>
      </c>
      <c r="U31" s="2">
        <f t="shared" si="8"/>
        <v>5571</v>
      </c>
      <c r="V31" s="2">
        <f t="shared" si="9"/>
        <v>6678</v>
      </c>
    </row>
    <row r="32" spans="1:22" x14ac:dyDescent="0.25">
      <c r="A32" s="1">
        <v>18</v>
      </c>
      <c r="B32" s="1">
        <v>18.600000000000001</v>
      </c>
      <c r="C32" s="1">
        <v>50</v>
      </c>
      <c r="D32" s="1" t="s">
        <v>18</v>
      </c>
      <c r="E32" s="1" t="s">
        <v>2</v>
      </c>
      <c r="F32" s="1" cm="1">
        <f t="array" ref="F32">_xlfn.XLOOKUP(D32,'TABELA AUXILIAR'!$A$2:$A$5,IF('SPT-01'!A32&lt;3,'TABELA AUXILIAR'!$B$2:$B$5,'TABELA AUXILIAR'!$C$2:$C$5),"",0,1)</f>
        <v>8.5</v>
      </c>
      <c r="G32" s="6">
        <f t="shared" si="1"/>
        <v>72.118896565712063</v>
      </c>
      <c r="H32" s="2">
        <f t="shared" si="2"/>
        <v>43.13052403989137</v>
      </c>
      <c r="I32" s="2">
        <f t="shared" si="3"/>
        <v>1459.3066513533058</v>
      </c>
      <c r="J32" s="1">
        <f t="shared" si="10"/>
        <v>210.75000000000003</v>
      </c>
      <c r="K32" s="1">
        <f t="shared" si="4"/>
        <v>1.1125647147532096</v>
      </c>
      <c r="L32" s="1">
        <f t="shared" si="5"/>
        <v>234.47301363423895</v>
      </c>
      <c r="M32" s="1">
        <f t="shared" si="6"/>
        <v>2120.9593415122058</v>
      </c>
      <c r="N32" s="1">
        <f>$L32*'TABELA AUXILIAR'!$I$3*(B32-A32)</f>
        <v>528.97111875884434</v>
      </c>
      <c r="O32" s="1">
        <f>$L32*'TABELA AUXILIAR'!$I$4*(B32-A32)</f>
        <v>573.98993737661829</v>
      </c>
      <c r="P32" s="1">
        <f>$L32*'TABELA AUXILIAR'!$I$5*(B32-A32)</f>
        <v>662.62073653036089</v>
      </c>
      <c r="Q32" s="1">
        <f>$M32*'TABELA AUXILIAR'!$J$3+SUM(N$2:N32)</f>
        <v>10652.51775696908</v>
      </c>
      <c r="R32" s="1">
        <f>$M32*'TABELA AUXILIAR'!$J$4+SUM(O$2:O32)</f>
        <v>11758.124176627489</v>
      </c>
      <c r="S32" s="1">
        <f>$M32*'TABELA AUXILIAR'!$J$5+SUM(P$2:P32)</f>
        <v>14074.63757191094</v>
      </c>
      <c r="T32" s="2">
        <f t="shared" si="7"/>
        <v>5326</v>
      </c>
      <c r="U32" s="2">
        <f t="shared" si="8"/>
        <v>5879</v>
      </c>
      <c r="V32" s="2">
        <f t="shared" si="9"/>
        <v>7037</v>
      </c>
    </row>
    <row r="33" spans="1:22" x14ac:dyDescent="0.25">
      <c r="A33" s="1">
        <v>18.600000000000001</v>
      </c>
      <c r="B33" s="1">
        <v>19.2</v>
      </c>
      <c r="C33" s="1">
        <v>50</v>
      </c>
      <c r="D33" s="1" t="s">
        <v>18</v>
      </c>
      <c r="E33" s="1" t="s">
        <v>2</v>
      </c>
      <c r="F33" s="1" cm="1">
        <f t="array" ref="F33">_xlfn.XLOOKUP(D33,'TABELA AUXILIAR'!$A$2:$A$5,IF('SPT-01'!A33&lt;3,'TABELA AUXILIAR'!$B$2:$B$5,'TABELA AUXILIAR'!$C$2:$C$5),"",0,1)</f>
        <v>8.5</v>
      </c>
      <c r="G33" s="6">
        <f t="shared" si="1"/>
        <v>72.98629332164478</v>
      </c>
      <c r="H33" s="2">
        <f t="shared" si="2"/>
        <v>43.13052403989137</v>
      </c>
      <c r="I33" s="2">
        <f t="shared" si="3"/>
        <v>1473.3310779773544</v>
      </c>
      <c r="J33" s="1">
        <f t="shared" si="10"/>
        <v>215.85000000000002</v>
      </c>
      <c r="K33" s="1">
        <f t="shared" si="4"/>
        <v>1.1017057028823023</v>
      </c>
      <c r="L33" s="1">
        <f t="shared" si="5"/>
        <v>237.80317596714497</v>
      </c>
      <c r="M33" s="1">
        <f t="shared" si="6"/>
        <v>2151.6073790621344</v>
      </c>
      <c r="N33" s="1">
        <f>$L33*'TABELA AUXILIAR'!$I$3*(B33-A33)</f>
        <v>536.48396498187708</v>
      </c>
      <c r="O33" s="1">
        <f>$L33*'TABELA AUXILIAR'!$I$4*(B33-A33)</f>
        <v>582.1421747675688</v>
      </c>
      <c r="P33" s="1">
        <f>$L33*'TABELA AUXILIAR'!$I$5*(B33-A33)</f>
        <v>672.03177528314927</v>
      </c>
      <c r="Q33" s="1">
        <f>$M33*'TABELA AUXILIAR'!$J$3+SUM(N$2:N33)</f>
        <v>11223.634004382377</v>
      </c>
      <c r="R33" s="1">
        <f>$M33*'TABELA AUXILIAR'!$J$4+SUM(O$2:O33)</f>
        <v>12380.721760960963</v>
      </c>
      <c r="S33" s="1">
        <f>$M33*'TABELA AUXILIAR'!$J$5+SUM(P$2:P33)</f>
        <v>14800.609893281962</v>
      </c>
      <c r="T33" s="2">
        <f t="shared" si="7"/>
        <v>5611</v>
      </c>
      <c r="U33" s="2">
        <f t="shared" si="8"/>
        <v>6190</v>
      </c>
      <c r="V33" s="2">
        <f t="shared" si="9"/>
        <v>7400</v>
      </c>
    </row>
    <row r="34" spans="1:22" x14ac:dyDescent="0.25">
      <c r="A34" s="1">
        <v>19.2</v>
      </c>
      <c r="B34" s="1">
        <v>19.8</v>
      </c>
      <c r="C34" s="1">
        <v>50</v>
      </c>
      <c r="D34" s="1" t="s">
        <v>18</v>
      </c>
      <c r="E34" s="1" t="s">
        <v>2</v>
      </c>
      <c r="F34" s="1" cm="1">
        <f t="array" ref="F34">_xlfn.XLOOKUP(D34,'TABELA AUXILIAR'!$A$2:$A$5,IF('SPT-01'!A34&lt;3,'TABELA AUXILIAR'!$B$2:$B$5,'TABELA AUXILIAR'!$C$2:$C$5),"",0,1)</f>
        <v>8.5</v>
      </c>
      <c r="G34" s="6">
        <f t="shared" si="1"/>
        <v>73.843501974178238</v>
      </c>
      <c r="H34" s="2">
        <f t="shared" si="2"/>
        <v>43.13052403989137</v>
      </c>
      <c r="I34" s="2">
        <f t="shared" si="3"/>
        <v>1487.158066073385</v>
      </c>
      <c r="J34" s="1">
        <f t="shared" si="10"/>
        <v>220.95000000000002</v>
      </c>
      <c r="K34" s="1">
        <f t="shared" si="4"/>
        <v>1.0912026017032395</v>
      </c>
      <c r="L34" s="1">
        <f t="shared" si="5"/>
        <v>241.10121484633078</v>
      </c>
      <c r="M34" s="1">
        <f t="shared" si="6"/>
        <v>2181.9670941935242</v>
      </c>
      <c r="N34" s="1">
        <f>$L34*'TABELA AUXILIAR'!$I$3*(B34-A34)</f>
        <v>543.92434069332353</v>
      </c>
      <c r="O34" s="1">
        <f>$L34*'TABELA AUXILIAR'!$I$4*(B34-A34)</f>
        <v>590.21577394381916</v>
      </c>
      <c r="P34" s="1">
        <f>$L34*'TABELA AUXILIAR'!$I$5*(B34-A34)</f>
        <v>681.35203315573233</v>
      </c>
      <c r="Q34" s="1">
        <f>$M34*'TABELA AUXILIAR'!$J$3+SUM(N$2:N34)</f>
        <v>11801.864823174172</v>
      </c>
      <c r="R34" s="1">
        <f>$M34*'TABELA AUXILIAR'!$J$4+SUM(O$2:O34)</f>
        <v>13011.012358878217</v>
      </c>
      <c r="S34" s="1">
        <f>$M34*'TABELA AUXILIAR'!$J$5+SUM(P$2:P34)</f>
        <v>15535.395025068941</v>
      </c>
      <c r="T34" s="2">
        <f t="shared" si="7"/>
        <v>5900</v>
      </c>
      <c r="U34" s="2">
        <f t="shared" si="8"/>
        <v>6505</v>
      </c>
      <c r="V34" s="2">
        <f t="shared" si="9"/>
        <v>7767</v>
      </c>
    </row>
    <row r="35" spans="1:22" x14ac:dyDescent="0.25">
      <c r="A35" s="1">
        <v>19.8</v>
      </c>
      <c r="B35" s="1">
        <v>20.399999999999999</v>
      </c>
      <c r="C35" s="1">
        <v>50</v>
      </c>
      <c r="D35" s="1" t="s">
        <v>18</v>
      </c>
      <c r="E35" s="1" t="s">
        <v>2</v>
      </c>
      <c r="F35" s="1" cm="1">
        <f t="array" ref="F35">_xlfn.XLOOKUP(D35,'TABELA AUXILIAR'!$A$2:$A$5,IF('SPT-01'!A35&lt;3,'TABELA AUXILIAR'!$B$2:$B$5,'TABELA AUXILIAR'!$C$2:$C$5),"",0,1)</f>
        <v>8.5</v>
      </c>
      <c r="G35" s="6">
        <f t="shared" si="1"/>
        <v>74.690873303153708</v>
      </c>
      <c r="H35" s="2">
        <f t="shared" si="2"/>
        <v>43.13052403989137</v>
      </c>
      <c r="I35" s="2">
        <f t="shared" si="3"/>
        <v>1500.7948583603854</v>
      </c>
      <c r="J35" s="1">
        <f t="shared" si="10"/>
        <v>226.05</v>
      </c>
      <c r="K35" s="1">
        <f t="shared" si="4"/>
        <v>1.081035926362107</v>
      </c>
      <c r="L35" s="1">
        <f t="shared" si="5"/>
        <v>244.36817115415431</v>
      </c>
      <c r="M35" s="1">
        <f t="shared" si="6"/>
        <v>2212.0477628251388</v>
      </c>
      <c r="N35" s="1">
        <f>$L35*'TABELA AUXILIAR'!$I$3*(B35-A35)</f>
        <v>551.29459412377014</v>
      </c>
      <c r="O35" s="1">
        <f>$L35*'TABELA AUXILIAR'!$I$4*(B35-A35)</f>
        <v>598.21328298536764</v>
      </c>
      <c r="P35" s="1">
        <f>$L35*'TABELA AUXILIAR'!$I$5*(B35-A35)</f>
        <v>690.58445168163757</v>
      </c>
      <c r="Q35" s="1">
        <f>$M35*'TABELA AUXILIAR'!$J$3+SUM(N$2:N35)</f>
        <v>12387.150572851666</v>
      </c>
      <c r="R35" s="1">
        <f>$M35*'TABELA AUXILIAR'!$J$4+SUM(O$2:O35)</f>
        <v>13648.932124457315</v>
      </c>
      <c r="S35" s="1">
        <f>$M35*'TABELA AUXILIAR'!$J$5+SUM(P$2:P35)</f>
        <v>16278.92145354222</v>
      </c>
      <c r="T35" s="2">
        <f t="shared" si="7"/>
        <v>6193</v>
      </c>
      <c r="U35" s="2">
        <f t="shared" si="8"/>
        <v>6824</v>
      </c>
      <c r="V35" s="2">
        <f t="shared" si="9"/>
        <v>8139</v>
      </c>
    </row>
    <row r="36" spans="1:22" x14ac:dyDescent="0.25">
      <c r="A36" s="1">
        <v>20.399999999999999</v>
      </c>
      <c r="B36" s="1">
        <v>21</v>
      </c>
      <c r="C36" s="1">
        <v>50</v>
      </c>
      <c r="D36" s="1" t="s">
        <v>18</v>
      </c>
      <c r="E36" s="1" t="s">
        <v>2</v>
      </c>
      <c r="F36" s="1" cm="1">
        <f t="array" ref="F36">_xlfn.XLOOKUP(D36,'TABELA AUXILIAR'!$A$2:$A$5,IF('SPT-01'!A36&lt;3,'TABELA AUXILIAR'!$B$2:$B$5,'TABELA AUXILIAR'!$C$2:$C$5),"",0,1)</f>
        <v>8.5</v>
      </c>
      <c r="G36" s="6">
        <f t="shared" si="1"/>
        <v>75.528738409727552</v>
      </c>
      <c r="H36" s="2">
        <f t="shared" si="2"/>
        <v>43.13052403989137</v>
      </c>
      <c r="I36" s="2">
        <f t="shared" si="3"/>
        <v>1514.2482754669393</v>
      </c>
      <c r="J36" s="1">
        <f t="shared" si="10"/>
        <v>231.15</v>
      </c>
      <c r="K36" s="1">
        <f t="shared" si="4"/>
        <v>1.0711876678347836</v>
      </c>
      <c r="L36" s="1">
        <f t="shared" si="5"/>
        <v>247.60502942001023</v>
      </c>
      <c r="M36" s="1">
        <f t="shared" si="6"/>
        <v>2241.8581607482483</v>
      </c>
      <c r="N36" s="1">
        <f>$L36*'TABELA AUXILIAR'!$I$3*(B36-A36)</f>
        <v>558.59694637154428</v>
      </c>
      <c r="O36" s="1">
        <f>$L36*'TABELA AUXILIAR'!$I$4*(B36-A36)</f>
        <v>606.13711202018646</v>
      </c>
      <c r="P36" s="1">
        <f>$L36*'TABELA AUXILIAR'!$I$5*(B36-A36)</f>
        <v>699.73181314095052</v>
      </c>
      <c r="Q36" s="1">
        <f>$M36*'TABELA AUXILIAR'!$J$3+SUM(N$2:N36)</f>
        <v>12979.433268876324</v>
      </c>
      <c r="R36" s="1">
        <f>$M36*'TABELA AUXILIAR'!$J$4+SUM(O$2:O36)</f>
        <v>14294.418961736006</v>
      </c>
      <c r="S36" s="1">
        <f>$M36*'TABELA AUXILIAR'!$J$5+SUM(P$2:P36)</f>
        <v>17031.119567027843</v>
      </c>
      <c r="T36" s="2">
        <f t="shared" si="7"/>
        <v>6489</v>
      </c>
      <c r="U36" s="2">
        <f t="shared" si="8"/>
        <v>7147</v>
      </c>
      <c r="V36" s="2">
        <f t="shared" si="9"/>
        <v>8515</v>
      </c>
    </row>
    <row r="37" spans="1:22" x14ac:dyDescent="0.25">
      <c r="A37" s="1">
        <v>21</v>
      </c>
      <c r="B37" s="1">
        <v>21.6</v>
      </c>
      <c r="C37" s="1">
        <v>44</v>
      </c>
      <c r="D37" s="1" t="s">
        <v>18</v>
      </c>
      <c r="E37" s="1" t="s">
        <v>3</v>
      </c>
      <c r="F37" s="1" cm="1">
        <f t="array" ref="F37">_xlfn.XLOOKUP(D37,'TABELA AUXILIAR'!$A$2:$A$5,IF('SPT-01'!A37&lt;3,'TABELA AUXILIAR'!$B$2:$B$5,'TABELA AUXILIAR'!$C$2:$C$5),"",0,1)</f>
        <v>8.5</v>
      </c>
      <c r="G37" s="6">
        <f t="shared" si="1"/>
        <v>67.194521000728002</v>
      </c>
      <c r="H37" s="2">
        <f t="shared" si="2"/>
        <v>42.619764623672921</v>
      </c>
      <c r="I37" s="2">
        <f t="shared" si="3"/>
        <v>1379.0321564010758</v>
      </c>
      <c r="J37" s="1">
        <f t="shared" si="10"/>
        <v>236.25000000000003</v>
      </c>
      <c r="K37" s="1">
        <f t="shared" si="4"/>
        <v>0.98111789969695484</v>
      </c>
      <c r="L37" s="1">
        <f t="shared" si="5"/>
        <v>231.7891038034056</v>
      </c>
      <c r="M37" s="1">
        <f t="shared" si="6"/>
        <v>2050.6003222362569</v>
      </c>
      <c r="N37" s="1">
        <f>$L37*'TABELA AUXILIAR'!$I$3*(B37-A37)</f>
        <v>522.91621818048418</v>
      </c>
      <c r="O37" s="1">
        <f>$L37*'TABELA AUXILIAR'!$I$4*(B37-A37)</f>
        <v>567.41972611073822</v>
      </c>
      <c r="P37" s="1">
        <f>$L37*'TABELA AUXILIAR'!$I$5*(B37-A37)</f>
        <v>655.03600734842576</v>
      </c>
      <c r="Q37" s="1">
        <f>$M37*'TABELA AUXILIAR'!$J$3+SUM(N$2:N37)</f>
        <v>13286.228129538258</v>
      </c>
      <c r="R37" s="1">
        <f>$M37*'TABELA AUXILIAR'!$J$4+SUM(O$2:O37)</f>
        <v>14609.378341010915</v>
      </c>
      <c r="S37" s="1">
        <f>$M37*'TABELA AUXILIAR'!$J$5+SUM(P$2:P37)</f>
        <v>17349.541778595165</v>
      </c>
      <c r="T37" s="2">
        <f t="shared" si="7"/>
        <v>6643</v>
      </c>
      <c r="U37" s="2">
        <f t="shared" si="8"/>
        <v>7304</v>
      </c>
      <c r="V37" s="2">
        <f t="shared" si="9"/>
        <v>8674</v>
      </c>
    </row>
    <row r="38" spans="1:22" x14ac:dyDescent="0.25">
      <c r="A38" s="1">
        <v>21.6</v>
      </c>
      <c r="B38" s="1">
        <v>22.2</v>
      </c>
      <c r="C38" s="1">
        <v>50</v>
      </c>
      <c r="D38" s="1" t="s">
        <v>18</v>
      </c>
      <c r="E38" s="1" t="s">
        <v>3</v>
      </c>
      <c r="F38" s="1" cm="1">
        <f t="array" ref="F38">_xlfn.XLOOKUP(D38,'TABELA AUXILIAR'!$A$2:$A$5,IF('SPT-01'!A38&lt;3,'TABELA AUXILIAR'!$B$2:$B$5,'TABELA AUXILIAR'!$C$2:$C$5),"",0,1)</f>
        <v>8.5</v>
      </c>
      <c r="G38" s="6">
        <f t="shared" si="1"/>
        <v>77.177184891129883</v>
      </c>
      <c r="H38" s="2">
        <f t="shared" si="2"/>
        <v>43.13052403989137</v>
      </c>
      <c r="I38" s="2">
        <f t="shared" si="3"/>
        <v>1540.6303528011879</v>
      </c>
      <c r="J38" s="1">
        <f t="shared" si="10"/>
        <v>241.35000000000002</v>
      </c>
      <c r="K38" s="1">
        <f t="shared" si="4"/>
        <v>1.0523809120010514</v>
      </c>
      <c r="L38" s="1">
        <f t="shared" si="5"/>
        <v>253.9921331114538</v>
      </c>
      <c r="M38" s="1">
        <f t="shared" si="6"/>
        <v>2300.7009676446642</v>
      </c>
      <c r="N38" s="1">
        <f>$L38*'TABELA AUXILIAR'!$I$3*(B38-A38)</f>
        <v>573.00625229943762</v>
      </c>
      <c r="O38" s="1">
        <f>$L38*'TABELA AUXILIAR'!$I$4*(B38-A38)</f>
        <v>621.77274185683666</v>
      </c>
      <c r="P38" s="1">
        <f>$L38*'TABELA AUXILIAR'!$I$5*(B38-A38)</f>
        <v>717.78176817296594</v>
      </c>
      <c r="Q38" s="1">
        <f>$M38*'TABELA AUXILIAR'!$J$3+SUM(N$2:N38)</f>
        <v>14141.848111149196</v>
      </c>
      <c r="R38" s="1">
        <f>$M38*'TABELA AUXILIAR'!$J$4+SUM(O$2:O38)</f>
        <v>15561.28393480685</v>
      </c>
      <c r="S38" s="1">
        <f>$M38*'TABELA AUXILIAR'!$J$5+SUM(P$2:P38)</f>
        <v>18507.500682686928</v>
      </c>
      <c r="T38" s="2">
        <f t="shared" si="7"/>
        <v>7070</v>
      </c>
      <c r="U38" s="2">
        <f t="shared" si="8"/>
        <v>7780</v>
      </c>
      <c r="V38" s="2">
        <f t="shared" si="9"/>
        <v>9253</v>
      </c>
    </row>
    <row r="39" spans="1:22" x14ac:dyDescent="0.25">
      <c r="A39" s="1">
        <v>22.2</v>
      </c>
      <c r="B39" s="1">
        <v>22.8</v>
      </c>
      <c r="C39" s="1">
        <v>50</v>
      </c>
      <c r="D39" s="1" t="s">
        <v>18</v>
      </c>
      <c r="E39" s="1" t="s">
        <v>3</v>
      </c>
      <c r="F39" s="1" cm="1">
        <f t="array" ref="F39">_xlfn.XLOOKUP(D39,'TABELA AUXILIAR'!$A$2:$A$5,IF('SPT-01'!A39&lt;3,'TABELA AUXILIAR'!$B$2:$B$5,'TABELA AUXILIAR'!$C$2:$C$5),"",0,1)</f>
        <v>8.5</v>
      </c>
      <c r="G39" s="6">
        <f t="shared" si="1"/>
        <v>77.988342966734081</v>
      </c>
      <c r="H39" s="2">
        <f t="shared" si="2"/>
        <v>43.13052403989137</v>
      </c>
      <c r="I39" s="2">
        <f t="shared" si="3"/>
        <v>1553.5708276132195</v>
      </c>
      <c r="J39" s="1">
        <f t="shared" si="10"/>
        <v>246.45000000000002</v>
      </c>
      <c r="K39" s="1">
        <f t="shared" si="4"/>
        <v>1.0433925821656622</v>
      </c>
      <c r="L39" s="1">
        <f t="shared" si="5"/>
        <v>257.14410187472748</v>
      </c>
      <c r="M39" s="1">
        <f t="shared" si="6"/>
        <v>2329.7487465647068</v>
      </c>
      <c r="N39" s="1">
        <f>$L39*'TABELA AUXILIAR'!$I$3*(B39-A39)</f>
        <v>580.11709382938648</v>
      </c>
      <c r="O39" s="1">
        <f>$L39*'TABELA AUXILIAR'!$I$4*(B39-A39)</f>
        <v>629.48876138933429</v>
      </c>
      <c r="P39" s="1">
        <f>$L39*'TABELA AUXILIAR'!$I$5*(B39-A39)</f>
        <v>726.68923189798159</v>
      </c>
      <c r="Q39" s="1">
        <f>$M39*'TABELA AUXILIAR'!$J$3+SUM(N$2:N39)</f>
        <v>14754.789195158231</v>
      </c>
      <c r="R39" s="1">
        <f>$M39*'TABELA AUXILIAR'!$J$4+SUM(O$2:O39)</f>
        <v>16229.115764370641</v>
      </c>
      <c r="S39" s="1">
        <f>$M39*'TABELA AUXILIAR'!$J$5+SUM(P$2:P39)</f>
        <v>19285.314005484182</v>
      </c>
      <c r="T39" s="2">
        <f t="shared" si="7"/>
        <v>7377</v>
      </c>
      <c r="U39" s="2">
        <f t="shared" si="8"/>
        <v>8114</v>
      </c>
      <c r="V39" s="2">
        <f t="shared" si="9"/>
        <v>9642</v>
      </c>
    </row>
    <row r="40" spans="1:22" x14ac:dyDescent="0.25">
      <c r="A40" s="1">
        <v>22.8</v>
      </c>
      <c r="B40" s="1">
        <v>23.4</v>
      </c>
      <c r="C40" s="1">
        <v>50</v>
      </c>
      <c r="D40" s="1" t="s">
        <v>18</v>
      </c>
      <c r="E40" s="1" t="s">
        <v>3</v>
      </c>
      <c r="F40" s="1" cm="1">
        <f t="array" ref="F40">_xlfn.XLOOKUP(D40,'TABELA AUXILIAR'!$A$2:$A$5,IF('SPT-01'!A40&lt;3,'TABELA AUXILIAR'!$B$2:$B$5,'TABELA AUXILIAR'!$C$2:$C$5),"",0,1)</f>
        <v>8.5</v>
      </c>
      <c r="G40" s="6">
        <f t="shared" si="1"/>
        <v>78.791150579708088</v>
      </c>
      <c r="H40" s="2">
        <f t="shared" si="2"/>
        <v>43.13052403989137</v>
      </c>
      <c r="I40" s="2">
        <f t="shared" si="3"/>
        <v>1566.3516080976249</v>
      </c>
      <c r="J40" s="1">
        <f t="shared" si="10"/>
        <v>251.55</v>
      </c>
      <c r="K40" s="1">
        <f t="shared" si="4"/>
        <v>1.0346627942375066</v>
      </c>
      <c r="L40" s="1">
        <f t="shared" si="5"/>
        <v>260.26942589044478</v>
      </c>
      <c r="M40" s="1">
        <f t="shared" si="6"/>
        <v>2358.5570532769525</v>
      </c>
      <c r="N40" s="1">
        <f>$L40*'TABELA AUXILIAR'!$I$3*(B40-A40)</f>
        <v>587.16782480884126</v>
      </c>
      <c r="O40" s="1">
        <f>$L40*'TABELA AUXILIAR'!$I$4*(B40-A40)</f>
        <v>637.1395545798066</v>
      </c>
      <c r="P40" s="1">
        <f>$L40*'TABELA AUXILIAR'!$I$5*(B40-A40)</f>
        <v>735.52139756639428</v>
      </c>
      <c r="Q40" s="1">
        <f>$M40*'TABELA AUXILIAR'!$J$3+SUM(N$2:N40)</f>
        <v>15374.51040655191</v>
      </c>
      <c r="R40" s="1">
        <f>$M40*'TABELA AUXILIAR'!$J$4+SUM(O$2:O40)</f>
        <v>16904.282283810611</v>
      </c>
      <c r="S40" s="1">
        <f>$M40*'TABELA AUXILIAR'!$J$5+SUM(P$2:P40)</f>
        <v>20071.53802286413</v>
      </c>
      <c r="T40" s="2">
        <f t="shared" si="7"/>
        <v>7687</v>
      </c>
      <c r="U40" s="2">
        <f t="shared" si="8"/>
        <v>8452</v>
      </c>
      <c r="V40" s="2">
        <f t="shared" si="9"/>
        <v>10035</v>
      </c>
    </row>
    <row r="41" spans="1:22" x14ac:dyDescent="0.25">
      <c r="A41" s="1">
        <v>23.4</v>
      </c>
      <c r="B41" s="1">
        <v>24</v>
      </c>
      <c r="C41" s="1">
        <v>50</v>
      </c>
      <c r="D41" s="1" t="s">
        <v>18</v>
      </c>
      <c r="E41" s="1" t="s">
        <v>3</v>
      </c>
      <c r="F41" s="1" cm="1">
        <f t="array" ref="F41">_xlfn.XLOOKUP(D41,'TABELA AUXILIAR'!$A$2:$A$5,IF('SPT-01'!A41&lt;3,'TABELA AUXILIAR'!$B$2:$B$5,'TABELA AUXILIAR'!$C$2:$C$5),"",0,1)</f>
        <v>8.5</v>
      </c>
      <c r="G41" s="6">
        <f t="shared" si="1"/>
        <v>79.585860431684281</v>
      </c>
      <c r="H41" s="2">
        <f t="shared" si="2"/>
        <v>43.13052403989137</v>
      </c>
      <c r="I41" s="2">
        <f t="shared" si="3"/>
        <v>1578.9778438866374</v>
      </c>
      <c r="J41" s="1">
        <f t="shared" si="10"/>
        <v>256.64999999999998</v>
      </c>
      <c r="K41" s="1">
        <f t="shared" si="4"/>
        <v>1.0261790917515077</v>
      </c>
      <c r="L41" s="1">
        <f t="shared" si="5"/>
        <v>263.36886389802441</v>
      </c>
      <c r="M41" s="1">
        <f t="shared" si="6"/>
        <v>2387.1326584110802</v>
      </c>
      <c r="N41" s="1">
        <f>$L41*'TABELA AUXILIAR'!$I$3*(B41-A41)</f>
        <v>594.16015695394447</v>
      </c>
      <c r="O41" s="1">
        <f>$L41*'TABELA AUXILIAR'!$I$4*(B41-A41)</f>
        <v>644.72697882236537</v>
      </c>
      <c r="P41" s="1">
        <f>$L41*'TABELA AUXILIAR'!$I$5*(B41-A41)</f>
        <v>744.28040937581886</v>
      </c>
      <c r="Q41" s="1">
        <f>$M41*'TABELA AUXILIAR'!$J$3+SUM(N$2:N41)</f>
        <v>16000.960997307418</v>
      </c>
      <c r="R41" s="1">
        <f>$M41*'TABELA AUXILIAR'!$J$4+SUM(O$2:O41)</f>
        <v>17586.729061410027</v>
      </c>
      <c r="S41" s="1">
        <f>$M41*'TABELA AUXILIAR'!$J$5+SUM(P$2:P41)</f>
        <v>20866.111497276012</v>
      </c>
      <c r="T41" s="2">
        <f t="shared" si="7"/>
        <v>8000</v>
      </c>
      <c r="U41" s="2">
        <f t="shared" si="8"/>
        <v>8793</v>
      </c>
      <c r="V41" s="2">
        <f t="shared" si="9"/>
        <v>10433</v>
      </c>
    </row>
    <row r="42" spans="1:22" x14ac:dyDescent="0.25">
      <c r="A42" s="1">
        <v>24</v>
      </c>
      <c r="B42" s="1">
        <v>24.6</v>
      </c>
      <c r="C42" s="1">
        <v>27</v>
      </c>
      <c r="D42" s="1" t="s">
        <v>18</v>
      </c>
      <c r="E42" s="1" t="s">
        <v>2</v>
      </c>
      <c r="F42" s="1" cm="1">
        <f t="array" ref="F42">_xlfn.XLOOKUP(D42,'TABELA AUXILIAR'!$A$2:$A$5,IF('SPT-01'!A42&lt;3,'TABELA AUXILIAR'!$B$2:$B$5,'TABELA AUXILIAR'!$C$2:$C$5),"",0,1)</f>
        <v>8.5</v>
      </c>
      <c r="G42" s="6">
        <f t="shared" si="1"/>
        <v>43.40126487436703</v>
      </c>
      <c r="H42" s="2">
        <f t="shared" si="2"/>
        <v>40.668546630262682</v>
      </c>
      <c r="I42" s="2">
        <f t="shared" si="3"/>
        <v>972.09612653086003</v>
      </c>
      <c r="J42" s="1">
        <f t="shared" si="10"/>
        <v>261.75</v>
      </c>
      <c r="K42" s="1">
        <f t="shared" si="4"/>
        <v>0.7037260110790885</v>
      </c>
      <c r="L42" s="1">
        <f t="shared" si="5"/>
        <v>184.20028339995142</v>
      </c>
      <c r="M42" s="1">
        <f t="shared" si="6"/>
        <v>1475.4306984111331</v>
      </c>
      <c r="N42" s="1">
        <f>$L42*'TABELA AUXILIAR'!$I$3*(B42-A42)</f>
        <v>415.55583935029136</v>
      </c>
      <c r="O42" s="1">
        <f>$L42*'TABELA AUXILIAR'!$I$4*(B42-A42)</f>
        <v>450.92229376308217</v>
      </c>
      <c r="P42" s="1">
        <f>$L42*'TABELA AUXILIAR'!$I$5*(B42-A42)</f>
        <v>520.55000088826398</v>
      </c>
      <c r="Q42" s="1">
        <f>$M42*'TABELA AUXILIAR'!$J$3+SUM(N$2:N42)</f>
        <v>15386.293621857771</v>
      </c>
      <c r="R42" s="1">
        <f>$M42*'TABELA AUXILIAR'!$J$4+SUM(O$2:O42)</f>
        <v>16834.204767973177</v>
      </c>
      <c r="S42" s="1">
        <f>$M42*'TABELA AUXILIAR'!$J$5+SUM(P$2:P42)</f>
        <v>19782.066048564368</v>
      </c>
      <c r="T42" s="2">
        <f t="shared" si="7"/>
        <v>7693</v>
      </c>
      <c r="U42" s="2">
        <f t="shared" si="8"/>
        <v>8417</v>
      </c>
      <c r="V42" s="2">
        <f t="shared" si="9"/>
        <v>9891</v>
      </c>
    </row>
    <row r="43" spans="1:22" x14ac:dyDescent="0.25">
      <c r="A43" s="1">
        <v>24.6</v>
      </c>
      <c r="B43" s="1">
        <v>25.2</v>
      </c>
      <c r="C43" s="1">
        <v>50</v>
      </c>
      <c r="D43" s="1" t="s">
        <v>18</v>
      </c>
      <c r="E43" s="1" t="s">
        <v>2</v>
      </c>
      <c r="F43" s="1" cm="1">
        <f t="array" ref="F43">_xlfn.XLOOKUP(D43,'TABELA AUXILIAR'!$A$2:$A$5,IF('SPT-01'!A43&lt;3,'TABELA AUXILIAR'!$B$2:$B$5,'TABELA AUXILIAR'!$C$2:$C$5),"",0,1)</f>
        <v>8.5</v>
      </c>
      <c r="G43" s="6">
        <f t="shared" si="1"/>
        <v>81.1519360373252</v>
      </c>
      <c r="H43" s="2">
        <f t="shared" si="2"/>
        <v>43.13052403989137</v>
      </c>
      <c r="I43" s="2">
        <f t="shared" si="3"/>
        <v>1603.7859757225435</v>
      </c>
      <c r="J43" s="1">
        <f t="shared" si="10"/>
        <v>266.85000000000002</v>
      </c>
      <c r="K43" s="1">
        <f t="shared" si="4"/>
        <v>1.0099042093002828</v>
      </c>
      <c r="L43" s="1">
        <f t="shared" si="5"/>
        <v>269.49293825178052</v>
      </c>
      <c r="M43" s="1">
        <f t="shared" si="6"/>
        <v>2443.6112592901345</v>
      </c>
      <c r="N43" s="1">
        <f>$L43*'TABELA AUXILIAR'!$I$3*(B43-A43)</f>
        <v>607.97606869601464</v>
      </c>
      <c r="O43" s="1">
        <f>$L43*'TABELA AUXILIAR'!$I$4*(B43-A43)</f>
        <v>659.71871284035637</v>
      </c>
      <c r="P43" s="1">
        <f>$L43*'TABELA AUXILIAR'!$I$5*(B43-A43)</f>
        <v>761.58704349952893</v>
      </c>
      <c r="Q43" s="1">
        <f>$M43*'TABELA AUXILIAR'!$J$3+SUM(N$2:N43)</f>
        <v>17088.313724347056</v>
      </c>
      <c r="R43" s="1">
        <f>$M43*'TABELA AUXILIAR'!$J$4+SUM(O$2:O43)</f>
        <v>18771.921821173815</v>
      </c>
      <c r="S43" s="1">
        <f>$M43*'TABELA AUXILIAR'!$J$5+SUM(P$2:P43)</f>
        <v>22247.650879210942</v>
      </c>
      <c r="T43" s="2">
        <f t="shared" si="7"/>
        <v>8544</v>
      </c>
      <c r="U43" s="2">
        <f t="shared" si="8"/>
        <v>9385</v>
      </c>
      <c r="V43" s="2">
        <f t="shared" si="9"/>
        <v>11123</v>
      </c>
    </row>
    <row r="44" spans="1:22" x14ac:dyDescent="0.25">
      <c r="A44" s="1">
        <v>25.2</v>
      </c>
      <c r="B44" s="1">
        <v>25.8</v>
      </c>
      <c r="C44" s="1">
        <v>50</v>
      </c>
      <c r="D44" s="1" t="s">
        <v>18</v>
      </c>
      <c r="E44" s="1" t="s">
        <v>2</v>
      </c>
      <c r="F44" s="1" cm="1">
        <f t="array" ref="F44">_xlfn.XLOOKUP(D44,'TABELA AUXILIAR'!$A$2:$A$5,IF('SPT-01'!A44&lt;3,'TABELA AUXILIAR'!$B$2:$B$5,'TABELA AUXILIAR'!$C$2:$C$5),"",0,1)</f>
        <v>8.5</v>
      </c>
      <c r="G44" s="6">
        <f t="shared" si="1"/>
        <v>81.923748044040408</v>
      </c>
      <c r="H44" s="2">
        <f t="shared" si="2"/>
        <v>43.13052403989137</v>
      </c>
      <c r="I44" s="2">
        <f t="shared" si="3"/>
        <v>1615.9769205882521</v>
      </c>
      <c r="J44" s="1">
        <f t="shared" si="10"/>
        <v>271.95000000000005</v>
      </c>
      <c r="K44" s="1">
        <f t="shared" si="4"/>
        <v>1.002092003932298</v>
      </c>
      <c r="L44" s="1">
        <f t="shared" si="5"/>
        <v>272.51892046938849</v>
      </c>
      <c r="M44" s="1">
        <f t="shared" si="6"/>
        <v>2471.5262710387583</v>
      </c>
      <c r="N44" s="1">
        <f>$L44*'TABELA AUXILIAR'!$I$3*(B44-A44)</f>
        <v>614.80268457894181</v>
      </c>
      <c r="O44" s="1">
        <f>$L44*'TABELA AUXILIAR'!$I$4*(B44-A44)</f>
        <v>667.12631730906458</v>
      </c>
      <c r="P44" s="1">
        <f>$L44*'TABELA AUXILIAR'!$I$5*(B44-A44)</f>
        <v>770.13846924649374</v>
      </c>
      <c r="Q44" s="1">
        <f>$M44*'TABELA AUXILIAR'!$J$3+SUM(N$2:N44)</f>
        <v>17734.660372201943</v>
      </c>
      <c r="R44" s="1">
        <f>$M44*'TABELA AUXILIAR'!$J$4+SUM(O$2:O44)</f>
        <v>19475.895953991065</v>
      </c>
      <c r="S44" s="1">
        <f>$M44*'TABELA AUXILIAR'!$J$5+SUM(P$2:P44)</f>
        <v>23066.919769135013</v>
      </c>
      <c r="T44" s="2">
        <f t="shared" si="7"/>
        <v>8867</v>
      </c>
      <c r="U44" s="2">
        <f t="shared" si="8"/>
        <v>9737</v>
      </c>
      <c r="V44" s="2">
        <f t="shared" si="9"/>
        <v>11533</v>
      </c>
    </row>
    <row r="45" spans="1:22" x14ac:dyDescent="0.25">
      <c r="A45" s="1">
        <v>25.8</v>
      </c>
      <c r="B45" s="1">
        <v>26.4</v>
      </c>
      <c r="C45" s="1">
        <v>50</v>
      </c>
      <c r="D45" s="1" t="s">
        <v>18</v>
      </c>
      <c r="E45" s="1" t="s">
        <v>2</v>
      </c>
      <c r="F45" s="1" cm="1">
        <f t="array" ref="F45">_xlfn.XLOOKUP(D45,'TABELA AUXILIAR'!$A$2:$A$5,IF('SPT-01'!A45&lt;3,'TABELA AUXILIAR'!$B$2:$B$5,'TABELA AUXILIAR'!$C$2:$C$5),"",0,1)</f>
        <v>8.5</v>
      </c>
      <c r="G45" s="6">
        <f t="shared" si="1"/>
        <v>82.688356281647742</v>
      </c>
      <c r="H45" s="2">
        <f t="shared" si="2"/>
        <v>43.13052403989137</v>
      </c>
      <c r="I45" s="2">
        <f t="shared" si="3"/>
        <v>1628.0314506266295</v>
      </c>
      <c r="J45" s="1">
        <f t="shared" si="10"/>
        <v>277.05000000000007</v>
      </c>
      <c r="K45" s="1">
        <f t="shared" si="4"/>
        <v>0.99448371279804881</v>
      </c>
      <c r="L45" s="1">
        <f t="shared" si="5"/>
        <v>275.52171263069948</v>
      </c>
      <c r="M45" s="1">
        <f t="shared" si="6"/>
        <v>2499.232650523456</v>
      </c>
      <c r="N45" s="1">
        <f>$L45*'TABELA AUXILIAR'!$I$3*(B45-A45)</f>
        <v>621.57698369485581</v>
      </c>
      <c r="O45" s="1">
        <f>$L45*'TABELA AUXILIAR'!$I$4*(B45-A45)</f>
        <v>674.47715251994998</v>
      </c>
      <c r="P45" s="1">
        <f>$L45*'TABELA AUXILIAR'!$I$5*(B45-A45)</f>
        <v>778.62435989435392</v>
      </c>
      <c r="Q45" s="1">
        <f>$M45*'TABELA AUXILIAR'!$J$3+SUM(N$2:N45)</f>
        <v>18387.545564714506</v>
      </c>
      <c r="R45" s="1">
        <f>$M45*'TABELA AUXILIAR'!$J$4+SUM(O$2:O45)</f>
        <v>20186.945527430817</v>
      </c>
      <c r="S45" s="1">
        <f>$M45*'TABELA AUXILIAR'!$J$5+SUM(P$2:P45)</f>
        <v>23894.307356922436</v>
      </c>
      <c r="T45" s="2">
        <f t="shared" si="7"/>
        <v>9193</v>
      </c>
      <c r="U45" s="2">
        <f t="shared" si="8"/>
        <v>10093</v>
      </c>
      <c r="V45" s="2">
        <f t="shared" si="9"/>
        <v>11947</v>
      </c>
    </row>
    <row r="46" spans="1:22" x14ac:dyDescent="0.25">
      <c r="A46" s="1">
        <v>26.4</v>
      </c>
      <c r="B46" s="1">
        <v>27</v>
      </c>
      <c r="C46" s="1">
        <v>42</v>
      </c>
      <c r="D46" s="1" t="s">
        <v>18</v>
      </c>
      <c r="E46" s="1" t="s">
        <v>2</v>
      </c>
      <c r="F46" s="1" cm="1">
        <f t="array" ref="F46">_xlfn.XLOOKUP(D46,'TABELA AUXILIAR'!$A$2:$A$5,IF('SPT-01'!A46&lt;3,'TABELA AUXILIAR'!$B$2:$B$5,'TABELA AUXILIAR'!$C$2:$C$5),"",0,1)</f>
        <v>8.5</v>
      </c>
      <c r="G46" s="6">
        <f t="shared" si="1"/>
        <v>70.094605369283727</v>
      </c>
      <c r="H46" s="2">
        <f t="shared" si="2"/>
        <v>42.433893471660681</v>
      </c>
      <c r="I46" s="2">
        <f t="shared" si="3"/>
        <v>1426.4448300580764</v>
      </c>
      <c r="J46" s="1">
        <f t="shared" si="10"/>
        <v>282.15000000000009</v>
      </c>
      <c r="K46" s="1">
        <f t="shared" si="4"/>
        <v>0.8874475386253976</v>
      </c>
      <c r="L46" s="1">
        <f t="shared" si="5"/>
        <v>250.393323023156</v>
      </c>
      <c r="M46" s="1">
        <f t="shared" si="6"/>
        <v>2197.7751313357739</v>
      </c>
      <c r="N46" s="1">
        <f>$L46*'TABELA AUXILIAR'!$I$3*(B46-A46)</f>
        <v>564.88733674024127</v>
      </c>
      <c r="O46" s="1">
        <f>$L46*'TABELA AUXILIAR'!$I$4*(B46-A46)</f>
        <v>612.96285476068738</v>
      </c>
      <c r="P46" s="1">
        <f>$L46*'TABELA AUXILIAR'!$I$5*(B46-A46)</f>
        <v>707.61153086344052</v>
      </c>
      <c r="Q46" s="1">
        <f>$M46*'TABELA AUXILIAR'!$J$3+SUM(N$2:N46)</f>
        <v>18611.785904772667</v>
      </c>
      <c r="R46" s="1">
        <f>$M46*'TABELA AUXILIAR'!$J$4+SUM(O$2:O46)</f>
        <v>20401.984456863764</v>
      </c>
      <c r="S46" s="1">
        <f>$M46*'TABELA AUXILIAR'!$J$5+SUM(P$2:P46)</f>
        <v>24071.353654015555</v>
      </c>
      <c r="T46" s="2">
        <f t="shared" si="7"/>
        <v>9305</v>
      </c>
      <c r="U46" s="2">
        <f t="shared" si="8"/>
        <v>10200</v>
      </c>
      <c r="V46" s="2">
        <f t="shared" si="9"/>
        <v>12035</v>
      </c>
    </row>
    <row r="47" spans="1:22" x14ac:dyDescent="0.25">
      <c r="A47" s="1">
        <v>27</v>
      </c>
      <c r="B47" s="1">
        <v>27.6</v>
      </c>
      <c r="C47" s="1">
        <v>50</v>
      </c>
      <c r="D47" s="1" t="s">
        <v>18</v>
      </c>
      <c r="E47" s="1" t="s">
        <v>2</v>
      </c>
      <c r="F47" s="1" cm="1">
        <f t="array" ref="F47">_xlfn.XLOOKUP(D47,'TABELA AUXILIAR'!$A$2:$A$5,IF('SPT-01'!A47&lt;3,'TABELA AUXILIAR'!$B$2:$B$5,'TABELA AUXILIAR'!$C$2:$C$5),"",0,1)</f>
        <v>8.5</v>
      </c>
      <c r="G47" s="6">
        <f t="shared" si="1"/>
        <v>84.196744631341332</v>
      </c>
      <c r="H47" s="2">
        <f t="shared" si="2"/>
        <v>43.13052403989137</v>
      </c>
      <c r="I47" s="2">
        <f t="shared" si="3"/>
        <v>1651.747064180207</v>
      </c>
      <c r="J47" s="1">
        <f t="shared" si="10"/>
        <v>287.25000000000011</v>
      </c>
      <c r="K47" s="1">
        <f t="shared" si="4"/>
        <v>0.97984368994095949</v>
      </c>
      <c r="L47" s="1">
        <f t="shared" si="5"/>
        <v>281.46009993554071</v>
      </c>
      <c r="M47" s="1">
        <f t="shared" si="6"/>
        <v>2554.0407116127312</v>
      </c>
      <c r="N47" s="1">
        <f>$L47*'TABELA AUXILIAR'!$I$3*(B47-A47)</f>
        <v>634.97398545458134</v>
      </c>
      <c r="O47" s="1">
        <f>$L47*'TABELA AUXILIAR'!$I$4*(B47-A47)</f>
        <v>689.01432464220534</v>
      </c>
      <c r="P47" s="1">
        <f>$L47*'TABELA AUXILIAR'!$I$5*(B47-A47)</f>
        <v>795.40624241783985</v>
      </c>
      <c r="Q47" s="1">
        <f>$M47*'TABELA AUXILIAR'!$J$3+SUM(N$2:N47)</f>
        <v>19649.339995940209</v>
      </c>
      <c r="R47" s="1">
        <f>$M47*'TABELA AUXILIAR'!$J$4+SUM(O$2:O47)</f>
        <v>21561.269347471552</v>
      </c>
      <c r="S47" s="1">
        <f>$M47*'TABELA AUXILIAR'!$J$5+SUM(P$2:P47)</f>
        <v>25493.787317720838</v>
      </c>
      <c r="T47" s="2">
        <f t="shared" si="7"/>
        <v>9824</v>
      </c>
      <c r="U47" s="2">
        <f t="shared" si="8"/>
        <v>10780</v>
      </c>
      <c r="V47" s="2">
        <f t="shared" si="9"/>
        <v>12746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18</v>
      </c>
      <c r="E48" s="1" t="s">
        <v>2</v>
      </c>
      <c r="F48" s="1" cm="1">
        <f t="array" ref="F48">_xlfn.XLOOKUP(D48,'TABELA AUXILIAR'!$A$2:$A$5,IF('SPT-01'!A48&lt;3,'TABELA AUXILIAR'!$B$2:$B$5,'TABELA AUXILIAR'!$C$2:$C$5),"",0,1)</f>
        <v>8.5</v>
      </c>
      <c r="G48" s="6">
        <f t="shared" si="1"/>
        <v>84.940894612033603</v>
      </c>
      <c r="H48" s="2">
        <f t="shared" si="2"/>
        <v>43.13052403989137</v>
      </c>
      <c r="I48" s="2">
        <f t="shared" si="3"/>
        <v>1663.4155915061017</v>
      </c>
      <c r="J48" s="1">
        <f t="shared" si="10"/>
        <v>292.35000000000014</v>
      </c>
      <c r="K48" s="1">
        <f t="shared" si="4"/>
        <v>0.97279568370467806</v>
      </c>
      <c r="L48" s="1">
        <f t="shared" si="5"/>
        <v>284.39681813106279</v>
      </c>
      <c r="M48" s="1">
        <f t="shared" si="6"/>
        <v>2581.1524275629363</v>
      </c>
      <c r="N48" s="1">
        <f>$L48*'TABELA AUXILIAR'!$I$3*(B48-A48)</f>
        <v>641.59922170367531</v>
      </c>
      <c r="O48" s="1">
        <f>$L48*'TABELA AUXILIAR'!$I$4*(B48-A48)</f>
        <v>696.20341078483921</v>
      </c>
      <c r="P48" s="1">
        <f>$L48*'TABELA AUXILIAR'!$I$5*(B48-A48)</f>
        <v>803.7054080383806</v>
      </c>
      <c r="Q48" s="1">
        <f>$M48*'TABELA AUXILIAR'!$J$3+SUM(N$2:N48)</f>
        <v>20321.575456667619</v>
      </c>
      <c r="R48" s="1">
        <f>$M48*'TABELA AUXILIAR'!$J$4+SUM(O$2:O48)</f>
        <v>22293.260223310659</v>
      </c>
      <c r="S48" s="1">
        <f>$M48*'TABELA AUXILIAR'!$J$5+SUM(P$2:P48)</f>
        <v>26345.209345831583</v>
      </c>
      <c r="T48" s="2">
        <f t="shared" si="7"/>
        <v>10160</v>
      </c>
      <c r="U48" s="2">
        <f t="shared" si="8"/>
        <v>11146</v>
      </c>
      <c r="V48" s="2">
        <f t="shared" si="9"/>
        <v>13172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19</v>
      </c>
      <c r="E49" s="1" t="s">
        <v>5</v>
      </c>
      <c r="F49" s="1" cm="1">
        <f t="array" ref="F49">_xlfn.XLOOKUP(D49,'TABELA AUXILIAR'!$A$2:$A$5,IF('SPT-01'!A49&lt;3,'TABELA AUXILIAR'!$B$2:$B$5,'TABELA AUXILIAR'!$C$2:$C$5),"",0,1)</f>
        <v>10.5</v>
      </c>
      <c r="G49" s="6">
        <f t="shared" si="1"/>
        <v>85.764951180175061</v>
      </c>
      <c r="H49" s="2">
        <f t="shared" si="2"/>
        <v>43.13052403989137</v>
      </c>
      <c r="I49" s="2">
        <f t="shared" si="3"/>
        <v>1303.19843318276</v>
      </c>
      <c r="J49" s="1">
        <f t="shared" si="10"/>
        <v>298.05000000000018</v>
      </c>
      <c r="K49" s="1">
        <f t="shared" si="4"/>
        <v>0.81250653946741846</v>
      </c>
      <c r="L49" s="1">
        <f t="shared" si="5"/>
        <v>242.16757408826422</v>
      </c>
      <c r="M49" s="1">
        <f t="shared" si="6"/>
        <v>2611.2308556667444</v>
      </c>
      <c r="N49" s="1">
        <f>$L49*'TABELA AUXILIAR'!$I$3*(B49-A49)</f>
        <v>546.3300471431254</v>
      </c>
      <c r="O49" s="1">
        <f>$L49*'TABELA AUXILIAR'!$I$4*(B49-A49)</f>
        <v>592.8262213680722</v>
      </c>
      <c r="P49" s="1">
        <f>$L49*'TABELA AUXILIAR'!$I$5*(B49-A49)</f>
        <v>684.3655643734362</v>
      </c>
      <c r="Q49" s="1">
        <f>$M49*'TABELA AUXILIAR'!$J$3+SUM(N$2:N49)</f>
        <v>20901.894127568044</v>
      </c>
      <c r="R49" s="1">
        <f>$M49*'TABELA AUXILIAR'!$J$4+SUM(O$2:O49)</f>
        <v>22925.78996977576</v>
      </c>
      <c r="S49" s="1">
        <f>$M49*'TABELA AUXILIAR'!$J$5+SUM(P$2:P49)</f>
        <v>27082.51294366772</v>
      </c>
      <c r="T49" s="2">
        <f t="shared" si="7"/>
        <v>10450</v>
      </c>
      <c r="U49" s="2">
        <f t="shared" si="8"/>
        <v>11462</v>
      </c>
      <c r="V49" s="2">
        <f t="shared" si="9"/>
        <v>13541</v>
      </c>
    </row>
    <row r="50" spans="1:22" x14ac:dyDescent="0.25">
      <c r="A50" s="1">
        <v>28.8</v>
      </c>
      <c r="B50" s="1">
        <v>29.4</v>
      </c>
      <c r="C50" s="1">
        <v>50</v>
      </c>
      <c r="D50" s="1" t="s">
        <v>19</v>
      </c>
      <c r="E50" s="1" t="s">
        <v>5</v>
      </c>
      <c r="F50" s="1" cm="1">
        <f t="array" ref="F50">_xlfn.XLOOKUP(D50,'TABELA AUXILIAR'!$A$2:$A$5,IF('SPT-01'!A50&lt;3,'TABELA AUXILIAR'!$B$2:$B$5,'TABELA AUXILIAR'!$C$2:$C$5),"",0,1)</f>
        <v>10.5</v>
      </c>
      <c r="G50" s="6">
        <f t="shared" si="1"/>
        <v>86.666635026698373</v>
      </c>
      <c r="H50" s="2">
        <f t="shared" si="2"/>
        <v>43.13052403989137</v>
      </c>
      <c r="I50" s="2">
        <f t="shared" si="3"/>
        <v>1316.8995192306816</v>
      </c>
      <c r="J50" s="1">
        <f t="shared" si="10"/>
        <v>304.35000000000019</v>
      </c>
      <c r="K50" s="1">
        <f t="shared" si="4"/>
        <v>0.80671774077824732</v>
      </c>
      <c r="L50" s="1">
        <f t="shared" si="5"/>
        <v>245.52454440585973</v>
      </c>
      <c r="M50" s="1">
        <f t="shared" si="6"/>
        <v>2644.2089867255067</v>
      </c>
      <c r="N50" s="1">
        <f>$L50*'TABELA AUXILIAR'!$I$3*(B50-A50)</f>
        <v>553.90337217961758</v>
      </c>
      <c r="O50" s="1">
        <f>$L50*'TABELA AUXILIAR'!$I$4*(B50-A50)</f>
        <v>601.04408470554256</v>
      </c>
      <c r="P50" s="1">
        <f>$L50*'TABELA AUXILIAR'!$I$5*(B50-A50)</f>
        <v>693.85236249095715</v>
      </c>
      <c r="Q50" s="1">
        <f>$M50*'TABELA AUXILIAR'!$J$3+SUM(N$2:N50)</f>
        <v>21493.062787844065</v>
      </c>
      <c r="R50" s="1">
        <f>$M50*'TABELA AUXILIAR'!$J$4+SUM(O$2:O50)</f>
        <v>23570.36518747887</v>
      </c>
      <c r="S50" s="1">
        <f>$M50*'TABELA AUXILIAR'!$J$5+SUM(P$2:P50)</f>
        <v>27834.406816822098</v>
      </c>
      <c r="T50" s="2">
        <f t="shared" si="7"/>
        <v>10746</v>
      </c>
      <c r="U50" s="2">
        <f t="shared" si="8"/>
        <v>11785</v>
      </c>
      <c r="V50" s="2">
        <f t="shared" si="9"/>
        <v>13917</v>
      </c>
    </row>
    <row r="51" spans="1:22" x14ac:dyDescent="0.25">
      <c r="A51" s="1">
        <v>29.4</v>
      </c>
      <c r="B51" s="1">
        <v>30</v>
      </c>
      <c r="C51" s="1">
        <v>50</v>
      </c>
      <c r="D51" s="1" t="s">
        <v>19</v>
      </c>
      <c r="E51" s="1" t="s">
        <v>5</v>
      </c>
      <c r="F51" s="1" cm="1">
        <f t="array" ref="F51">_xlfn.XLOOKUP(D51,'TABELA AUXILIAR'!$A$2:$A$5,IF('SPT-01'!A51&lt;3,'TABELA AUXILIAR'!$B$2:$B$5,'TABELA AUXILIAR'!$C$2:$C$5),"",0,1)</f>
        <v>10.5</v>
      </c>
      <c r="G51" s="6">
        <f t="shared" si="1"/>
        <v>87.559033815843762</v>
      </c>
      <c r="H51" s="2">
        <f t="shared" si="2"/>
        <v>43.13052403989137</v>
      </c>
      <c r="I51" s="2">
        <f t="shared" si="3"/>
        <v>1330.4595188317458</v>
      </c>
      <c r="J51" s="1">
        <f t="shared" si="10"/>
        <v>310.6500000000002</v>
      </c>
      <c r="K51" s="1">
        <f t="shared" si="4"/>
        <v>0.80108753628031004</v>
      </c>
      <c r="L51" s="1">
        <f t="shared" si="5"/>
        <v>248.85784314547848</v>
      </c>
      <c r="M51" s="1">
        <f t="shared" si="6"/>
        <v>2676.9151649320302</v>
      </c>
      <c r="N51" s="1">
        <f>$L51*'TABELA AUXILIAR'!$I$3*(B51-A51)</f>
        <v>561.42329413620075</v>
      </c>
      <c r="O51" s="1">
        <f>$L51*'TABELA AUXILIAR'!$I$4*(B51-A51)</f>
        <v>609.20400002013275</v>
      </c>
      <c r="P51" s="1">
        <f>$L51*'TABELA AUXILIAR'!$I$5*(B51-A51)</f>
        <v>703.27226472912389</v>
      </c>
      <c r="Q51" s="1">
        <f>$M51*'TABELA AUXILIAR'!$J$3+SUM(N$2:N51)</f>
        <v>22091.44406335364</v>
      </c>
      <c r="R51" s="1">
        <f>$M51*'TABELA AUXILIAR'!$J$4+SUM(O$2:O51)</f>
        <v>24222.741342731613</v>
      </c>
      <c r="S51" s="1">
        <f>$M51*'TABELA AUXILIAR'!$J$5+SUM(P$2:P51)</f>
        <v>28595.241955194702</v>
      </c>
      <c r="T51" s="2">
        <f t="shared" si="7"/>
        <v>11045</v>
      </c>
      <c r="U51" s="2">
        <f t="shared" si="8"/>
        <v>12111</v>
      </c>
      <c r="V51" s="2">
        <f t="shared" si="9"/>
        <v>14297</v>
      </c>
    </row>
    <row r="52" spans="1:22" x14ac:dyDescent="0.25">
      <c r="A52" s="1">
        <v>30</v>
      </c>
      <c r="B52" s="1">
        <v>30.6</v>
      </c>
      <c r="C52" s="1">
        <v>50</v>
      </c>
      <c r="D52" s="1" t="s">
        <v>19</v>
      </c>
      <c r="E52" s="1" t="s">
        <v>5</v>
      </c>
      <c r="F52" s="1" cm="1">
        <f t="array" ref="F52">_xlfn.XLOOKUP(D52,'TABELA AUXILIAR'!$A$2:$A$5,IF('SPT-01'!A52&lt;3,'TABELA AUXILIAR'!$B$2:$B$5,'TABELA AUXILIAR'!$C$2:$C$5),"",0,1)</f>
        <v>10.5</v>
      </c>
      <c r="G52" s="6">
        <f t="shared" si="1"/>
        <v>88.442428611369579</v>
      </c>
      <c r="H52" s="2">
        <f t="shared" si="2"/>
        <v>43.13052403989137</v>
      </c>
      <c r="I52" s="2">
        <f t="shared" si="3"/>
        <v>1343.8827027497607</v>
      </c>
      <c r="J52" s="1">
        <f t="shared" si="10"/>
        <v>316.95000000000027</v>
      </c>
      <c r="K52" s="1">
        <f t="shared" si="4"/>
        <v>0.79560849449110349</v>
      </c>
      <c r="L52" s="1">
        <f t="shared" si="5"/>
        <v>252.16811232895546</v>
      </c>
      <c r="M52" s="1">
        <f t="shared" si="6"/>
        <v>2709.3570814212821</v>
      </c>
      <c r="N52" s="1">
        <f>$L52*'TABELA AUXILIAR'!$I$3*(B52-A52)</f>
        <v>568.89126141412476</v>
      </c>
      <c r="O52" s="1">
        <f>$L52*'TABELA AUXILIAR'!$I$4*(B52-A52)</f>
        <v>617.30753898128444</v>
      </c>
      <c r="P52" s="1">
        <f>$L52*'TABELA AUXILIAR'!$I$5*(B52-A52)</f>
        <v>712.62708544162979</v>
      </c>
      <c r="Q52" s="1">
        <f>$M52*'TABELA AUXILIAR'!$J$3+SUM(N$2:N52)</f>
        <v>22696.994690400621</v>
      </c>
      <c r="R52" s="1">
        <f>$M52*'TABELA AUXILIAR'!$J$4+SUM(O$2:O52)</f>
        <v>24882.872211478709</v>
      </c>
      <c r="S52" s="1">
        <f>$M52*'TABELA AUXILIAR'!$J$5+SUM(P$2:P52)</f>
        <v>29364.966813657418</v>
      </c>
      <c r="T52" s="2">
        <f t="shared" si="7"/>
        <v>11348</v>
      </c>
      <c r="U52" s="2">
        <f t="shared" si="8"/>
        <v>12441</v>
      </c>
      <c r="V52" s="2">
        <f t="shared" si="9"/>
        <v>14682</v>
      </c>
    </row>
    <row r="53" spans="1:22" x14ac:dyDescent="0.25">
      <c r="A53" s="1">
        <v>30.6</v>
      </c>
      <c r="B53" s="1">
        <v>31.2</v>
      </c>
      <c r="C53" s="1">
        <v>50</v>
      </c>
      <c r="D53" s="1" t="s">
        <v>19</v>
      </c>
      <c r="E53" s="1" t="s">
        <v>5</v>
      </c>
      <c r="F53" s="1" cm="1">
        <f t="array" ref="F53">_xlfn.XLOOKUP(D53,'TABELA AUXILIAR'!$A$2:$A$5,IF('SPT-01'!A53&lt;3,'TABELA AUXILIAR'!$B$2:$B$5,'TABELA AUXILIAR'!$C$2:$C$5),"",0,1)</f>
        <v>10.5</v>
      </c>
      <c r="G53" s="6">
        <f t="shared" si="1"/>
        <v>89.317086576927338</v>
      </c>
      <c r="H53" s="2">
        <f t="shared" si="2"/>
        <v>43.13052403989137</v>
      </c>
      <c r="I53" s="2">
        <f t="shared" si="3"/>
        <v>1357.1731305364108</v>
      </c>
      <c r="J53" s="1">
        <f t="shared" si="10"/>
        <v>323.25000000000028</v>
      </c>
      <c r="K53" s="1">
        <f t="shared" si="4"/>
        <v>0.79027367111723912</v>
      </c>
      <c r="L53" s="1">
        <f t="shared" si="5"/>
        <v>255.45596418864778</v>
      </c>
      <c r="M53" s="1">
        <f t="shared" si="6"/>
        <v>2741.5420618113021</v>
      </c>
      <c r="N53" s="1">
        <f>$L53*'TABELA AUXILIAR'!$I$3*(B53-A53)</f>
        <v>576.3086552095873</v>
      </c>
      <c r="O53" s="1">
        <f>$L53*'TABELA AUXILIAR'!$I$4*(B53-A53)</f>
        <v>625.35620033380746</v>
      </c>
      <c r="P53" s="1">
        <f>$L53*'TABELA AUXILIAR'!$I$5*(B53-A53)</f>
        <v>721.91855479711603</v>
      </c>
      <c r="Q53" s="1">
        <f>$M53*'TABELA AUXILIAR'!$J$3+SUM(N$2:N53)</f>
        <v>23309.672373450932</v>
      </c>
      <c r="R53" s="1">
        <f>$M53*'TABELA AUXILIAR'!$J$4+SUM(O$2:O53)</f>
        <v>25550.712585927344</v>
      </c>
      <c r="S53" s="1">
        <f>$M53*'TABELA AUXILIAR'!$J$5+SUM(P$2:P53)</f>
        <v>30143.530933940969</v>
      </c>
      <c r="T53" s="2">
        <f t="shared" si="7"/>
        <v>11654</v>
      </c>
      <c r="U53" s="2">
        <f t="shared" si="8"/>
        <v>12775</v>
      </c>
      <c r="V53" s="2">
        <f t="shared" si="9"/>
        <v>15071</v>
      </c>
    </row>
    <row r="54" spans="1:22" x14ac:dyDescent="0.25">
      <c r="A54" s="1">
        <v>31.2</v>
      </c>
      <c r="B54" s="1">
        <v>31.8</v>
      </c>
      <c r="C54" s="1">
        <v>24</v>
      </c>
      <c r="D54" s="1" t="s">
        <v>19</v>
      </c>
      <c r="E54" s="1" t="s">
        <v>5</v>
      </c>
      <c r="F54" s="1" cm="1">
        <f t="array" ref="F54">_xlfn.XLOOKUP(D54,'TABELA AUXILIAR'!$A$2:$A$5,IF('SPT-01'!A54&lt;3,'TABELA AUXILIAR'!$B$2:$B$5,'TABELA AUXILIAR'!$C$2:$C$5),"",0,1)</f>
        <v>10.5</v>
      </c>
      <c r="G54" s="6">
        <f t="shared" si="1"/>
        <v>43.287965721525858</v>
      </c>
      <c r="H54" s="2">
        <f t="shared" si="2"/>
        <v>40.197943423746771</v>
      </c>
      <c r="I54" s="2">
        <f t="shared" si="3"/>
        <v>657.76063913858536</v>
      </c>
      <c r="J54" s="1">
        <f t="shared" si="10"/>
        <v>329.5500000000003</v>
      </c>
      <c r="K54" s="1">
        <f t="shared" si="4"/>
        <v>0.4680412124729984</v>
      </c>
      <c r="L54" s="1">
        <f t="shared" si="5"/>
        <v>154.24298157047676</v>
      </c>
      <c r="M54" s="1">
        <f t="shared" si="6"/>
        <v>1541.7628356239823</v>
      </c>
      <c r="N54" s="1">
        <f>$L54*'TABELA AUXILIAR'!$I$3*(B54-A54)</f>
        <v>347.97216642299634</v>
      </c>
      <c r="O54" s="1">
        <f>$L54*'TABELA AUXILIAR'!$I$4*(B54-A54)</f>
        <v>377.58681888452799</v>
      </c>
      <c r="P54" s="1">
        <f>$L54*'TABELA AUXILIAR'!$I$5*(B54-A54)</f>
        <v>435.89066591816839</v>
      </c>
      <c r="Q54" s="1">
        <f>$M54*'TABELA AUXILIAR'!$J$3+SUM(N$2:N54)</f>
        <v>22301.894014282254</v>
      </c>
      <c r="R54" s="1">
        <f>$M54*'TABELA AUXILIAR'!$J$4+SUM(O$2:O54)</f>
        <v>24344.59082624461</v>
      </c>
      <c r="S54" s="1">
        <f>$M54*'TABELA AUXILIAR'!$J$5+SUM(P$2:P54)</f>
        <v>28467.810161769452</v>
      </c>
      <c r="T54" s="2">
        <f t="shared" si="7"/>
        <v>11150</v>
      </c>
      <c r="U54" s="2">
        <f t="shared" si="8"/>
        <v>12172</v>
      </c>
      <c r="V54" s="2">
        <f t="shared" si="9"/>
        <v>14233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19</v>
      </c>
      <c r="E55" s="1" t="s">
        <v>5</v>
      </c>
      <c r="F55" s="1" cm="1">
        <f t="array" ref="F55">_xlfn.XLOOKUP(D55,'TABELA AUXILIAR'!$A$2:$A$5,IF('SPT-01'!A55&lt;3,'TABELA AUXILIAR'!$B$2:$B$5,'TABELA AUXILIAR'!$C$2:$C$5),"",0,1)</f>
        <v>10.5</v>
      </c>
      <c r="G55" s="6">
        <f t="shared" si="1"/>
        <v>91.041196754088148</v>
      </c>
      <c r="H55" s="2">
        <f t="shared" si="2"/>
        <v>43.13052403989137</v>
      </c>
      <c r="I55" s="2">
        <f t="shared" si="3"/>
        <v>1383.3709846783693</v>
      </c>
      <c r="J55" s="1">
        <f t="shared" si="10"/>
        <v>335.85000000000031</v>
      </c>
      <c r="K55" s="1">
        <f t="shared" si="4"/>
        <v>0.78001109829982229</v>
      </c>
      <c r="L55" s="1">
        <f t="shared" si="5"/>
        <v>261.96672736399557</v>
      </c>
      <c r="M55" s="1">
        <f t="shared" si="6"/>
        <v>2805.1688319521268</v>
      </c>
      <c r="N55" s="1">
        <f>$L55*'TABELA AUXILIAR'!$I$3*(B55-A55)</f>
        <v>590.99693693317192</v>
      </c>
      <c r="O55" s="1">
        <f>$L55*'TABELA AUXILIAR'!$I$4*(B55-A55)</f>
        <v>641.2945485870589</v>
      </c>
      <c r="P55" s="1">
        <f>$L55*'TABELA AUXILIAR'!$I$5*(B55-A55)</f>
        <v>740.31797153064883</v>
      </c>
      <c r="Q55" s="1">
        <f>$M55*'TABELA AUXILIAR'!$J$3+SUM(N$2:N55)</f>
        <v>24320.539727066229</v>
      </c>
      <c r="R55" s="1">
        <f>$M55*'TABELA AUXILIAR'!$J$4+SUM(O$2:O55)</f>
        <v>26653.581289984821</v>
      </c>
      <c r="S55" s="1">
        <f>$M55*'TABELA AUXILIAR'!$J$5+SUM(P$2:P55)</f>
        <v>31431.722686837638</v>
      </c>
      <c r="T55" s="2">
        <f t="shared" si="7"/>
        <v>12160</v>
      </c>
      <c r="U55" s="2">
        <f t="shared" si="8"/>
        <v>13326</v>
      </c>
      <c r="V55" s="2">
        <f t="shared" si="9"/>
        <v>15715</v>
      </c>
    </row>
    <row r="56" spans="1:22" x14ac:dyDescent="0.25">
      <c r="A56" s="1">
        <v>32.4</v>
      </c>
      <c r="B56" s="1">
        <v>33</v>
      </c>
      <c r="C56" s="1">
        <v>50</v>
      </c>
      <c r="D56" s="1" t="s">
        <v>19</v>
      </c>
      <c r="E56" s="1" t="s">
        <v>5</v>
      </c>
      <c r="F56" s="1" cm="1">
        <f t="array" ref="F56">_xlfn.XLOOKUP(D56,'TABELA AUXILIAR'!$A$2:$A$5,IF('SPT-01'!A56&lt;3,'TABELA AUXILIAR'!$B$2:$B$5,'TABELA AUXILIAR'!$C$2:$C$5),"",0,1)</f>
        <v>10.5</v>
      </c>
      <c r="G56" s="6">
        <f t="shared" si="1"/>
        <v>91.8911218906904</v>
      </c>
      <c r="H56" s="2">
        <f t="shared" si="2"/>
        <v>43.13052403989137</v>
      </c>
      <c r="I56" s="2">
        <f t="shared" si="3"/>
        <v>1396.2855971290405</v>
      </c>
      <c r="J56" s="1">
        <f t="shared" si="10"/>
        <v>342.15000000000032</v>
      </c>
      <c r="K56" s="1">
        <f t="shared" si="4"/>
        <v>0.77507154996536354</v>
      </c>
      <c r="L56" s="1">
        <f t="shared" si="5"/>
        <v>265.19073082064938</v>
      </c>
      <c r="M56" s="1">
        <f t="shared" si="6"/>
        <v>2836.6236526355497</v>
      </c>
      <c r="N56" s="1">
        <f>$L56*'TABELA AUXILIAR'!$I$3*(B56-A56)</f>
        <v>598.27028873138636</v>
      </c>
      <c r="O56" s="1">
        <f>$L56*'TABELA AUXILIAR'!$I$4*(B56-A56)</f>
        <v>649.18690904895118</v>
      </c>
      <c r="P56" s="1">
        <f>$L56*'TABELA AUXILIAR'!$I$5*(B56-A56)</f>
        <v>749.42900529915698</v>
      </c>
      <c r="Q56" s="1">
        <f>$M56*'TABELA AUXILIAR'!$J$3+SUM(N$2:N56)</f>
        <v>24954.35396316988</v>
      </c>
      <c r="R56" s="1">
        <f>$M56*'TABELA AUXILIAR'!$J$4+SUM(O$2:O56)</f>
        <v>27344.288562335889</v>
      </c>
      <c r="S56" s="1">
        <f>$M56*'TABELA AUXILIAR'!$J$5+SUM(P$2:P56)</f>
        <v>32236.512176539618</v>
      </c>
      <c r="T56" s="2">
        <f t="shared" si="7"/>
        <v>12477</v>
      </c>
      <c r="U56" s="2">
        <f t="shared" si="8"/>
        <v>13672</v>
      </c>
      <c r="V56" s="2">
        <f t="shared" si="9"/>
        <v>16118</v>
      </c>
    </row>
    <row r="57" spans="1:22" x14ac:dyDescent="0.25">
      <c r="A57" s="1">
        <v>33</v>
      </c>
      <c r="B57" s="1">
        <v>33.6</v>
      </c>
      <c r="C57" s="1">
        <v>50</v>
      </c>
      <c r="D57" s="1" t="s">
        <v>19</v>
      </c>
      <c r="E57" s="1" t="s">
        <v>5</v>
      </c>
      <c r="F57" s="1" cm="1">
        <f t="array" ref="F57">_xlfn.XLOOKUP(D57,'TABELA AUXILIAR'!$A$2:$A$5,IF('SPT-01'!A57&lt;3,'TABELA AUXILIAR'!$B$2:$B$5,'TABELA AUXILIAR'!$C$2:$C$5),"",0,1)</f>
        <v>10.5</v>
      </c>
      <c r="G57" s="6">
        <f t="shared" si="1"/>
        <v>92.733257562984676</v>
      </c>
      <c r="H57" s="2">
        <f t="shared" si="2"/>
        <v>43.13052403989137</v>
      </c>
      <c r="I57" s="2">
        <f t="shared" si="3"/>
        <v>1409.0818486695521</v>
      </c>
      <c r="J57" s="1">
        <f t="shared" si="10"/>
        <v>348.45000000000039</v>
      </c>
      <c r="K57" s="1">
        <f t="shared" si="4"/>
        <v>0.77025255952284688</v>
      </c>
      <c r="L57" s="1">
        <f t="shared" si="5"/>
        <v>268.39450436573628</v>
      </c>
      <c r="M57" s="1">
        <f t="shared" si="6"/>
        <v>2867.8476380288012</v>
      </c>
      <c r="N57" s="1">
        <f>$L57*'TABELA AUXILIAR'!$I$3*(B57-A57)</f>
        <v>605.49800184910248</v>
      </c>
      <c r="O57" s="1">
        <f>$L57*'TABELA AUXILIAR'!$I$4*(B57-A57)</f>
        <v>657.02974668732395</v>
      </c>
      <c r="P57" s="1">
        <f>$L57*'TABELA AUXILIAR'!$I$5*(B57-A57)</f>
        <v>758.48286933757254</v>
      </c>
      <c r="Q57" s="1">
        <f>$M57*'TABELA AUXILIAR'!$J$3+SUM(N$2:N57)</f>
        <v>25595.135068513358</v>
      </c>
      <c r="R57" s="1">
        <f>$M57*'TABELA AUXILIAR'!$J$4+SUM(O$2:O57)</f>
        <v>28042.533969742304</v>
      </c>
      <c r="S57" s="1">
        <f>$M57*'TABELA AUXILIAR'!$J$5+SUM(P$2:P57)</f>
        <v>33049.949260169313</v>
      </c>
      <c r="T57" s="2">
        <f t="shared" si="7"/>
        <v>12797</v>
      </c>
      <c r="U57" s="2">
        <f t="shared" si="8"/>
        <v>14021</v>
      </c>
      <c r="V57" s="2">
        <f t="shared" si="9"/>
        <v>16524</v>
      </c>
    </row>
    <row r="58" spans="1:22" x14ac:dyDescent="0.25">
      <c r="A58" s="1">
        <v>33.6</v>
      </c>
      <c r="B58" s="1">
        <v>34.200000000000003</v>
      </c>
      <c r="C58" s="1">
        <v>50</v>
      </c>
      <c r="D58" s="1" t="s">
        <v>19</v>
      </c>
      <c r="E58" s="1" t="s">
        <v>5</v>
      </c>
      <c r="F58" s="1" cm="1">
        <f t="array" ref="F58">_xlfn.XLOOKUP(D58,'TABELA AUXILIAR'!$A$2:$A$5,IF('SPT-01'!A58&lt;3,'TABELA AUXILIAR'!$B$2:$B$5,'TABELA AUXILIAR'!$C$2:$C$5),"",0,1)</f>
        <v>10.5</v>
      </c>
      <c r="G58" s="6">
        <f t="shared" si="1"/>
        <v>93.567814093073608</v>
      </c>
      <c r="H58" s="2">
        <f t="shared" si="2"/>
        <v>43.13052403989137</v>
      </c>
      <c r="I58" s="2">
        <f t="shared" si="3"/>
        <v>1421.7629351442533</v>
      </c>
      <c r="J58" s="1">
        <f t="shared" si="10"/>
        <v>354.75000000000045</v>
      </c>
      <c r="K58" s="1">
        <f t="shared" si="4"/>
        <v>0.76554908336915051</v>
      </c>
      <c r="L58" s="1">
        <f t="shared" si="5"/>
        <v>271.57853732520647</v>
      </c>
      <c r="M58" s="1">
        <f t="shared" si="6"/>
        <v>2898.8466106175483</v>
      </c>
      <c r="N58" s="1">
        <f>$L58*'TABELA AUXILIAR'!$I$3*(B58-A58)</f>
        <v>612.68118020566726</v>
      </c>
      <c r="O58" s="1">
        <f>$L58*'TABELA AUXILIAR'!$I$4*(B58-A58)</f>
        <v>664.82425937210701</v>
      </c>
      <c r="P58" s="1">
        <f>$L58*'TABELA AUXILIAR'!$I$5*(B58-A58)</f>
        <v>767.48094648103529</v>
      </c>
      <c r="Q58" s="1">
        <f>$M58*'TABELA AUXILIAR'!$J$3+SUM(N$2:N58)</f>
        <v>26242.84508774431</v>
      </c>
      <c r="R58" s="1">
        <f>$M58*'TABELA AUXILIAR'!$J$4+SUM(O$2:O58)</f>
        <v>28748.276872931561</v>
      </c>
      <c r="S58" s="1">
        <f>$M58*'TABELA AUXILIAR'!$J$5+SUM(P$2:P58)</f>
        <v>33871.988398406538</v>
      </c>
      <c r="T58" s="2">
        <f t="shared" si="7"/>
        <v>13121</v>
      </c>
      <c r="U58" s="2">
        <f t="shared" si="8"/>
        <v>14374</v>
      </c>
      <c r="V58" s="2">
        <f t="shared" si="9"/>
        <v>16935</v>
      </c>
    </row>
    <row r="59" spans="1:22" x14ac:dyDescent="0.25">
      <c r="A59" s="1">
        <v>34.200000000000003</v>
      </c>
      <c r="B59" s="1">
        <v>34.799999999999997</v>
      </c>
      <c r="C59" s="1">
        <v>50</v>
      </c>
      <c r="D59" s="1" t="s">
        <v>19</v>
      </c>
      <c r="E59" s="1" t="s">
        <v>5</v>
      </c>
      <c r="F59" s="1" cm="1">
        <f t="array" ref="F59">_xlfn.XLOOKUP(D59,'TABELA AUXILIAR'!$A$2:$A$5,IF('SPT-01'!A59&lt;3,'TABELA AUXILIAR'!$B$2:$B$5,'TABELA AUXILIAR'!$C$2:$C$5),"",0,1)</f>
        <v>10.5</v>
      </c>
      <c r="G59" s="6">
        <f t="shared" si="1"/>
        <v>94.394992505265421</v>
      </c>
      <c r="H59" s="2">
        <f t="shared" si="2"/>
        <v>43.13052403989137</v>
      </c>
      <c r="I59" s="2">
        <f t="shared" si="3"/>
        <v>1434.3319111175078</v>
      </c>
      <c r="J59" s="1">
        <f t="shared" si="10"/>
        <v>361.05000000000047</v>
      </c>
      <c r="K59" s="1">
        <f t="shared" si="4"/>
        <v>0.76095637372451419</v>
      </c>
      <c r="L59" s="1">
        <f t="shared" si="5"/>
        <v>274.7432987332362</v>
      </c>
      <c r="M59" s="1">
        <f t="shared" si="6"/>
        <v>2929.6261455664394</v>
      </c>
      <c r="N59" s="1">
        <f>$L59*'TABELA AUXILIAR'!$I$3*(B59-A59)</f>
        <v>619.82088194217499</v>
      </c>
      <c r="O59" s="1">
        <f>$L59*'TABELA AUXILIAR'!$I$4*(B59-A59)</f>
        <v>672.5715952989558</v>
      </c>
      <c r="P59" s="1">
        <f>$L59*'TABELA AUXILIAR'!$I$5*(B59-A59)</f>
        <v>776.42456222011822</v>
      </c>
      <c r="Q59" s="1">
        <f>$M59*'TABELA AUXILIAR'!$J$3+SUM(N$2:N59)</f>
        <v>26897.446844178732</v>
      </c>
      <c r="R59" s="1">
        <f>$M59*'TABELA AUXILIAR'!$J$4+SUM(O$2:O59)</f>
        <v>29461.477454363052</v>
      </c>
      <c r="S59" s="1">
        <f>$M59*'TABELA AUXILIAR'!$J$5+SUM(P$2:P59)</f>
        <v>34702.584942136709</v>
      </c>
      <c r="T59" s="2">
        <f t="shared" si="7"/>
        <v>13448</v>
      </c>
      <c r="U59" s="2">
        <f t="shared" si="8"/>
        <v>14730</v>
      </c>
      <c r="V59" s="2">
        <f t="shared" si="9"/>
        <v>17351</v>
      </c>
    </row>
    <row r="60" spans="1:22" x14ac:dyDescent="0.25">
      <c r="A60" s="1">
        <v>34.799999999999997</v>
      </c>
      <c r="B60" s="1">
        <v>35.4</v>
      </c>
      <c r="C60" s="1">
        <v>50</v>
      </c>
      <c r="D60" s="1" t="s">
        <v>19</v>
      </c>
      <c r="E60" s="1" t="s">
        <v>5</v>
      </c>
      <c r="F60" s="1" cm="1">
        <f t="array" ref="F60">_xlfn.XLOOKUP(D60,'TABELA AUXILIAR'!$A$2:$A$5,IF('SPT-01'!A60&lt;3,'TABELA AUXILIAR'!$B$2:$B$5,'TABELA AUXILIAR'!$C$2:$C$5),"",0,1)</f>
        <v>10.5</v>
      </c>
      <c r="G60" s="6">
        <f t="shared" si="1"/>
        <v>95.214985091540299</v>
      </c>
      <c r="H60" s="2">
        <f t="shared" si="2"/>
        <v>43.13052403989137</v>
      </c>
      <c r="I60" s="2">
        <f t="shared" si="3"/>
        <v>1446.7916984659546</v>
      </c>
      <c r="J60" s="1">
        <f t="shared" si="10"/>
        <v>367.35000000000048</v>
      </c>
      <c r="K60" s="1">
        <f t="shared" si="4"/>
        <v>0.75646995647797233</v>
      </c>
      <c r="L60" s="1">
        <f t="shared" si="5"/>
        <v>277.88923851218351</v>
      </c>
      <c r="M60" s="1">
        <f t="shared" si="6"/>
        <v>2960.1915853435453</v>
      </c>
      <c r="N60" s="1">
        <f>$L60*'TABELA AUXILIAR'!$I$3*(B60-A60)</f>
        <v>626.91812208348745</v>
      </c>
      <c r="O60" s="1">
        <f>$L60*'TABELA AUXILIAR'!$I$4*(B60-A60)</f>
        <v>680.27285587782694</v>
      </c>
      <c r="P60" s="1">
        <f>$L60*'TABELA AUXILIAR'!$I$5*(B60-A60)</f>
        <v>785.31498803543252</v>
      </c>
      <c r="Q60" s="1">
        <f>$M60*'TABELA AUXILIAR'!$J$3+SUM(N$2:N60)</f>
        <v>27558.90391321035</v>
      </c>
      <c r="R60" s="1">
        <f>$M60*'TABELA AUXILIAR'!$J$4+SUM(O$2:O60)</f>
        <v>30182.096690746657</v>
      </c>
      <c r="S60" s="1">
        <f>$M60*'TABELA AUXILIAR'!$J$5+SUM(P$2:P60)</f>
        <v>35541.695104179846</v>
      </c>
      <c r="T60" s="2">
        <f t="shared" si="7"/>
        <v>13779</v>
      </c>
      <c r="U60" s="2">
        <f t="shared" si="8"/>
        <v>15091</v>
      </c>
      <c r="V60" s="2">
        <f t="shared" si="9"/>
        <v>17770</v>
      </c>
    </row>
    <row r="61" spans="1:22" x14ac:dyDescent="0.25">
      <c r="A61" s="1">
        <v>35.4</v>
      </c>
      <c r="B61" s="1">
        <v>36</v>
      </c>
      <c r="C61" s="1">
        <v>50</v>
      </c>
      <c r="D61" s="1" t="s">
        <v>19</v>
      </c>
      <c r="E61" s="1" t="s">
        <v>5</v>
      </c>
      <c r="F61" s="1" cm="1">
        <f t="array" ref="F61">_xlfn.XLOOKUP(D61,'TABELA AUXILIAR'!$A$2:$A$5,IF('SPT-01'!A61&lt;3,'TABELA AUXILIAR'!$B$2:$B$5,'TABELA AUXILIAR'!$C$2:$C$5),"",0,1)</f>
        <v>10.5</v>
      </c>
      <c r="G61" s="6">
        <f t="shared" si="1"/>
        <v>96.027975933554771</v>
      </c>
      <c r="H61" s="2">
        <f t="shared" si="2"/>
        <v>43.13052403989137</v>
      </c>
      <c r="I61" s="2">
        <f t="shared" si="3"/>
        <v>1459.1450943103646</v>
      </c>
      <c r="J61" s="1">
        <f t="shared" si="10"/>
        <v>373.65000000000055</v>
      </c>
      <c r="K61" s="1">
        <f t="shared" si="4"/>
        <v>0.75208561103952665</v>
      </c>
      <c r="L61" s="1">
        <f t="shared" si="5"/>
        <v>281.01678856491952</v>
      </c>
      <c r="M61" s="1">
        <f t="shared" si="6"/>
        <v>2990.5480532447964</v>
      </c>
      <c r="N61" s="1">
        <f>$L61*'TABELA AUXILIAR'!$I$3*(B61-A61)</f>
        <v>633.97387500245986</v>
      </c>
      <c r="O61" s="1">
        <f>$L61*'TABELA AUXILIAR'!$I$4*(B61-A61)</f>
        <v>687.92909840692471</v>
      </c>
      <c r="P61" s="1">
        <f>$L61*'TABELA AUXILIAR'!$I$5*(B61-A61)</f>
        <v>794.15344448446444</v>
      </c>
      <c r="Q61" s="1">
        <f>$M61*'TABELA AUXILIAR'!$J$3+SUM(N$2:N61)</f>
        <v>28227.18059694122</v>
      </c>
      <c r="R61" s="1">
        <f>$M61*'TABELA AUXILIAR'!$J$4+SUM(O$2:O61)</f>
        <v>30910.09632678323</v>
      </c>
      <c r="S61" s="1">
        <f>$M61*'TABELA AUXILIAR'!$J$5+SUM(P$2:P61)</f>
        <v>36389.275932170516</v>
      </c>
      <c r="T61" s="2">
        <f t="shared" si="7"/>
        <v>14113</v>
      </c>
      <c r="U61" s="2">
        <f t="shared" si="8"/>
        <v>15455</v>
      </c>
      <c r="V61" s="2">
        <f t="shared" si="9"/>
        <v>18194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19</v>
      </c>
      <c r="E62" s="1" t="s">
        <v>5</v>
      </c>
      <c r="F62" s="1" cm="1">
        <f t="array" ref="F62">_xlfn.XLOOKUP(D62,'TABELA AUXILIAR'!$A$2:$A$5,IF('SPT-01'!A62&lt;3,'TABELA AUXILIAR'!$B$2:$B$5,'TABELA AUXILIAR'!$C$2:$C$5),"",0,1)</f>
        <v>10.5</v>
      </c>
      <c r="G62" s="6">
        <f t="shared" si="1"/>
        <v>96.834141385197952</v>
      </c>
      <c r="H62" s="2">
        <f t="shared" si="2"/>
        <v>43.13052403989137</v>
      </c>
      <c r="I62" s="2">
        <f t="shared" si="3"/>
        <v>1471.3947783480828</v>
      </c>
      <c r="J62" s="1">
        <f t="shared" si="10"/>
        <v>379.95000000000061</v>
      </c>
      <c r="K62" s="1">
        <f t="shared" si="4"/>
        <v>0.74779935198685654</v>
      </c>
      <c r="L62" s="1">
        <f t="shared" si="5"/>
        <v>284.1263637874066</v>
      </c>
      <c r="M62" s="1">
        <f t="shared" si="6"/>
        <v>3020.7004659182371</v>
      </c>
      <c r="N62" s="1">
        <f>$L62*'TABELA AUXILIAR'!$I$3*(B62-A62)</f>
        <v>640.98907670439075</v>
      </c>
      <c r="O62" s="1">
        <f>$L62*'TABELA AUXILIAR'!$I$4*(B62-A62)</f>
        <v>695.54133855157306</v>
      </c>
      <c r="P62" s="1">
        <f>$L62*'TABELA AUXILIAR'!$I$5*(B62-A62)</f>
        <v>802.94110406321295</v>
      </c>
      <c r="Q62" s="1">
        <f>$M62*'TABELA AUXILIAR'!$J$3+SUM(N$2:N62)</f>
        <v>28902.241899966601</v>
      </c>
      <c r="R62" s="1">
        <f>$M62*'TABELA AUXILIAR'!$J$4+SUM(O$2:O62)</f>
        <v>31645.438850063747</v>
      </c>
      <c r="S62" s="1">
        <f>$M62*'TABELA AUXILIAR'!$J$5+SUM(P$2:P62)</f>
        <v>37245.285282538985</v>
      </c>
      <c r="T62" s="2">
        <f t="shared" si="7"/>
        <v>14451</v>
      </c>
      <c r="U62" s="2">
        <f t="shared" si="8"/>
        <v>15822</v>
      </c>
      <c r="V62" s="2">
        <f t="shared" si="9"/>
        <v>18622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19</v>
      </c>
      <c r="E63" s="1" t="s">
        <v>5</v>
      </c>
      <c r="F63" s="1" cm="1">
        <f t="array" ref="F63">_xlfn.XLOOKUP(D63,'TABELA AUXILIAR'!$A$2:$A$5,IF('SPT-01'!A63&lt;3,'TABELA AUXILIAR'!$B$2:$B$5,'TABELA AUXILIAR'!$C$2:$C$5),"",0,1)</f>
        <v>10.5</v>
      </c>
      <c r="G63" s="6">
        <f t="shared" si="1"/>
        <v>97.633650519283748</v>
      </c>
      <c r="H63" s="2">
        <f t="shared" si="2"/>
        <v>43.13052403989137</v>
      </c>
      <c r="I63" s="2">
        <f t="shared" si="3"/>
        <v>1483.5433196405163</v>
      </c>
      <c r="J63" s="1">
        <f t="shared" si="10"/>
        <v>386.25000000000068</v>
      </c>
      <c r="K63" s="1">
        <f t="shared" si="4"/>
        <v>0.74360741231991889</v>
      </c>
      <c r="L63" s="1">
        <f t="shared" si="5"/>
        <v>287.21836300856916</v>
      </c>
      <c r="M63" s="1">
        <f t="shared" si="6"/>
        <v>3050.6535449773783</v>
      </c>
      <c r="N63" s="1">
        <f>$L63*'TABELA AUXILIAR'!$I$3*(B63-A63)</f>
        <v>647.9646269473335</v>
      </c>
      <c r="O63" s="1">
        <f>$L63*'TABELA AUXILIAR'!$I$4*(B63-A63)</f>
        <v>703.11055264497895</v>
      </c>
      <c r="P63" s="1">
        <f>$L63*'TABELA AUXILIAR'!$I$5*(B63-A63)</f>
        <v>811.67909386221834</v>
      </c>
      <c r="Q63" s="1">
        <f>$M63*'TABELA AUXILIAR'!$J$3+SUM(N$2:N63)</f>
        <v>29584.053506250762</v>
      </c>
      <c r="R63" s="1">
        <f>$M63*'TABELA AUXILIAR'!$J$4+SUM(O$2:O63)</f>
        <v>32388.087467066794</v>
      </c>
      <c r="S63" s="1">
        <f>$M63*'TABELA AUXILIAR'!$J$5+SUM(P$2:P63)</f>
        <v>38109.681795545286</v>
      </c>
      <c r="T63" s="2">
        <f t="shared" si="7"/>
        <v>14792</v>
      </c>
      <c r="U63" s="2">
        <f t="shared" si="8"/>
        <v>16194</v>
      </c>
      <c r="V63" s="2">
        <f t="shared" si="9"/>
        <v>19054</v>
      </c>
    </row>
    <row r="64" spans="1:22" x14ac:dyDescent="0.25">
      <c r="A64" s="1">
        <v>37.200000000000003</v>
      </c>
      <c r="B64" s="1">
        <v>37.799999999999997</v>
      </c>
      <c r="C64" s="1">
        <v>50</v>
      </c>
      <c r="D64" s="1" t="s">
        <v>19</v>
      </c>
      <c r="E64" s="1" t="s">
        <v>5</v>
      </c>
      <c r="F64" s="1" cm="1">
        <f t="array" ref="F64">_xlfn.XLOOKUP(D64,'TABELA AUXILIAR'!$A$2:$A$5,IF('SPT-01'!A64&lt;3,'TABELA AUXILIAR'!$B$2:$B$5,'TABELA AUXILIAR'!$C$2:$C$5),"",0,1)</f>
        <v>10.5</v>
      </c>
      <c r="G64" s="6">
        <f t="shared" si="1"/>
        <v>98.426665541583631</v>
      </c>
      <c r="H64" s="2">
        <f t="shared" si="2"/>
        <v>43.13052403989137</v>
      </c>
      <c r="I64" s="2">
        <f t="shared" si="3"/>
        <v>1495.5931829043632</v>
      </c>
      <c r="J64" s="1">
        <f t="shared" si="10"/>
        <v>392.55000000000069</v>
      </c>
      <c r="K64" s="1">
        <f t="shared" si="4"/>
        <v>0.73950622815890121</v>
      </c>
      <c r="L64" s="1">
        <f t="shared" si="5"/>
        <v>290.29316986377717</v>
      </c>
      <c r="M64" s="1">
        <f t="shared" si="6"/>
        <v>3080.4118277836524</v>
      </c>
      <c r="N64" s="1">
        <f>$L64*'TABELA AUXILIAR'!$I$3*(B64-A64)</f>
        <v>654.90139121267498</v>
      </c>
      <c r="O64" s="1">
        <f>$L64*'TABELA AUXILIAR'!$I$4*(B64-A64)</f>
        <v>710.63767982651984</v>
      </c>
      <c r="P64" s="1">
        <f>$L64*'TABELA AUXILIAR'!$I$5*(B64-A64)</f>
        <v>820.36849803502651</v>
      </c>
      <c r="Q64" s="1">
        <f>$M64*'TABELA AUXILIAR'!$J$3+SUM(N$2:N64)</f>
        <v>30272.581757034528</v>
      </c>
      <c r="R64" s="1">
        <f>$M64*'TABELA AUXILIAR'!$J$4+SUM(O$2:O64)</f>
        <v>33138.006080197592</v>
      </c>
      <c r="S64" s="1">
        <f>$M64*'TABELA AUXILIAR'!$J$5+SUM(P$2:P64)</f>
        <v>38982.424871319359</v>
      </c>
      <c r="T64" s="2">
        <f t="shared" si="7"/>
        <v>15136</v>
      </c>
      <c r="U64" s="2">
        <f t="shared" si="8"/>
        <v>16569</v>
      </c>
      <c r="V64" s="2">
        <f t="shared" si="9"/>
        <v>19491</v>
      </c>
    </row>
    <row r="65" spans="1:22" x14ac:dyDescent="0.25">
      <c r="A65" s="1">
        <v>37.799999999999997</v>
      </c>
      <c r="B65" s="1">
        <v>38.4</v>
      </c>
      <c r="C65" s="1">
        <v>50</v>
      </c>
      <c r="D65" s="1" t="s">
        <v>19</v>
      </c>
      <c r="E65" s="1" t="s">
        <v>5</v>
      </c>
      <c r="F65" s="1" cm="1">
        <f t="array" ref="F65">_xlfn.XLOOKUP(D65,'TABELA AUXILIAR'!$A$2:$A$5,IF('SPT-01'!A65&lt;3,'TABELA AUXILIAR'!$B$2:$B$5,'TABELA AUXILIAR'!$C$2:$C$5),"",0,1)</f>
        <v>10.5</v>
      </c>
      <c r="G65" s="6">
        <f t="shared" si="1"/>
        <v>99.213342175071872</v>
      </c>
      <c r="H65" s="2">
        <f t="shared" si="2"/>
        <v>43.13052403989137</v>
      </c>
      <c r="I65" s="2">
        <f t="shared" si="3"/>
        <v>1507.5467343502169</v>
      </c>
      <c r="J65" s="1">
        <f t="shared" si="10"/>
        <v>398.8500000000007</v>
      </c>
      <c r="K65" s="1">
        <f t="shared" si="4"/>
        <v>0.73549242474016829</v>
      </c>
      <c r="L65" s="1">
        <f t="shared" si="5"/>
        <v>293.35115360761665</v>
      </c>
      <c r="M65" s="1">
        <f t="shared" si="6"/>
        <v>3109.9796774697438</v>
      </c>
      <c r="N65" s="1">
        <f>$L65*'TABELA AUXILIAR'!$I$3*(B65-A65)</f>
        <v>661.80020253878467</v>
      </c>
      <c r="O65" s="1">
        <f>$L65*'TABELA AUXILIAR'!$I$4*(B65-A65)</f>
        <v>718.12362403144732</v>
      </c>
      <c r="P65" s="1">
        <f>$L65*'TABELA AUXILIAR'!$I$5*(B65-A65)</f>
        <v>829.01036009512654</v>
      </c>
      <c r="Q65" s="1">
        <f>$M65*'TABELA AUXILIAR'!$J$3+SUM(N$2:N65)</f>
        <v>30967.793629718595</v>
      </c>
      <c r="R65" s="1">
        <f>$M65*'TABELA AUXILIAR'!$J$4+SUM(O$2:O65)</f>
        <v>33895.159265814684</v>
      </c>
      <c r="S65" s="1">
        <f>$M65*'TABELA AUXILIAR'!$J$5+SUM(P$2:P65)</f>
        <v>39863.474646862007</v>
      </c>
      <c r="T65" s="2">
        <f t="shared" si="7"/>
        <v>15483</v>
      </c>
      <c r="U65" s="2">
        <f t="shared" si="8"/>
        <v>16947</v>
      </c>
      <c r="V65" s="2">
        <f t="shared" si="9"/>
        <v>19931</v>
      </c>
    </row>
    <row r="66" spans="1:22" x14ac:dyDescent="0.25">
      <c r="A66" s="1">
        <v>38.4</v>
      </c>
      <c r="B66" s="1">
        <v>39</v>
      </c>
      <c r="C66" s="1">
        <v>40</v>
      </c>
      <c r="D66" s="1" t="s">
        <v>19</v>
      </c>
      <c r="E66" s="1" t="s">
        <v>5</v>
      </c>
      <c r="F66" s="1" cm="1">
        <f t="array" ref="F66">_xlfn.XLOOKUP(D66,'TABELA AUXILIAR'!$A$2:$A$5,IF('SPT-01'!A66&lt;3,'TABELA AUXILIAR'!$B$2:$B$5,'TABELA AUXILIAR'!$C$2:$C$5),"",0,1)</f>
        <v>10.5</v>
      </c>
      <c r="G66" s="6">
        <f t="shared" si="1"/>
        <v>79.995064013569333</v>
      </c>
      <c r="H66" s="2">
        <f t="shared" si="2"/>
        <v>42.238951920217254</v>
      </c>
      <c r="I66" s="2">
        <f t="shared" si="3"/>
        <v>1215.524997686186</v>
      </c>
      <c r="J66" s="1">
        <f t="shared" si="10"/>
        <v>405.15000000000077</v>
      </c>
      <c r="K66" s="1">
        <f t="shared" si="4"/>
        <v>0.62288196359044523</v>
      </c>
      <c r="L66" s="1">
        <f t="shared" si="5"/>
        <v>252.36062754866936</v>
      </c>
      <c r="M66" s="1">
        <f t="shared" si="6"/>
        <v>2626.1122696558841</v>
      </c>
      <c r="N66" s="1">
        <f>$L66*'TABELA AUXILIAR'!$I$3*(B66-A66)</f>
        <v>569.32557574979944</v>
      </c>
      <c r="O66" s="1">
        <f>$L66*'TABELA AUXILIAR'!$I$4*(B66-A66)</f>
        <v>617.77881623914402</v>
      </c>
      <c r="P66" s="1">
        <f>$L66*'TABELA AUXILIAR'!$I$5*(B66-A66)</f>
        <v>713.1711334525412</v>
      </c>
      <c r="Q66" s="1">
        <f>$M66*'TABELA AUXILIAR'!$J$3+SUM(N$2:N66)</f>
        <v>30990.349034638733</v>
      </c>
      <c r="R66" s="1">
        <f>$M66*'TABELA AUXILIAR'!$J$4+SUM(O$2:O66)</f>
        <v>33874.233103739534</v>
      </c>
      <c r="S66" s="1">
        <f>$M66*'TABELA AUXILIAR'!$J$5+SUM(P$2:P66)</f>
        <v>39725.039142562156</v>
      </c>
      <c r="T66" s="2">
        <f t="shared" si="7"/>
        <v>15495</v>
      </c>
      <c r="U66" s="2">
        <f t="shared" si="8"/>
        <v>16937</v>
      </c>
      <c r="V66" s="2">
        <f t="shared" si="9"/>
        <v>19862</v>
      </c>
    </row>
    <row r="67" spans="1:22" x14ac:dyDescent="0.25">
      <c r="A67" s="1">
        <v>39</v>
      </c>
      <c r="B67" s="1">
        <v>39.6</v>
      </c>
      <c r="C67" s="1">
        <v>50</v>
      </c>
      <c r="D67" s="1" t="s">
        <v>19</v>
      </c>
      <c r="E67" s="1" t="s">
        <v>5</v>
      </c>
      <c r="F67" s="1" cm="1">
        <f t="array" ref="F67">_xlfn.XLOOKUP(D67,'TABELA AUXILIAR'!$A$2:$A$5,IF('SPT-01'!A67&lt;3,'TABELA AUXILIAR'!$B$2:$B$5,'TABELA AUXILIAR'!$C$2:$C$5),"",0,1)</f>
        <v>10.5</v>
      </c>
      <c r="G67" s="6">
        <f t="shared" ref="G67:G75" si="11">C67 / MIN(2, SQRT(101.3/J67))</f>
        <v>100.76827287085035</v>
      </c>
      <c r="H67" s="2">
        <f t="shared" ref="H67:H75" si="12">27.5+9.2*LOG10(C67)</f>
        <v>43.13052403989137</v>
      </c>
      <c r="I67" s="2">
        <f t="shared" ref="I67:I75" si="13">IF(D67="Areias",101.3*0.47*(G67)^0.8,101.3*0.15*(G67))</f>
        <v>1531.173906272571</v>
      </c>
      <c r="J67" s="1">
        <f t="shared" si="10"/>
        <v>411.45000000000084</v>
      </c>
      <c r="K67" s="1">
        <f t="shared" ref="K67:K75" si="14">(1-SIN(RADIANS(H67)))*(I67/J67)^SIN(RADIANS(H67))*TAN(RADIANS(H67))</f>
        <v>0.72771433070274527</v>
      </c>
      <c r="L67" s="1">
        <f t="shared" ref="L67:L75" si="15">K67*J67</f>
        <v>299.41806136764518</v>
      </c>
      <c r="M67" s="1">
        <f t="shared" ref="M67:M75" si="16">0.59*(G67*101.3/J67)^0.8*J67</f>
        <v>3168.5607142046433</v>
      </c>
      <c r="N67" s="1">
        <f>$L67*'TABELA AUXILIAR'!$I$3*(B67-A67)</f>
        <v>675.48714644540905</v>
      </c>
      <c r="O67" s="1">
        <f>$L67*'TABELA AUXILIAR'!$I$4*(B67-A67)</f>
        <v>732.97541422799713</v>
      </c>
      <c r="P67" s="1">
        <f>$L67*'TABELA AUXILIAR'!$I$5*(B67-A67)</f>
        <v>846.15544142496731</v>
      </c>
      <c r="Q67" s="1">
        <f>$M67*'TABELA AUXILIAR'!$J$3+SUM(N$2:N67)</f>
        <v>32278.802923424242</v>
      </c>
      <c r="R67" s="1">
        <f>$M67*'TABELA AUXILIAR'!$J$4+SUM(O$2:O67)</f>
        <v>35323.240464771887</v>
      </c>
      <c r="S67" s="1">
        <f>$M67*'TABELA AUXILIAR'!$J$5+SUM(P$2:P67)</f>
        <v>41525.903846392939</v>
      </c>
      <c r="T67" s="2">
        <f t="shared" ref="T67:T75" si="17">ROUNDDOWN(Q67/2,0)</f>
        <v>16139</v>
      </c>
      <c r="U67" s="2">
        <f t="shared" ref="U67:U75" si="18">ROUNDDOWN(R67/2,0)</f>
        <v>17661</v>
      </c>
      <c r="V67" s="2">
        <f t="shared" ref="V67:V75" si="19">ROUNDDOWN(S67/2,0)</f>
        <v>20762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19</v>
      </c>
      <c r="E68" s="1" t="s">
        <v>5</v>
      </c>
      <c r="F68" s="1" cm="1">
        <f t="array" ref="F68">_xlfn.XLOOKUP(D68,'TABELA AUXILIAR'!$A$2:$A$5,IF('SPT-01'!A68&lt;3,'TABELA AUXILIAR'!$B$2:$B$5,'TABELA AUXILIAR'!$C$2:$C$5),"",0,1)</f>
        <v>10.5</v>
      </c>
      <c r="G68" s="6">
        <f t="shared" si="11"/>
        <v>101.53680905606247</v>
      </c>
      <c r="H68" s="2">
        <f t="shared" si="12"/>
        <v>43.13052403989137</v>
      </c>
      <c r="I68" s="2">
        <f t="shared" si="13"/>
        <v>1542.851813606869</v>
      </c>
      <c r="J68" s="1">
        <f t="shared" ref="J68:J75" si="20">J67+(B67-A67)/2*F67+(B68-A68)/2*F68</f>
        <v>417.75000000000091</v>
      </c>
      <c r="K68" s="1">
        <f t="shared" si="14"/>
        <v>0.72394412579967105</v>
      </c>
      <c r="L68" s="1">
        <f t="shared" si="15"/>
        <v>302.42765855281323</v>
      </c>
      <c r="M68" s="1">
        <f t="shared" si="16"/>
        <v>3197.5818372045501</v>
      </c>
      <c r="N68" s="1">
        <f>$L68*'TABELA AUXILIAR'!$I$3*(B68-A68)</f>
        <v>682.27679769514816</v>
      </c>
      <c r="O68" s="1">
        <f>$L68*'TABELA AUXILIAR'!$I$4*(B68-A68)</f>
        <v>740.34290813728853</v>
      </c>
      <c r="P68" s="1">
        <f>$L68*'TABELA AUXILIAR'!$I$5*(B68-A68)</f>
        <v>854.66056307025224</v>
      </c>
      <c r="Q68" s="1">
        <f>$M68*'TABELA AUXILIAR'!$J$3+SUM(N$2:N68)</f>
        <v>32993.87359010928</v>
      </c>
      <c r="R68" s="1">
        <f>$M68*'TABELA AUXILIAR'!$J$4+SUM(O$2:O68)</f>
        <v>36101.891255269053</v>
      </c>
      <c r="S68" s="1">
        <f>$M68*'TABELA AUXILIAR'!$J$5+SUM(P$2:P68)</f>
        <v>42431.641585943027</v>
      </c>
      <c r="T68" s="2">
        <f t="shared" si="17"/>
        <v>16496</v>
      </c>
      <c r="U68" s="2">
        <f t="shared" si="18"/>
        <v>18050</v>
      </c>
      <c r="V68" s="2">
        <f t="shared" si="19"/>
        <v>21215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19</v>
      </c>
      <c r="E69" s="1" t="s">
        <v>5</v>
      </c>
      <c r="F69" s="1" cm="1">
        <f t="array" ref="F69">_xlfn.XLOOKUP(D69,'TABELA AUXILIAR'!$A$2:$A$5,IF('SPT-01'!A69&lt;3,'TABELA AUXILIAR'!$B$2:$B$5,'TABELA AUXILIAR'!$C$2:$C$5),"",0,1)</f>
        <v>10.5</v>
      </c>
      <c r="G69" s="6">
        <f t="shared" si="11"/>
        <v>102.29957169607513</v>
      </c>
      <c r="H69" s="2">
        <f t="shared" si="12"/>
        <v>43.13052403989137</v>
      </c>
      <c r="I69" s="2">
        <f t="shared" si="13"/>
        <v>1554.4419919218615</v>
      </c>
      <c r="J69" s="1">
        <f t="shared" si="20"/>
        <v>424.05000000000092</v>
      </c>
      <c r="K69" s="1">
        <f t="shared" si="14"/>
        <v>0.72024945228201365</v>
      </c>
      <c r="L69" s="1">
        <f t="shared" si="15"/>
        <v>305.42178024018853</v>
      </c>
      <c r="M69" s="1">
        <f t="shared" si="16"/>
        <v>3226.4284146668501</v>
      </c>
      <c r="N69" s="1">
        <f>$L69*'TABELA AUXILIAR'!$I$3*(B69-A69)</f>
        <v>689.0315362218588</v>
      </c>
      <c r="O69" s="1">
        <f>$L69*'TABELA AUXILIAR'!$I$4*(B69-A69)</f>
        <v>747.67251802797443</v>
      </c>
      <c r="P69" s="1">
        <f>$L69*'TABELA AUXILIAR'!$I$5*(B69-A69)</f>
        <v>863.12195095876461</v>
      </c>
      <c r="Q69" s="1">
        <f>$M69*'TABELA AUXILIAR'!$J$3+SUM(N$2:N69)</f>
        <v>33715.501758863538</v>
      </c>
      <c r="R69" s="1">
        <f>$M69*'TABELA AUXILIAR'!$J$4+SUM(O$2:O69)</f>
        <v>36887.641255547263</v>
      </c>
      <c r="S69" s="1">
        <f>$M69*'TABELA AUXILIAR'!$J$5+SUM(P$2:P69)</f>
        <v>43345.533513235445</v>
      </c>
      <c r="T69" s="2">
        <f t="shared" si="17"/>
        <v>16857</v>
      </c>
      <c r="U69" s="2">
        <f t="shared" si="18"/>
        <v>18443</v>
      </c>
      <c r="V69" s="2">
        <f t="shared" si="19"/>
        <v>21672</v>
      </c>
    </row>
    <row r="70" spans="1:22" x14ac:dyDescent="0.25">
      <c r="A70" s="1">
        <v>40.799999999999997</v>
      </c>
      <c r="B70" s="1">
        <v>41.4</v>
      </c>
      <c r="C70" s="1">
        <v>28</v>
      </c>
      <c r="D70" s="1" t="s">
        <v>18</v>
      </c>
      <c r="E70" s="1" t="s">
        <v>8</v>
      </c>
      <c r="F70" s="1" cm="1">
        <f t="array" ref="F70">_xlfn.XLOOKUP(D70,'TABELA AUXILIAR'!$A$2:$A$5,IF('SPT-01'!A70&lt;3,'TABELA AUXILIAR'!$B$2:$B$5,'TABELA AUXILIAR'!$C$2:$C$5),"",0,1)</f>
        <v>8.5</v>
      </c>
      <c r="G70" s="6">
        <f t="shared" si="11"/>
        <v>57.671500538252602</v>
      </c>
      <c r="H70" s="2">
        <f t="shared" si="12"/>
        <v>40.813853888348419</v>
      </c>
      <c r="I70" s="2">
        <f t="shared" si="13"/>
        <v>1220.3272364021109</v>
      </c>
      <c r="J70" s="1">
        <f t="shared" si="20"/>
        <v>429.75000000000091</v>
      </c>
      <c r="K70" s="1">
        <f t="shared" si="14"/>
        <v>0.59174972657580438</v>
      </c>
      <c r="L70" s="1">
        <f t="shared" si="15"/>
        <v>254.30444499595248</v>
      </c>
      <c r="M70" s="1">
        <f t="shared" si="16"/>
        <v>2045.275170481357</v>
      </c>
      <c r="N70" s="1">
        <f>$L70*'TABELA AUXILIAR'!$I$3*(B70-A70)</f>
        <v>573.71082791087008</v>
      </c>
      <c r="O70" s="1">
        <f>$L70*'TABELA AUXILIAR'!$I$4*(B70-A70)</f>
        <v>622.53728135009317</v>
      </c>
      <c r="P70" s="1">
        <f>$L70*'TABELA AUXILIAR'!$I$5*(B70-A70)</f>
        <v>718.66436155856343</v>
      </c>
      <c r="Q70" s="1">
        <f>$M70*'TABELA AUXILIAR'!$J$3+SUM(N$2:N70)</f>
        <v>32954.509420844799</v>
      </c>
      <c r="R70" s="1">
        <f>$M70*'TABELA AUXILIAR'!$J$4+SUM(O$2:O70)</f>
        <v>35951.056254572512</v>
      </c>
      <c r="S70" s="1">
        <f>$M70*'TABELA AUXILIAR'!$J$5+SUM(P$2:P70)</f>
        <v>41985.368165027539</v>
      </c>
      <c r="T70" s="2">
        <f t="shared" si="17"/>
        <v>16477</v>
      </c>
      <c r="U70" s="2">
        <f t="shared" si="18"/>
        <v>17975</v>
      </c>
      <c r="V70" s="2">
        <f t="shared" si="19"/>
        <v>20992</v>
      </c>
    </row>
    <row r="71" spans="1:22" x14ac:dyDescent="0.25">
      <c r="A71" s="1">
        <v>41.4</v>
      </c>
      <c r="B71" s="1">
        <v>42</v>
      </c>
      <c r="C71" s="1">
        <v>26</v>
      </c>
      <c r="D71" s="1" t="s">
        <v>18</v>
      </c>
      <c r="E71" s="1" t="s">
        <v>8</v>
      </c>
      <c r="F71" s="1" cm="1">
        <f t="array" ref="F71">_xlfn.XLOOKUP(D71,'TABELA AUXILIAR'!$A$2:$A$5,IF('SPT-01'!A71&lt;3,'TABELA AUXILIAR'!$B$2:$B$5,'TABELA AUXILIAR'!$C$2:$C$5),"",0,1)</f>
        <v>8.5</v>
      </c>
      <c r="G71" s="6">
        <f t="shared" si="11"/>
        <v>53.868931645649326</v>
      </c>
      <c r="H71" s="2">
        <f t="shared" si="12"/>
        <v>40.51775480133152</v>
      </c>
      <c r="I71" s="2">
        <f t="shared" si="13"/>
        <v>1155.5214009731178</v>
      </c>
      <c r="J71" s="1">
        <f t="shared" si="20"/>
        <v>434.85000000000093</v>
      </c>
      <c r="K71" s="1">
        <f t="shared" si="14"/>
        <v>0.56491430547469301</v>
      </c>
      <c r="L71" s="1">
        <f t="shared" si="15"/>
        <v>245.6529857356708</v>
      </c>
      <c r="M71" s="1">
        <f t="shared" si="16"/>
        <v>1941.2351782153385</v>
      </c>
      <c r="N71" s="1">
        <f>$L71*'TABELA AUXILIAR'!$I$3*(B71-A71)</f>
        <v>554.19313581967458</v>
      </c>
      <c r="O71" s="1">
        <f>$L71*'TABELA AUXILIAR'!$I$4*(B71-A71)</f>
        <v>601.35850908092357</v>
      </c>
      <c r="P71" s="1">
        <f>$L71*'TABELA AUXILIAR'!$I$5*(B71-A71)</f>
        <v>694.21533768900724</v>
      </c>
      <c r="Q71" s="1">
        <f>$M71*'TABELA AUXILIAR'!$J$3+SUM(N$2:N71)</f>
        <v>33391.137365403876</v>
      </c>
      <c r="R71" s="1">
        <f>$M71*'TABELA AUXILIAR'!$J$4+SUM(O$2:O71)</f>
        <v>36415.081973862289</v>
      </c>
      <c r="S71" s="1">
        <f>$M71*'TABELA AUXILIAR'!$J$5+SUM(P$2:P71)</f>
        <v>42496.473116328358</v>
      </c>
      <c r="T71" s="2">
        <f t="shared" si="17"/>
        <v>16695</v>
      </c>
      <c r="U71" s="2">
        <f t="shared" si="18"/>
        <v>18207</v>
      </c>
      <c r="V71" s="2">
        <f t="shared" si="19"/>
        <v>21248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18</v>
      </c>
      <c r="E72" s="1" t="s">
        <v>8</v>
      </c>
      <c r="F72" s="1" cm="1">
        <f t="array" ref="F72">_xlfn.XLOOKUP(D72,'TABELA AUXILIAR'!$A$2:$A$5,IF('SPT-01'!A72&lt;3,'TABELA AUXILIAR'!$B$2:$B$5,'TABELA AUXILIAR'!$C$2:$C$5),"",0,1)</f>
        <v>8.5</v>
      </c>
      <c r="G72" s="6">
        <f t="shared" si="11"/>
        <v>104.19981374551598</v>
      </c>
      <c r="H72" s="2">
        <f t="shared" si="12"/>
        <v>43.13052403989137</v>
      </c>
      <c r="I72" s="2">
        <f t="shared" si="13"/>
        <v>1958.8485408911206</v>
      </c>
      <c r="J72" s="1">
        <f t="shared" si="20"/>
        <v>439.95000000000095</v>
      </c>
      <c r="K72" s="1">
        <f t="shared" si="14"/>
        <v>0.82264311844011351</v>
      </c>
      <c r="L72" s="1">
        <f t="shared" si="15"/>
        <v>361.92183995772871</v>
      </c>
      <c r="M72" s="1">
        <f t="shared" si="16"/>
        <v>3298.4794786242637</v>
      </c>
      <c r="N72" s="1">
        <f>$L72*'TABELA AUXILIAR'!$I$3*(B72-A72)</f>
        <v>816.49567094463794</v>
      </c>
      <c r="O72" s="1">
        <f>$L72*'TABELA AUXILIAR'!$I$4*(B72-A72)</f>
        <v>885.98466421652188</v>
      </c>
      <c r="P72" s="1">
        <f>$L72*'TABELA AUXILIAR'!$I$5*(B72-A72)</f>
        <v>1022.7911197205439</v>
      </c>
      <c r="Q72" s="1">
        <f>$M72*'TABELA AUXILIAR'!$J$3+SUM(N$2:N72)</f>
        <v>35741.319095810599</v>
      </c>
      <c r="R72" s="1">
        <f>$M72*'TABELA AUXILIAR'!$J$4+SUM(O$2:O72)</f>
        <v>39092.62911461859</v>
      </c>
      <c r="S72" s="1">
        <f>$M72*'TABELA AUXILIAR'!$J$5+SUM(P$2:P72)</f>
        <v>45908.014204768609</v>
      </c>
      <c r="T72" s="2">
        <f t="shared" si="17"/>
        <v>17870</v>
      </c>
      <c r="U72" s="2">
        <f t="shared" si="18"/>
        <v>19546</v>
      </c>
      <c r="V72" s="2">
        <f t="shared" si="19"/>
        <v>22954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18</v>
      </c>
      <c r="E73" s="1" t="s">
        <v>8</v>
      </c>
      <c r="F73" s="1" cm="1">
        <f t="array" ref="F73">_xlfn.XLOOKUP(D73,'TABELA AUXILIAR'!$A$2:$A$5,IF('SPT-01'!A73&lt;3,'TABELA AUXILIAR'!$B$2:$B$5,'TABELA AUXILIAR'!$C$2:$C$5),"",0,1)</f>
        <v>8.5</v>
      </c>
      <c r="G73" s="6">
        <f t="shared" si="11"/>
        <v>104.80202744020517</v>
      </c>
      <c r="H73" s="2">
        <f t="shared" si="12"/>
        <v>43.13052403989137</v>
      </c>
      <c r="I73" s="2">
        <f t="shared" si="13"/>
        <v>1967.9001134813177</v>
      </c>
      <c r="J73" s="1">
        <f t="shared" si="20"/>
        <v>445.05000000000098</v>
      </c>
      <c r="K73" s="1">
        <f t="shared" si="14"/>
        <v>0.81876304381146281</v>
      </c>
      <c r="L73" s="1">
        <f t="shared" si="15"/>
        <v>364.39049264829231</v>
      </c>
      <c r="M73" s="1">
        <f t="shared" si="16"/>
        <v>3321.3686070471645</v>
      </c>
      <c r="N73" s="1">
        <f>$L73*'TABELA AUXILIAR'!$I$3*(B73-A73)</f>
        <v>822.06495141454934</v>
      </c>
      <c r="O73" s="1">
        <f>$L73*'TABELA AUXILIAR'!$I$4*(B73-A73)</f>
        <v>892.02792600302166</v>
      </c>
      <c r="P73" s="1">
        <f>$L73*'TABELA AUXILIAR'!$I$5*(B73-A73)</f>
        <v>1029.7675322240766</v>
      </c>
      <c r="Q73" s="1">
        <f>$M73*'TABELA AUXILIAR'!$J$3+SUM(N$2:N73)</f>
        <v>36589.248762343028</v>
      </c>
      <c r="R73" s="1">
        <f>$M73*'TABELA AUXILIAR'!$J$4+SUM(O$2:O73)</f>
        <v>40014.87069013984</v>
      </c>
      <c r="S73" s="1">
        <f>$M73*'TABELA AUXILIAR'!$J$5+SUM(P$2:P73)</f>
        <v>46978.066603016989</v>
      </c>
      <c r="T73" s="2">
        <f t="shared" si="17"/>
        <v>18294</v>
      </c>
      <c r="U73" s="2">
        <f t="shared" si="18"/>
        <v>20007</v>
      </c>
      <c r="V73" s="2">
        <f t="shared" si="19"/>
        <v>23489</v>
      </c>
    </row>
    <row r="74" spans="1:22" x14ac:dyDescent="0.25">
      <c r="A74" s="1">
        <v>43.2</v>
      </c>
      <c r="B74" s="1">
        <v>43.8</v>
      </c>
      <c r="C74" s="1">
        <v>25</v>
      </c>
      <c r="D74" s="1" t="s">
        <v>18</v>
      </c>
      <c r="E74" s="1" t="s">
        <v>8</v>
      </c>
      <c r="F74" s="1" cm="1">
        <f t="array" ref="F74">_xlfn.XLOOKUP(D74,'TABELA AUXILIAR'!$A$2:$A$5,IF('SPT-01'!A74&lt;3,'TABELA AUXILIAR'!$B$2:$B$5,'TABELA AUXILIAR'!$C$2:$C$5),"",0,1)</f>
        <v>8.5</v>
      </c>
      <c r="G74" s="6">
        <f t="shared" si="11"/>
        <v>52.700400203781214</v>
      </c>
      <c r="H74" s="2">
        <f t="shared" si="12"/>
        <v>40.361048079782748</v>
      </c>
      <c r="I74" s="2">
        <f t="shared" si="13"/>
        <v>1135.4249516593425</v>
      </c>
      <c r="J74" s="1">
        <f t="shared" si="20"/>
        <v>450.15000000000094</v>
      </c>
      <c r="K74" s="1">
        <f t="shared" si="14"/>
        <v>0.54526296388464368</v>
      </c>
      <c r="L74" s="1">
        <f t="shared" si="15"/>
        <v>245.45012319267286</v>
      </c>
      <c r="M74" s="1">
        <f t="shared" si="16"/>
        <v>1920.7115563794671</v>
      </c>
      <c r="N74" s="1">
        <f>$L74*'TABELA AUXILIAR'!$I$3*(B74-A74)</f>
        <v>553.7354779226647</v>
      </c>
      <c r="O74" s="1">
        <f>$L74*'TABELA AUXILIAR'!$I$4*(B74-A74)</f>
        <v>600.8619015756575</v>
      </c>
      <c r="P74" s="1">
        <f>$L74*'TABELA AUXILIAR'!$I$5*(B74-A74)</f>
        <v>693.64204814248694</v>
      </c>
      <c r="Q74" s="1">
        <f>$M74*'TABELA AUXILIAR'!$J$3+SUM(N$2:N74)</f>
        <v>35560.241773011192</v>
      </c>
      <c r="R74" s="1">
        <f>$M74*'TABELA AUXILIAR'!$J$4+SUM(O$2:O74)</f>
        <v>38766.865284834137</v>
      </c>
      <c r="S74" s="1">
        <f>$M74*'TABELA AUXILIAR'!$J$5+SUM(P$2:P74)</f>
        <v>45206.552241984333</v>
      </c>
      <c r="T74" s="2">
        <f t="shared" si="17"/>
        <v>17780</v>
      </c>
      <c r="U74" s="2">
        <f t="shared" si="18"/>
        <v>19383</v>
      </c>
      <c r="V74" s="2">
        <f t="shared" si="19"/>
        <v>22603</v>
      </c>
    </row>
    <row r="75" spans="1:22" x14ac:dyDescent="0.25">
      <c r="A75" s="1">
        <v>43.8</v>
      </c>
      <c r="B75" s="1">
        <v>44.4</v>
      </c>
      <c r="C75" s="1">
        <v>28</v>
      </c>
      <c r="D75" s="1" t="s">
        <v>18</v>
      </c>
      <c r="E75" s="1" t="s">
        <v>8</v>
      </c>
      <c r="F75" s="1" cm="1">
        <f t="array" ref="F75">_xlfn.XLOOKUP(D75,'TABELA AUXILIAR'!$A$2:$A$5,IF('SPT-01'!A75&lt;3,'TABELA AUXILIAR'!$B$2:$B$5,'TABELA AUXILIAR'!$C$2:$C$5),"",0,1)</f>
        <v>8.5</v>
      </c>
      <c r="G75" s="6">
        <f t="shared" si="11"/>
        <v>59.357866936287969</v>
      </c>
      <c r="H75" s="2">
        <f t="shared" si="12"/>
        <v>40.813853888348419</v>
      </c>
      <c r="I75" s="2">
        <f t="shared" si="13"/>
        <v>1248.7914942733116</v>
      </c>
      <c r="J75" s="1">
        <f t="shared" si="20"/>
        <v>455.25000000000091</v>
      </c>
      <c r="K75" s="1">
        <f t="shared" si="14"/>
        <v>0.57852302843305725</v>
      </c>
      <c r="L75" s="1">
        <f t="shared" si="15"/>
        <v>263.37260869414985</v>
      </c>
      <c r="M75" s="1">
        <f t="shared" si="16"/>
        <v>2117.2502242645724</v>
      </c>
      <c r="N75" s="1">
        <f>$L75*'TABELA AUXILIAR'!$I$3*(B75-A75)</f>
        <v>594.16860521400338</v>
      </c>
      <c r="O75" s="1">
        <f>$L75*'TABELA AUXILIAR'!$I$4*(B75-A75)</f>
        <v>644.73614608328035</v>
      </c>
      <c r="P75" s="1">
        <f>$L75*'TABELA AUXILIAR'!$I$5*(B75-A75)</f>
        <v>744.29099216966927</v>
      </c>
      <c r="Q75" s="1">
        <f>$M75*'TABELA AUXILIAR'!$J$3+SUM(N$2:N75)</f>
        <v>36376.499072935374</v>
      </c>
      <c r="R75" s="1">
        <f>$M75*'TABELA AUXILIAR'!$J$4+SUM(O$2:O75)</f>
        <v>39671.03247252576</v>
      </c>
      <c r="S75" s="1">
        <f>$M75*'TABELA AUXILIAR'!$J$5+SUM(P$2:P75)</f>
        <v>46296.751289631786</v>
      </c>
      <c r="T75" s="2">
        <f t="shared" si="17"/>
        <v>18188</v>
      </c>
      <c r="U75" s="2">
        <f t="shared" si="18"/>
        <v>19835</v>
      </c>
      <c r="V75" s="2">
        <f t="shared" si="19"/>
        <v>23148</v>
      </c>
    </row>
    <row r="76" spans="1:22" s="8" customFormat="1" x14ac:dyDescent="0.25">
      <c r="A76" s="8">
        <v>44.4</v>
      </c>
      <c r="B76" s="8">
        <v>45</v>
      </c>
      <c r="C76" s="8">
        <f>ROUNDDOWN(_xlfn.PERCENTILE.INC($C$1:$C$75,0.15),0)</f>
        <v>27</v>
      </c>
      <c r="D76" s="8" t="s">
        <v>18</v>
      </c>
      <c r="E76" s="8" t="s">
        <v>8</v>
      </c>
      <c r="F76" s="8" cm="1">
        <f t="array" ref="F76">_xlfn.XLOOKUP(D76,'TABELA AUXILIAR'!$A$2:$A$5,IF('SPT-01'!A76&lt;3,'TABELA AUXILIAR'!$B$2:$B$5,'TABELA AUXILIAR'!$C$2:$C$5),"",0,1)</f>
        <v>8.5</v>
      </c>
      <c r="G76" s="9">
        <f t="shared" ref="G76:G92" si="21">C76 / MIN(2, SQRT(101.3/J76))</f>
        <v>57.557658116860019</v>
      </c>
      <c r="H76" s="10">
        <f t="shared" ref="H76:H92" si="22">27.5+9.2*LOG10(C76)</f>
        <v>40.668546630262682</v>
      </c>
      <c r="I76" s="10">
        <f t="shared" ref="I76:I92" si="23">IF(D76="Areias",101.3*0.47*(G76)^0.8,101.3*0.15*(G76))</f>
        <v>1218.3997338902643</v>
      </c>
      <c r="J76" s="8">
        <f t="shared" ref="J76:J92" si="24">J75+(B75-A75)/2*F75+(B76-A76)/2*F76</f>
        <v>460.35000000000093</v>
      </c>
      <c r="K76" s="8">
        <f t="shared" ref="K76:K92" si="25">(1-SIN(RADIANS(H76)))*(I76/J76)^SIN(RADIANS(H76))*TAN(RADIANS(H76))</f>
        <v>0.56432275295265555</v>
      </c>
      <c r="L76" s="8">
        <f t="shared" ref="L76:L92" si="26">K76*J76</f>
        <v>259.78597932175552</v>
      </c>
      <c r="M76" s="8">
        <f t="shared" ref="M76:M92" si="27">0.59*(G76*101.3/J76)^0.8*J76</f>
        <v>2070.3305449524473</v>
      </c>
      <c r="N76" s="8">
        <f>$L76*'TABELA AUXILIAR'!$I$3*(B76-A76)</f>
        <v>586.07716934988184</v>
      </c>
      <c r="O76" s="8">
        <f>$L76*'TABELA AUXILIAR'!$I$4*(B76-A76)</f>
        <v>635.95607737965906</v>
      </c>
      <c r="P76" s="8">
        <f>$L76*'TABELA AUXILIAR'!$I$5*(B76-A76)</f>
        <v>734.1551775632829</v>
      </c>
      <c r="Q76" s="8">
        <f>$M76*'TABELA AUXILIAR'!$J$3+SUM(N$2:N76)</f>
        <v>36909.557004662551</v>
      </c>
      <c r="R76" s="8">
        <f>$M76*'TABELA AUXILIAR'!$J$4+SUM(O$2:O76)</f>
        <v>40245.054573213412</v>
      </c>
      <c r="S76" s="8">
        <f>$M76*'TABELA AUXILIAR'!$J$5+SUM(P$2:P76)</f>
        <v>46948.327831605726</v>
      </c>
      <c r="T76" s="10">
        <f t="shared" ref="T76:T92" si="28">ROUNDDOWN(Q76/2,0)</f>
        <v>18454</v>
      </c>
      <c r="U76" s="10">
        <f t="shared" ref="U76:U92" si="29">ROUNDDOWN(R76/2,0)</f>
        <v>20122</v>
      </c>
      <c r="V76" s="10">
        <f t="shared" ref="V76:V92" si="30">ROUNDDOWN(S76/2,0)</f>
        <v>23474</v>
      </c>
    </row>
    <row r="77" spans="1:22" s="8" customFormat="1" x14ac:dyDescent="0.25">
      <c r="A77" s="8">
        <v>45</v>
      </c>
      <c r="B77" s="8">
        <v>45.6</v>
      </c>
      <c r="C77" s="8">
        <f t="shared" ref="C77:C140" si="31">ROUNDDOWN(_xlfn.PERCENTILE.INC($C$1:$C$75,0.15),0)</f>
        <v>27</v>
      </c>
      <c r="D77" s="8" t="s">
        <v>18</v>
      </c>
      <c r="E77" s="8" t="s">
        <v>8</v>
      </c>
      <c r="F77" s="8" cm="1">
        <f t="array" ref="F77">_xlfn.XLOOKUP(D77,'TABELA AUXILIAR'!$A$2:$A$5,IF('SPT-01'!A77&lt;3,'TABELA AUXILIAR'!$B$2:$B$5,'TABELA AUXILIAR'!$C$2:$C$5),"",0,1)</f>
        <v>8.5</v>
      </c>
      <c r="G77" s="9">
        <f t="shared" si="21"/>
        <v>57.875606981821974</v>
      </c>
      <c r="H77" s="10">
        <f t="shared" si="22"/>
        <v>40.668546630262682</v>
      </c>
      <c r="I77" s="10">
        <f t="shared" si="23"/>
        <v>1223.7811243458762</v>
      </c>
      <c r="J77" s="8">
        <f t="shared" si="24"/>
        <v>465.45000000000095</v>
      </c>
      <c r="K77" s="8">
        <f t="shared" si="25"/>
        <v>0.56189688659745141</v>
      </c>
      <c r="L77" s="8">
        <f t="shared" si="26"/>
        <v>261.5349058667843</v>
      </c>
      <c r="M77" s="8">
        <f t="shared" si="27"/>
        <v>2084.0619375820938</v>
      </c>
      <c r="N77" s="8">
        <f>$L77*'TABELA AUXILIAR'!$I$3*(B77-A77)</f>
        <v>590.02274763546677</v>
      </c>
      <c r="O77" s="8">
        <f>$L77*'TABELA AUXILIAR'!$I$4*(B77-A77)</f>
        <v>640.23744956188955</v>
      </c>
      <c r="P77" s="8">
        <f>$L77*'TABELA AUXILIAR'!$I$5*(B77-A77)</f>
        <v>739.09764397953415</v>
      </c>
      <c r="Q77" s="8">
        <f>$M77*'TABELA AUXILIAR'!$J$3+SUM(N$2:N77)</f>
        <v>37515.096225969522</v>
      </c>
      <c r="R77" s="8">
        <f>$M77*'TABELA AUXILIAR'!$J$4+SUM(O$2:O77)</f>
        <v>40903.417461046432</v>
      </c>
      <c r="S77" s="8">
        <f>$M77*'TABELA AUXILIAR'!$J$5+SUM(P$2:P77)</f>
        <v>47711.592726613439</v>
      </c>
      <c r="T77" s="10">
        <f t="shared" si="28"/>
        <v>18757</v>
      </c>
      <c r="U77" s="10">
        <f t="shared" si="29"/>
        <v>20451</v>
      </c>
      <c r="V77" s="10">
        <f t="shared" si="30"/>
        <v>23855</v>
      </c>
    </row>
    <row r="78" spans="1:22" s="8" customFormat="1" x14ac:dyDescent="0.25">
      <c r="A78" s="8">
        <v>45.6</v>
      </c>
      <c r="B78" s="8">
        <v>46.2</v>
      </c>
      <c r="C78" s="8">
        <f t="shared" si="31"/>
        <v>27</v>
      </c>
      <c r="D78" s="8" t="s">
        <v>18</v>
      </c>
      <c r="E78" s="8" t="s">
        <v>8</v>
      </c>
      <c r="F78" s="8" cm="1">
        <f t="array" ref="F78">_xlfn.XLOOKUP(D78,'TABELA AUXILIAR'!$A$2:$A$5,IF('SPT-01'!A78&lt;3,'TABELA AUXILIAR'!$B$2:$B$5,'TABELA AUXILIAR'!$C$2:$C$5),"",0,1)</f>
        <v>8.5</v>
      </c>
      <c r="G78" s="9">
        <f t="shared" si="21"/>
        <v>58.191818661486252</v>
      </c>
      <c r="H78" s="10">
        <f t="shared" si="22"/>
        <v>40.668546630262682</v>
      </c>
      <c r="I78" s="10">
        <f t="shared" si="23"/>
        <v>1229.1272511442687</v>
      </c>
      <c r="J78" s="8">
        <f t="shared" si="24"/>
        <v>470.55000000000098</v>
      </c>
      <c r="K78" s="8">
        <f t="shared" si="25"/>
        <v>0.55950771493181217</v>
      </c>
      <c r="L78" s="8">
        <f t="shared" si="26"/>
        <v>263.27635526116478</v>
      </c>
      <c r="M78" s="8">
        <f t="shared" si="27"/>
        <v>2097.7332777594838</v>
      </c>
      <c r="N78" s="8">
        <f>$L78*'TABELA AUXILIAR'!$I$3*(B78-A78)</f>
        <v>593.95145746918911</v>
      </c>
      <c r="O78" s="8">
        <f>$L78*'TABELA AUXILIAR'!$I$4*(B78-A78)</f>
        <v>644.50051767933303</v>
      </c>
      <c r="P78" s="8">
        <f>$L78*'TABELA AUXILIAR'!$I$5*(B78-A78)</f>
        <v>744.01897996805337</v>
      </c>
      <c r="Q78" s="8">
        <f>$M78*'TABELA AUXILIAR'!$J$3+SUM(N$2:N78)</f>
        <v>38124.496297839156</v>
      </c>
      <c r="R78" s="8">
        <f>$M78*'TABELA AUXILIAR'!$J$4+SUM(O$2:O78)</f>
        <v>41565.964147759922</v>
      </c>
      <c r="S78" s="8">
        <f>$M78*'TABELA AUXILIAR'!$J$5+SUM(P$2:P78)</f>
        <v>48479.673265293699</v>
      </c>
      <c r="T78" s="10">
        <f t="shared" si="28"/>
        <v>19062</v>
      </c>
      <c r="U78" s="10">
        <f t="shared" si="29"/>
        <v>20782</v>
      </c>
      <c r="V78" s="10">
        <f t="shared" si="30"/>
        <v>24239</v>
      </c>
    </row>
    <row r="79" spans="1:22" s="8" customFormat="1" x14ac:dyDescent="0.25">
      <c r="A79" s="8">
        <v>46.2</v>
      </c>
      <c r="B79" s="8">
        <v>46.8</v>
      </c>
      <c r="C79" s="8">
        <f t="shared" si="31"/>
        <v>27</v>
      </c>
      <c r="D79" s="8" t="s">
        <v>18</v>
      </c>
      <c r="E79" s="8" t="s">
        <v>8</v>
      </c>
      <c r="F79" s="8" cm="1">
        <f t="array" ref="F79">_xlfn.XLOOKUP(D79,'TABELA AUXILIAR'!$A$2:$A$5,IF('SPT-01'!A79&lt;3,'TABELA AUXILIAR'!$B$2:$B$5,'TABELA AUXILIAR'!$C$2:$C$5),"",0,1)</f>
        <v>8.5</v>
      </c>
      <c r="G79" s="9">
        <f t="shared" si="21"/>
        <v>58.506321322984228</v>
      </c>
      <c r="H79" s="10">
        <f t="shared" si="22"/>
        <v>40.668546630262682</v>
      </c>
      <c r="I79" s="10">
        <f t="shared" si="23"/>
        <v>1234.4387238467866</v>
      </c>
      <c r="J79" s="8">
        <f t="shared" si="24"/>
        <v>475.65000000000094</v>
      </c>
      <c r="K79" s="8">
        <f t="shared" si="25"/>
        <v>0.55715429412060002</v>
      </c>
      <c r="L79" s="8">
        <f t="shared" si="26"/>
        <v>265.01043999846394</v>
      </c>
      <c r="M79" s="8">
        <f t="shared" si="27"/>
        <v>2111.345474767827</v>
      </c>
      <c r="N79" s="8">
        <f>$L79*'TABELA AUXILIAR'!$I$3*(B79-A79)</f>
        <v>597.86355263652899</v>
      </c>
      <c r="O79" s="8">
        <f>$L79*'TABELA AUXILIAR'!$I$4*(B79-A79)</f>
        <v>648.74555711623361</v>
      </c>
      <c r="P79" s="8">
        <f>$L79*'TABELA AUXILIAR'!$I$5*(B79-A79)</f>
        <v>748.91950343565202</v>
      </c>
      <c r="Q79" s="8">
        <f>$M79*'TABELA AUXILIAR'!$J$3+SUM(N$2:N79)</f>
        <v>38737.741633095116</v>
      </c>
      <c r="R79" s="8">
        <f>$M79*'TABELA AUXILIAR'!$J$4+SUM(O$2:O79)</f>
        <v>42232.677804927174</v>
      </c>
      <c r="S79" s="8">
        <f>$M79*'TABELA AUXILIAR'!$J$5+SUM(P$2:P79)</f>
        <v>49252.550235464034</v>
      </c>
      <c r="T79" s="10">
        <f t="shared" si="28"/>
        <v>19368</v>
      </c>
      <c r="U79" s="10">
        <f t="shared" si="29"/>
        <v>21116</v>
      </c>
      <c r="V79" s="10">
        <f t="shared" si="30"/>
        <v>24626</v>
      </c>
    </row>
    <row r="80" spans="1:22" s="8" customFormat="1" x14ac:dyDescent="0.25">
      <c r="A80" s="8">
        <v>46.8</v>
      </c>
      <c r="B80" s="8">
        <v>47.4</v>
      </c>
      <c r="C80" s="8">
        <f t="shared" si="31"/>
        <v>27</v>
      </c>
      <c r="D80" s="8" t="s">
        <v>18</v>
      </c>
      <c r="E80" s="8" t="s">
        <v>8</v>
      </c>
      <c r="F80" s="8" cm="1">
        <f t="array" ref="F80">_xlfn.XLOOKUP(D80,'TABELA AUXILIAR'!$A$2:$A$5,IF('SPT-01'!A80&lt;3,'TABELA AUXILIAR'!$B$2:$B$5,'TABELA AUXILIAR'!$C$2:$C$5),"",0,1)</f>
        <v>8.5</v>
      </c>
      <c r="G80" s="9">
        <f t="shared" si="21"/>
        <v>58.819142380395675</v>
      </c>
      <c r="H80" s="10">
        <f t="shared" si="22"/>
        <v>40.668546630262682</v>
      </c>
      <c r="I80" s="10">
        <f t="shared" si="23"/>
        <v>1239.7161350753031</v>
      </c>
      <c r="J80" s="8">
        <f t="shared" si="24"/>
        <v>480.75000000000091</v>
      </c>
      <c r="K80" s="8">
        <f t="shared" si="25"/>
        <v>0.5548357143924153</v>
      </c>
      <c r="L80" s="8">
        <f t="shared" si="26"/>
        <v>266.73726969415418</v>
      </c>
      <c r="M80" s="8">
        <f t="shared" si="27"/>
        <v>2124.8994145403967</v>
      </c>
      <c r="N80" s="8">
        <f>$L80*'TABELA AUXILIAR'!$I$3*(B80-A80)</f>
        <v>601.75928043001318</v>
      </c>
      <c r="O80" s="8">
        <f>$L80*'TABELA AUXILIAR'!$I$4*(B80-A80)</f>
        <v>652.972836211291</v>
      </c>
      <c r="P80" s="8">
        <f>$L80*'TABELA AUXILIAR'!$I$5*(B80-A80)</f>
        <v>753.79952415568152</v>
      </c>
      <c r="Q80" s="8">
        <f>$M80*'TABELA AUXILIAR'!$J$3+SUM(N$2:N80)</f>
        <v>39354.816865468136</v>
      </c>
      <c r="R80" s="8">
        <f>$M80*'TABELA AUXILIAR'!$J$4+SUM(O$2:O80)</f>
        <v>42903.541841638253</v>
      </c>
      <c r="S80" s="8">
        <f>$M80*'TABELA AUXILIAR'!$J$5+SUM(P$2:P80)</f>
        <v>50030.204693619438</v>
      </c>
      <c r="T80" s="10">
        <f t="shared" si="28"/>
        <v>19677</v>
      </c>
      <c r="U80" s="10">
        <f t="shared" si="29"/>
        <v>21451</v>
      </c>
      <c r="V80" s="10">
        <f t="shared" si="30"/>
        <v>25015</v>
      </c>
    </row>
    <row r="81" spans="1:22" s="8" customFormat="1" x14ac:dyDescent="0.25">
      <c r="A81" s="8">
        <v>47.4</v>
      </c>
      <c r="B81" s="8">
        <v>48</v>
      </c>
      <c r="C81" s="8">
        <f t="shared" si="31"/>
        <v>27</v>
      </c>
      <c r="D81" s="8" t="s">
        <v>18</v>
      </c>
      <c r="E81" s="8" t="s">
        <v>8</v>
      </c>
      <c r="F81" s="8" cm="1">
        <f t="array" ref="F81">_xlfn.XLOOKUP(D81,'TABELA AUXILIAR'!$A$2:$A$5,IF('SPT-01'!A81&lt;3,'TABELA AUXILIAR'!$B$2:$B$5,'TABELA AUXILIAR'!$C$2:$C$5),"",0,1)</f>
        <v>8.5</v>
      </c>
      <c r="G81" s="9">
        <f t="shared" si="21"/>
        <v>59.130308522637002</v>
      </c>
      <c r="H81" s="10">
        <f t="shared" si="22"/>
        <v>40.668546630262682</v>
      </c>
      <c r="I81" s="10">
        <f t="shared" si="23"/>
        <v>1244.9600611571345</v>
      </c>
      <c r="J81" s="8">
        <f t="shared" si="24"/>
        <v>485.85000000000093</v>
      </c>
      <c r="K81" s="8">
        <f t="shared" si="25"/>
        <v>0.55255109846442274</v>
      </c>
      <c r="L81" s="8">
        <f t="shared" si="26"/>
        <v>268.45695118894031</v>
      </c>
      <c r="M81" s="8">
        <f t="shared" si="27"/>
        <v>2138.3959605010095</v>
      </c>
      <c r="N81" s="8">
        <f>$L81*'TABELA AUXILIAR'!$I$3*(B81-A81)</f>
        <v>605.63888188225076</v>
      </c>
      <c r="O81" s="8">
        <f>$L81*'TABELA AUXILIAR'!$I$4*(B81-A81)</f>
        <v>657.1826165105274</v>
      </c>
      <c r="P81" s="8">
        <f>$L81*'TABELA AUXILIAR'!$I$5*(B81-A81)</f>
        <v>758.6593440599471</v>
      </c>
      <c r="Q81" s="8">
        <f>$M81*'TABELA AUXILIAR'!$J$3+SUM(N$2:N81)</f>
        <v>39975.70684428588</v>
      </c>
      <c r="R81" s="8">
        <f>$M81*'TABELA AUXILIAR'!$J$4+SUM(O$2:O81)</f>
        <v>43578.539898816794</v>
      </c>
      <c r="S81" s="8">
        <f>$M81*'TABELA AUXILIAR'!$J$5+SUM(P$2:P81)</f>
        <v>50812.617958570059</v>
      </c>
      <c r="T81" s="10">
        <f t="shared" si="28"/>
        <v>19987</v>
      </c>
      <c r="U81" s="10">
        <f t="shared" si="29"/>
        <v>21789</v>
      </c>
      <c r="V81" s="10">
        <f t="shared" si="30"/>
        <v>25406</v>
      </c>
    </row>
    <row r="82" spans="1:22" s="8" customFormat="1" x14ac:dyDescent="0.25">
      <c r="A82" s="8">
        <v>48</v>
      </c>
      <c r="B82" s="8">
        <v>48.6</v>
      </c>
      <c r="C82" s="8">
        <f t="shared" si="31"/>
        <v>27</v>
      </c>
      <c r="D82" s="8" t="s">
        <v>18</v>
      </c>
      <c r="E82" s="8" t="s">
        <v>8</v>
      </c>
      <c r="F82" s="8" cm="1">
        <f t="array" ref="F82">_xlfn.XLOOKUP(D82,'TABELA AUXILIAR'!$A$2:$A$5,IF('SPT-01'!A82&lt;3,'TABELA AUXILIAR'!$B$2:$B$5,'TABELA AUXILIAR'!$C$2:$C$5),"",0,1)</f>
        <v>8.5</v>
      </c>
      <c r="G82" s="9">
        <f t="shared" si="21"/>
        <v>59.439845740035508</v>
      </c>
      <c r="H82" s="10">
        <f t="shared" si="22"/>
        <v>40.668546630262682</v>
      </c>
      <c r="I82" s="10">
        <f t="shared" si="23"/>
        <v>1250.1710627389</v>
      </c>
      <c r="J82" s="8">
        <f t="shared" si="24"/>
        <v>490.95000000000095</v>
      </c>
      <c r="K82" s="8">
        <f t="shared" si="25"/>
        <v>0.5502996000556728</v>
      </c>
      <c r="L82" s="8">
        <f t="shared" si="26"/>
        <v>270.16958864733311</v>
      </c>
      <c r="M82" s="8">
        <f t="shared" si="27"/>
        <v>2151.8359543657589</v>
      </c>
      <c r="N82" s="8">
        <f>$L82*'TABELA AUXILIAR'!$I$3*(B82-A82)</f>
        <v>609.50259198838489</v>
      </c>
      <c r="O82" s="8">
        <f>$L82*'TABELA AUXILIAR'!$I$4*(B82-A82)</f>
        <v>661.37515300867312</v>
      </c>
      <c r="P82" s="8">
        <f>$L82*'TABELA AUXILIAR'!$I$5*(B82-A82)</f>
        <v>763.49925751736509</v>
      </c>
      <c r="Q82" s="8">
        <f>$M82*'TABELA AUXILIAR'!$J$3+SUM(N$2:N82)</f>
        <v>40600.396629341434</v>
      </c>
      <c r="R82" s="8">
        <f>$M82*'TABELA AUXILIAR'!$J$4+SUM(O$2:O82)</f>
        <v>44257.655843726934</v>
      </c>
      <c r="S82" s="8">
        <f>$M82*'TABELA AUXILIAR'!$J$5+SUM(P$2:P82)</f>
        <v>51599.771605289388</v>
      </c>
      <c r="T82" s="10">
        <f t="shared" si="28"/>
        <v>20300</v>
      </c>
      <c r="U82" s="10">
        <f t="shared" si="29"/>
        <v>22128</v>
      </c>
      <c r="V82" s="10">
        <f t="shared" si="30"/>
        <v>25799</v>
      </c>
    </row>
    <row r="83" spans="1:22" s="8" customFormat="1" x14ac:dyDescent="0.25">
      <c r="A83" s="8">
        <v>48.6</v>
      </c>
      <c r="B83" s="8">
        <v>49.2</v>
      </c>
      <c r="C83" s="8">
        <f t="shared" si="31"/>
        <v>27</v>
      </c>
      <c r="D83" s="8" t="s">
        <v>18</v>
      </c>
      <c r="E83" s="8" t="s">
        <v>8</v>
      </c>
      <c r="F83" s="8" cm="1">
        <f t="array" ref="F83">_xlfn.XLOOKUP(D83,'TABELA AUXILIAR'!$A$2:$A$5,IF('SPT-01'!A83&lt;3,'TABELA AUXILIAR'!$B$2:$B$5,'TABELA AUXILIAR'!$C$2:$C$5),"",0,1)</f>
        <v>8.5</v>
      </c>
      <c r="G83" s="9">
        <f t="shared" si="21"/>
        <v>59.747779349664512</v>
      </c>
      <c r="H83" s="10">
        <f t="shared" si="22"/>
        <v>40.668546630262682</v>
      </c>
      <c r="I83" s="10">
        <f t="shared" si="23"/>
        <v>1255.3496853711486</v>
      </c>
      <c r="J83" s="8">
        <f t="shared" si="24"/>
        <v>496.05000000000098</v>
      </c>
      <c r="K83" s="8">
        <f t="shared" si="25"/>
        <v>0.54808040248308731</v>
      </c>
      <c r="L83" s="8">
        <f t="shared" si="26"/>
        <v>271.87528365173603</v>
      </c>
      <c r="M83" s="8">
        <f t="shared" si="27"/>
        <v>2165.2202169081752</v>
      </c>
      <c r="N83" s="8">
        <f>$L83*'TABELA AUXILIAR'!$I$3*(B83-A83)</f>
        <v>613.35063991831794</v>
      </c>
      <c r="O83" s="8">
        <f>$L83*'TABELA AUXILIAR'!$I$4*(B83-A83)</f>
        <v>665.55069437945133</v>
      </c>
      <c r="P83" s="8">
        <f>$L83*'TABELA AUXILIAR'!$I$5*(B83-A83)</f>
        <v>768.31955159980782</v>
      </c>
      <c r="Q83" s="8">
        <f>$M83*'TABELA AUXILIAR'!$J$3+SUM(N$2:N83)</f>
        <v>41228.871485932679</v>
      </c>
      <c r="R83" s="8">
        <f>$M83*'TABELA AUXILIAR'!$J$4+SUM(O$2:O83)</f>
        <v>44940.873764662378</v>
      </c>
      <c r="S83" s="8">
        <f>$M83*'TABELA AUXILIAR'!$J$5+SUM(P$2:P83)</f>
        <v>52391.647458963853</v>
      </c>
      <c r="T83" s="10">
        <f t="shared" si="28"/>
        <v>20614</v>
      </c>
      <c r="U83" s="10">
        <f t="shared" si="29"/>
        <v>22470</v>
      </c>
      <c r="V83" s="10">
        <f t="shared" si="30"/>
        <v>26195</v>
      </c>
    </row>
    <row r="84" spans="1:22" s="8" customFormat="1" x14ac:dyDescent="0.25">
      <c r="A84" s="8">
        <v>49.199999999999903</v>
      </c>
      <c r="B84" s="8">
        <v>49.8</v>
      </c>
      <c r="C84" s="8">
        <f t="shared" si="31"/>
        <v>27</v>
      </c>
      <c r="D84" s="8" t="s">
        <v>18</v>
      </c>
      <c r="E84" s="8" t="s">
        <v>8</v>
      </c>
      <c r="F84" s="8" cm="1">
        <f t="array" ref="F84">_xlfn.XLOOKUP(D84,'TABELA AUXILIAR'!$A$2:$A$5,IF('SPT-01'!A84&lt;3,'TABELA AUXILIAR'!$B$2:$B$5,'TABELA AUXILIAR'!$C$2:$C$5),"",0,1)</f>
        <v>8.5</v>
      </c>
      <c r="G84" s="9">
        <f t="shared" si="21"/>
        <v>60.054134019509256</v>
      </c>
      <c r="H84" s="10">
        <f t="shared" si="22"/>
        <v>40.668546630262682</v>
      </c>
      <c r="I84" s="10">
        <f t="shared" si="23"/>
        <v>1260.4964600654137</v>
      </c>
      <c r="J84" s="8">
        <f t="shared" si="24"/>
        <v>501.1500000000014</v>
      </c>
      <c r="K84" s="8">
        <f t="shared" si="25"/>
        <v>0.54589271733471267</v>
      </c>
      <c r="L84" s="8">
        <f t="shared" si="26"/>
        <v>273.574135292292</v>
      </c>
      <c r="M84" s="8">
        <f t="shared" si="27"/>
        <v>2178.5495486898358</v>
      </c>
      <c r="N84" s="8">
        <f>$L84*'TABELA AUXILIAR'!$I$3*(B84-A84)</f>
        <v>617.18324921950727</v>
      </c>
      <c r="O84" s="8">
        <f>$L84*'TABELA AUXILIAR'!$I$4*(B84-A84)</f>
        <v>669.70948319563558</v>
      </c>
      <c r="P84" s="8">
        <f>$L84*'TABELA AUXILIAR'!$I$5*(B84-A84)</f>
        <v>773.12050633613796</v>
      </c>
      <c r="Q84" s="8">
        <f>$M84*'TABELA AUXILIAR'!$J$3+SUM(N$2:N84)</f>
        <v>41861.11688006547</v>
      </c>
      <c r="R84" s="8">
        <f>$M84*'TABELA AUXILIAR'!$J$4+SUM(O$2:O84)</f>
        <v>45628.177965809802</v>
      </c>
      <c r="S84" s="8">
        <f>$M84*'TABELA AUXILIAR'!$J$5+SUM(P$2:P84)</f>
        <v>53188.227589235714</v>
      </c>
      <c r="T84" s="10">
        <f t="shared" si="28"/>
        <v>20930</v>
      </c>
      <c r="U84" s="10">
        <f t="shared" si="29"/>
        <v>22814</v>
      </c>
      <c r="V84" s="10">
        <f t="shared" si="30"/>
        <v>26594</v>
      </c>
    </row>
    <row r="85" spans="1:22" s="8" customFormat="1" x14ac:dyDescent="0.25">
      <c r="A85" s="8">
        <v>49.799999999999898</v>
      </c>
      <c r="B85" s="8">
        <v>50.4</v>
      </c>
      <c r="C85" s="8">
        <f t="shared" si="31"/>
        <v>27</v>
      </c>
      <c r="D85" s="8" t="s">
        <v>18</v>
      </c>
      <c r="E85" s="8" t="s">
        <v>8</v>
      </c>
      <c r="F85" s="8" cm="1">
        <f t="array" ref="F85">_xlfn.XLOOKUP(D85,'TABELA AUXILIAR'!$A$2:$A$5,IF('SPT-01'!A85&lt;3,'TABELA AUXILIAR'!$B$2:$B$5,'TABELA AUXILIAR'!$C$2:$C$5),"",0,1)</f>
        <v>8.5</v>
      </c>
      <c r="G85" s="9">
        <f t="shared" si="21"/>
        <v>60.358933791528855</v>
      </c>
      <c r="H85" s="10">
        <f t="shared" si="22"/>
        <v>40.668546630262682</v>
      </c>
      <c r="I85" s="10">
        <f t="shared" si="23"/>
        <v>1265.6119038252641</v>
      </c>
      <c r="J85" s="8">
        <f t="shared" si="24"/>
        <v>506.25000000000222</v>
      </c>
      <c r="K85" s="8">
        <f t="shared" si="25"/>
        <v>0.54373578321525229</v>
      </c>
      <c r="L85" s="8">
        <f t="shared" si="26"/>
        <v>275.2662402527227</v>
      </c>
      <c r="M85" s="8">
        <f t="shared" si="27"/>
        <v>2191.8247307583379</v>
      </c>
      <c r="N85" s="8">
        <f>$L85*'TABELA AUXILIAR'!$I$3*(B85-A85)</f>
        <v>621.0006380102468</v>
      </c>
      <c r="O85" s="8">
        <f>$L85*'TABELA AUXILIAR'!$I$4*(B85-A85)</f>
        <v>673.85175613877846</v>
      </c>
      <c r="P85" s="8">
        <f>$L85*'TABELA AUXILIAR'!$I$5*(B85-A85)</f>
        <v>777.90239495432513</v>
      </c>
      <c r="Q85" s="8">
        <f>$M85*'TABELA AUXILIAR'!$J$3+SUM(N$2:N85)</f>
        <v>42497.118473813127</v>
      </c>
      <c r="R85" s="8">
        <f>$M85*'TABELA AUXILIAR'!$J$4+SUM(O$2:O85)</f>
        <v>46319.552962279005</v>
      </c>
      <c r="S85" s="8">
        <f>$M85*'TABELA AUXILIAR'!$J$5+SUM(P$2:P85)</f>
        <v>53989.4943046306</v>
      </c>
      <c r="T85" s="10">
        <f t="shared" si="28"/>
        <v>21248</v>
      </c>
      <c r="U85" s="10">
        <f t="shared" si="29"/>
        <v>23159</v>
      </c>
      <c r="V85" s="10">
        <f t="shared" si="30"/>
        <v>26994</v>
      </c>
    </row>
    <row r="86" spans="1:22" s="8" customFormat="1" x14ac:dyDescent="0.25">
      <c r="A86" s="8">
        <v>50.399999999999899</v>
      </c>
      <c r="B86" s="8">
        <v>51</v>
      </c>
      <c r="C86" s="8">
        <f t="shared" si="31"/>
        <v>27</v>
      </c>
      <c r="D86" s="8" t="s">
        <v>18</v>
      </c>
      <c r="E86" s="8" t="s">
        <v>8</v>
      </c>
      <c r="F86" s="8" cm="1">
        <f t="array" ref="F86">_xlfn.XLOOKUP(D86,'TABELA AUXILIAR'!$A$2:$A$5,IF('SPT-01'!A86&lt;3,'TABELA AUXILIAR'!$B$2:$B$5,'TABELA AUXILIAR'!$C$2:$C$5),"",0,1)</f>
        <v>8.5</v>
      </c>
      <c r="G86" s="9">
        <f t="shared" si="21"/>
        <v>60.662202103675313</v>
      </c>
      <c r="H86" s="10">
        <f t="shared" si="22"/>
        <v>40.668546630262682</v>
      </c>
      <c r="I86" s="10">
        <f t="shared" si="23"/>
        <v>1270.696520152833</v>
      </c>
      <c r="J86" s="8">
        <f t="shared" si="24"/>
        <v>511.35000000000304</v>
      </c>
      <c r="K86" s="8">
        <f t="shared" si="25"/>
        <v>0.54160886455925994</v>
      </c>
      <c r="L86" s="8">
        <f t="shared" si="26"/>
        <v>276.95169289237924</v>
      </c>
      <c r="M86" s="8">
        <f t="shared" si="27"/>
        <v>2205.0465253143761</v>
      </c>
      <c r="N86" s="8">
        <f>$L86*'TABELA AUXILIAR'!$I$3*(B86-A86)</f>
        <v>624.80301916531266</v>
      </c>
      <c r="O86" s="8">
        <f>$L86*'TABELA AUXILIAR'!$I$4*(B86-A86)</f>
        <v>677.97774420065844</v>
      </c>
      <c r="P86" s="8">
        <f>$L86*'TABELA AUXILIAR'!$I$5*(B86-A86)</f>
        <v>782.66548411399526</v>
      </c>
      <c r="Q86" s="8">
        <f>$M86*'TABELA AUXILIAR'!$J$3+SUM(N$2:N86)</f>
        <v>43136.862120826765</v>
      </c>
      <c r="R86" s="8">
        <f>$M86*'TABELA AUXILIAR'!$J$4+SUM(O$2:O86)</f>
        <v>47014.983475293637</v>
      </c>
      <c r="S86" s="8">
        <f>$M86*'TABELA AUXILIAR'!$J$5+SUM(P$2:P86)</f>
        <v>54795.430147163228</v>
      </c>
      <c r="T86" s="10">
        <f t="shared" si="28"/>
        <v>21568</v>
      </c>
      <c r="U86" s="10">
        <f t="shared" si="29"/>
        <v>23507</v>
      </c>
      <c r="V86" s="10">
        <f t="shared" si="30"/>
        <v>27397</v>
      </c>
    </row>
    <row r="87" spans="1:22" s="8" customFormat="1" x14ac:dyDescent="0.25">
      <c r="A87" s="8">
        <v>50.999999999999901</v>
      </c>
      <c r="B87" s="8">
        <v>51.6</v>
      </c>
      <c r="C87" s="8">
        <f t="shared" si="31"/>
        <v>27</v>
      </c>
      <c r="D87" s="8" t="s">
        <v>18</v>
      </c>
      <c r="E87" s="8" t="s">
        <v>8</v>
      </c>
      <c r="F87" s="8" cm="1">
        <f t="array" ref="F87">_xlfn.XLOOKUP(D87,'TABELA AUXILIAR'!$A$2:$A$5,IF('SPT-01'!A87&lt;3,'TABELA AUXILIAR'!$B$2:$B$5,'TABELA AUXILIAR'!$C$2:$C$5),"",0,1)</f>
        <v>8.5</v>
      </c>
      <c r="G87" s="9">
        <f t="shared" si="21"/>
        <v>60.96396181092674</v>
      </c>
      <c r="H87" s="10">
        <f t="shared" si="22"/>
        <v>40.668546630262682</v>
      </c>
      <c r="I87" s="10">
        <f t="shared" si="23"/>
        <v>1275.7507995321564</v>
      </c>
      <c r="J87" s="8">
        <f t="shared" si="24"/>
        <v>516.45000000000391</v>
      </c>
      <c r="K87" s="8">
        <f t="shared" si="25"/>
        <v>0.53951125050770121</v>
      </c>
      <c r="L87" s="8">
        <f t="shared" si="26"/>
        <v>278.63058532470438</v>
      </c>
      <c r="M87" s="8">
        <f t="shared" si="27"/>
        <v>2218.2156763496168</v>
      </c>
      <c r="N87" s="8">
        <f>$L87*'TABELA AUXILIAR'!$I$3*(B87-A87)</f>
        <v>628.59060049263871</v>
      </c>
      <c r="O87" s="8">
        <f>$L87*'TABELA AUXILIAR'!$I$4*(B87-A87)</f>
        <v>682.08767287499109</v>
      </c>
      <c r="P87" s="8">
        <f>$L87*'TABELA AUXILIAR'!$I$5*(B87-A87)</f>
        <v>787.41003412774705</v>
      </c>
      <c r="Q87" s="8">
        <f>$M87*'TABELA AUXILIAR'!$J$3+SUM(N$2:N87)</f>
        <v>43780.333861989224</v>
      </c>
      <c r="R87" s="8">
        <f>$M87*'TABELA AUXILIAR'!$J$4+SUM(O$2:O87)</f>
        <v>47714.454427535144</v>
      </c>
      <c r="S87" s="8">
        <f>$M87*'TABELA AUXILIAR'!$J$5+SUM(P$2:P87)</f>
        <v>55606.017887112997</v>
      </c>
      <c r="T87" s="10">
        <f t="shared" si="28"/>
        <v>21890</v>
      </c>
      <c r="U87" s="10">
        <f t="shared" si="29"/>
        <v>23857</v>
      </c>
      <c r="V87" s="10">
        <f t="shared" si="30"/>
        <v>27803</v>
      </c>
    </row>
    <row r="88" spans="1:22" s="8" customFormat="1" x14ac:dyDescent="0.25">
      <c r="A88" s="8">
        <v>51.599999999999902</v>
      </c>
      <c r="B88" s="8">
        <v>52.2</v>
      </c>
      <c r="C88" s="8">
        <f t="shared" si="31"/>
        <v>27</v>
      </c>
      <c r="D88" s="8" t="s">
        <v>18</v>
      </c>
      <c r="E88" s="8" t="s">
        <v>8</v>
      </c>
      <c r="F88" s="8" cm="1">
        <f t="array" ref="F88">_xlfn.XLOOKUP(D88,'TABELA AUXILIAR'!$A$2:$A$5,IF('SPT-01'!A88&lt;3,'TABELA AUXILIAR'!$B$2:$B$5,'TABELA AUXILIAR'!$C$2:$C$5),"",0,1)</f>
        <v>8.5</v>
      </c>
      <c r="G88" s="9">
        <f t="shared" si="21"/>
        <v>61.26423520538814</v>
      </c>
      <c r="H88" s="10">
        <f t="shared" si="22"/>
        <v>40.668546630262682</v>
      </c>
      <c r="I88" s="10">
        <f t="shared" si="23"/>
        <v>1280.7752198906392</v>
      </c>
      <c r="J88" s="8">
        <f t="shared" si="24"/>
        <v>521.55000000000473</v>
      </c>
      <c r="K88" s="8">
        <f t="shared" si="25"/>
        <v>0.53744225384392419</v>
      </c>
      <c r="L88" s="8">
        <f t="shared" si="26"/>
        <v>280.30300749230122</v>
      </c>
      <c r="M88" s="8">
        <f t="shared" si="27"/>
        <v>2231.3329102569041</v>
      </c>
      <c r="N88" s="8">
        <f>$L88*'TABELA AUXILIAR'!$I$3*(B88-A88)</f>
        <v>632.3635849027379</v>
      </c>
      <c r="O88" s="8">
        <f>$L88*'TABELA AUXILIAR'!$I$4*(B88-A88)</f>
        <v>686.18176234126884</v>
      </c>
      <c r="P88" s="8">
        <f>$L88*'TABELA AUXILIAR'!$I$5*(B88-A88)</f>
        <v>792.13629917337641</v>
      </c>
      <c r="Q88" s="8">
        <f>$M88*'TABELA AUXILIAR'!$J$3+SUM(N$2:N88)</f>
        <v>44427.519921207197</v>
      </c>
      <c r="R88" s="8">
        <f>$M88*'TABELA AUXILIAR'!$J$4+SUM(O$2:O88)</f>
        <v>48417.950938634036</v>
      </c>
      <c r="S88" s="8">
        <f>$M88*'TABELA AUXILIAR'!$J$5+SUM(P$2:P88)</f>
        <v>56421.240517963197</v>
      </c>
      <c r="T88" s="10">
        <f t="shared" si="28"/>
        <v>22213</v>
      </c>
      <c r="U88" s="10">
        <f t="shared" si="29"/>
        <v>24208</v>
      </c>
      <c r="V88" s="10">
        <f t="shared" si="30"/>
        <v>28210</v>
      </c>
    </row>
    <row r="89" spans="1:22" s="8" customFormat="1" x14ac:dyDescent="0.25">
      <c r="A89" s="8">
        <v>52.199999999999903</v>
      </c>
      <c r="B89" s="8">
        <v>52.8</v>
      </c>
      <c r="C89" s="8">
        <f t="shared" si="31"/>
        <v>27</v>
      </c>
      <c r="D89" s="8" t="s">
        <v>18</v>
      </c>
      <c r="E89" s="8" t="s">
        <v>8</v>
      </c>
      <c r="F89" s="8" cm="1">
        <f t="array" ref="F89">_xlfn.XLOOKUP(D89,'TABELA AUXILIAR'!$A$2:$A$5,IF('SPT-01'!A89&lt;3,'TABELA AUXILIAR'!$B$2:$B$5,'TABELA AUXILIAR'!$C$2:$C$5),"",0,1)</f>
        <v>8.5</v>
      </c>
      <c r="G89" s="9">
        <f t="shared" si="21"/>
        <v>61.563044035509691</v>
      </c>
      <c r="H89" s="10">
        <f t="shared" si="22"/>
        <v>40.668546630262682</v>
      </c>
      <c r="I89" s="10">
        <f t="shared" si="23"/>
        <v>1285.7702470398015</v>
      </c>
      <c r="J89" s="8">
        <f t="shared" si="24"/>
        <v>526.65000000000555</v>
      </c>
      <c r="K89" s="8">
        <f t="shared" si="25"/>
        <v>0.5354012099853378</v>
      </c>
      <c r="L89" s="8">
        <f t="shared" si="26"/>
        <v>281.96904723878112</v>
      </c>
      <c r="M89" s="8">
        <f t="shared" si="27"/>
        <v>2244.3989364142544</v>
      </c>
      <c r="N89" s="8">
        <f>$L89*'TABELA AUXILIAR'!$I$3*(B89-A89)</f>
        <v>636.12217057078954</v>
      </c>
      <c r="O89" s="8">
        <f>$L89*'TABELA AUXILIAR'!$I$4*(B89-A89)</f>
        <v>690.26022764064408</v>
      </c>
      <c r="P89" s="8">
        <f>$L89*'TABELA AUXILIAR'!$I$5*(B89-A89)</f>
        <v>796.84452749692002</v>
      </c>
      <c r="Q89" s="8">
        <f>$M89*'TABELA AUXILIAR'!$J$3+SUM(N$2:N89)</f>
        <v>45078.406701335793</v>
      </c>
      <c r="R89" s="8">
        <f>$M89*'TABELA AUXILIAR'!$J$4+SUM(O$2:O89)</f>
        <v>49125.458320802383</v>
      </c>
      <c r="S89" s="8">
        <f>$M89*'TABELA AUXILIAR'!$J$5+SUM(P$2:P89)</f>
        <v>57241.081251497053</v>
      </c>
      <c r="T89" s="10">
        <f t="shared" si="28"/>
        <v>22539</v>
      </c>
      <c r="U89" s="10">
        <f t="shared" si="29"/>
        <v>24562</v>
      </c>
      <c r="V89" s="10">
        <f t="shared" si="30"/>
        <v>28620</v>
      </c>
    </row>
    <row r="90" spans="1:22" s="8" customFormat="1" x14ac:dyDescent="0.25">
      <c r="A90" s="8">
        <v>52.799999999999898</v>
      </c>
      <c r="B90" s="8">
        <v>53.4</v>
      </c>
      <c r="C90" s="8">
        <f t="shared" si="31"/>
        <v>27</v>
      </c>
      <c r="D90" s="8" t="s">
        <v>18</v>
      </c>
      <c r="E90" s="8" t="s">
        <v>8</v>
      </c>
      <c r="F90" s="8" cm="1">
        <f t="array" ref="F90">_xlfn.XLOOKUP(D90,'TABELA AUXILIAR'!$A$2:$A$5,IF('SPT-01'!A90&lt;3,'TABELA AUXILIAR'!$B$2:$B$5,'TABELA AUXILIAR'!$C$2:$C$5),"",0,1)</f>
        <v>8.5</v>
      </c>
      <c r="G90" s="9">
        <f t="shared" si="21"/>
        <v>61.860409524469603</v>
      </c>
      <c r="H90" s="10">
        <f t="shared" si="22"/>
        <v>40.668546630262682</v>
      </c>
      <c r="I90" s="10">
        <f t="shared" si="23"/>
        <v>1290.7363350964681</v>
      </c>
      <c r="J90" s="8">
        <f t="shared" si="24"/>
        <v>531.75000000000637</v>
      </c>
      <c r="K90" s="8">
        <f t="shared" si="25"/>
        <v>0.53338747602738545</v>
      </c>
      <c r="L90" s="8">
        <f t="shared" si="26"/>
        <v>283.62879037756562</v>
      </c>
      <c r="M90" s="8">
        <f t="shared" si="27"/>
        <v>2257.4144477440218</v>
      </c>
      <c r="N90" s="8">
        <f>$L90*'TABELA AUXILIAR'!$I$3*(B90-A90)</f>
        <v>639.86655109189564</v>
      </c>
      <c r="O90" s="8">
        <f>$L90*'TABELA AUXILIAR'!$I$4*(B90-A90)</f>
        <v>694.32327884439735</v>
      </c>
      <c r="P90" s="8">
        <f>$L90*'TABELA AUXILIAR'!$I$5*(B90-A90)</f>
        <v>801.53496160713519</v>
      </c>
      <c r="Q90" s="8">
        <f>$M90*'TABELA AUXILIAR'!$J$3+SUM(N$2:N90)</f>
        <v>45732.980780230326</v>
      </c>
      <c r="R90" s="8">
        <f>$M90*'TABELA AUXILIAR'!$J$4+SUM(O$2:O90)</f>
        <v>49836.962074602081</v>
      </c>
      <c r="S90" s="8">
        <f>$M90*'TABELA AUXILIAR'!$J$5+SUM(P$2:P90)</f>
        <v>58065.52351304458</v>
      </c>
      <c r="T90" s="10">
        <f t="shared" si="28"/>
        <v>22866</v>
      </c>
      <c r="U90" s="10">
        <f t="shared" si="29"/>
        <v>24918</v>
      </c>
      <c r="V90" s="10">
        <f t="shared" si="30"/>
        <v>29032</v>
      </c>
    </row>
    <row r="91" spans="1:22" s="8" customFormat="1" x14ac:dyDescent="0.25">
      <c r="A91" s="8">
        <v>53.399999999999899</v>
      </c>
      <c r="B91" s="8">
        <v>54</v>
      </c>
      <c r="C91" s="8">
        <f t="shared" si="31"/>
        <v>27</v>
      </c>
      <c r="D91" s="8" t="s">
        <v>18</v>
      </c>
      <c r="E91" s="8" t="s">
        <v>8</v>
      </c>
      <c r="F91" s="8" cm="1">
        <f t="array" ref="F91">_xlfn.XLOOKUP(D91,'TABELA AUXILIAR'!$A$2:$A$5,IF('SPT-01'!A91&lt;3,'TABELA AUXILIAR'!$B$2:$B$5,'TABELA AUXILIAR'!$C$2:$C$5),"",0,1)</f>
        <v>8.5</v>
      </c>
      <c r="G91" s="9">
        <f t="shared" si="21"/>
        <v>62.156352387765445</v>
      </c>
      <c r="H91" s="10">
        <f t="shared" si="22"/>
        <v>40.668546630262682</v>
      </c>
      <c r="I91" s="10">
        <f t="shared" si="23"/>
        <v>1295.6739268854194</v>
      </c>
      <c r="J91" s="8">
        <f t="shared" si="24"/>
        <v>536.85000000000719</v>
      </c>
      <c r="K91" s="8">
        <f t="shared" si="25"/>
        <v>0.53140042983662272</v>
      </c>
      <c r="L91" s="8">
        <f t="shared" si="26"/>
        <v>285.28232075779471</v>
      </c>
      <c r="M91" s="8">
        <f t="shared" si="27"/>
        <v>2270.3801212485109</v>
      </c>
      <c r="N91" s="8">
        <f>$L91*'TABELA AUXILIAR'!$I$3*(B91-A91)</f>
        <v>643.59691562969306</v>
      </c>
      <c r="O91" s="8">
        <f>$L91*'TABELA AUXILIAR'!$I$4*(B91-A91)</f>
        <v>698.37112121519897</v>
      </c>
      <c r="P91" s="8">
        <f>$L91*'TABELA AUXILIAR'!$I$5*(B91-A91)</f>
        <v>806.20783846166353</v>
      </c>
      <c r="Q91" s="8">
        <f>$M91*'TABELA AUXILIAR'!$J$3+SUM(N$2:N91)</f>
        <v>46391.228906920085</v>
      </c>
      <c r="R91" s="8">
        <f>$M91*'TABELA AUXILIAR'!$J$4+SUM(O$2:O91)</f>
        <v>50552.447884843205</v>
      </c>
      <c r="S91" s="8">
        <f>$M91*'TABELA AUXILIAR'!$J$5+SUM(P$2:P91)</f>
        <v>58894.55093687414</v>
      </c>
      <c r="T91" s="10">
        <f t="shared" si="28"/>
        <v>23195</v>
      </c>
      <c r="U91" s="10">
        <f t="shared" si="29"/>
        <v>25276</v>
      </c>
      <c r="V91" s="10">
        <f t="shared" si="30"/>
        <v>29447</v>
      </c>
    </row>
    <row r="92" spans="1:22" s="8" customFormat="1" x14ac:dyDescent="0.25">
      <c r="A92" s="8">
        <v>53.999999999999901</v>
      </c>
      <c r="B92" s="8">
        <v>54.6</v>
      </c>
      <c r="C92" s="8">
        <f t="shared" si="31"/>
        <v>27</v>
      </c>
      <c r="D92" s="8" t="s">
        <v>18</v>
      </c>
      <c r="E92" s="8" t="s">
        <v>8</v>
      </c>
      <c r="F92" s="8" cm="1">
        <f t="array" ref="F92">_xlfn.XLOOKUP(D92,'TABELA AUXILIAR'!$A$2:$A$5,IF('SPT-01'!A92&lt;3,'TABELA AUXILIAR'!$B$2:$B$5,'TABELA AUXILIAR'!$C$2:$C$5),"",0,1)</f>
        <v>8.5</v>
      </c>
      <c r="G92" s="9">
        <f t="shared" si="21"/>
        <v>62.450892850055084</v>
      </c>
      <c r="H92" s="10">
        <f t="shared" si="22"/>
        <v>40.668546630262682</v>
      </c>
      <c r="I92" s="10">
        <f t="shared" si="23"/>
        <v>1300.5834543244862</v>
      </c>
      <c r="J92" s="8">
        <f t="shared" si="24"/>
        <v>541.950000000008</v>
      </c>
      <c r="K92" s="8">
        <f t="shared" si="25"/>
        <v>0.52943946918993356</v>
      </c>
      <c r="L92" s="8">
        <f t="shared" si="26"/>
        <v>286.92972032748872</v>
      </c>
      <c r="M92" s="8">
        <f t="shared" si="27"/>
        <v>2283.2966185232367</v>
      </c>
      <c r="N92" s="8">
        <f>$L92*'TABELA AUXILIAR'!$I$3*(B92-A92)</f>
        <v>647.31344905892342</v>
      </c>
      <c r="O92" s="8">
        <f>$L92*'TABELA AUXILIAR'!$I$4*(B92-A92)</f>
        <v>702.40395536181052</v>
      </c>
      <c r="P92" s="8">
        <f>$L92*'TABELA AUXILIAR'!$I$5*(B92-A92)</f>
        <v>810.86338964561946</v>
      </c>
      <c r="Q92" s="8">
        <f>$M92*'TABELA AUXILIAR'!$J$3+SUM(N$2:N92)</f>
        <v>47053.137997899452</v>
      </c>
      <c r="R92" s="8">
        <f>$M92*'TABELA AUXILIAR'!$J$4+SUM(O$2:O92)</f>
        <v>51271.901616607654</v>
      </c>
      <c r="S92" s="8">
        <f>$M92*'TABELA AUXILIAR'!$J$5+SUM(P$2:P92)</f>
        <v>59728.14736172327</v>
      </c>
      <c r="T92" s="10">
        <f t="shared" si="28"/>
        <v>23526</v>
      </c>
      <c r="U92" s="10">
        <f t="shared" si="29"/>
        <v>25635</v>
      </c>
      <c r="V92" s="10">
        <f t="shared" si="30"/>
        <v>29864</v>
      </c>
    </row>
    <row r="93" spans="1:22" x14ac:dyDescent="0.25">
      <c r="A93" s="8">
        <v>54.599999999999902</v>
      </c>
      <c r="B93" s="8">
        <v>55.2</v>
      </c>
      <c r="C93" s="8">
        <f t="shared" si="31"/>
        <v>27</v>
      </c>
      <c r="D93" s="8" t="s">
        <v>18</v>
      </c>
      <c r="E93" s="8" t="s">
        <v>8</v>
      </c>
      <c r="F93" s="8" cm="1">
        <f t="array" ref="F93">_xlfn.XLOOKUP(D93,'TABELA AUXILIAR'!$A$2:$A$5,IF('SPT-01'!A93&lt;3,'TABELA AUXILIAR'!$B$2:$B$5,'TABELA AUXILIAR'!$C$2:$C$5),"",0,1)</f>
        <v>8.5</v>
      </c>
      <c r="G93" s="9">
        <f t="shared" ref="G93:G156" si="32">C93 / MIN(2, SQRT(101.3/J93))</f>
        <v>62.744050661286174</v>
      </c>
      <c r="H93" s="10">
        <f t="shared" ref="H93:H156" si="33">27.5+9.2*LOG10(C93)</f>
        <v>40.668546630262682</v>
      </c>
      <c r="I93" s="10">
        <f t="shared" ref="I93:I156" si="34">IF(D93="Areias",101.3*0.47*(G93)^0.8,101.3*0.15*(G93))</f>
        <v>1305.4653387930348</v>
      </c>
      <c r="J93" s="8">
        <f t="shared" ref="J93:J156" si="35">J92+(B92-A92)/2*F92+(B93-A93)/2*F93</f>
        <v>547.05000000000882</v>
      </c>
      <c r="K93" s="8">
        <f t="shared" ref="K93:K156" si="36">(1-SIN(RADIANS(H93)))*(I93/J93)^SIN(RADIANS(H93))*TAN(RADIANS(H93))</f>
        <v>0.52750401095714006</v>
      </c>
      <c r="L93" s="8">
        <f t="shared" ref="L93:L156" si="37">K93*J93</f>
        <v>288.57106919410813</v>
      </c>
      <c r="M93" s="8">
        <f t="shared" ref="M93:M156" si="38">0.59*(G93*101.3/J93)^0.8*J93</f>
        <v>2296.1645862489722</v>
      </c>
      <c r="N93" s="8">
        <f>$L93*'TABELA AUXILIAR'!$I$3*(B93-A93)</f>
        <v>651.01633210201737</v>
      </c>
      <c r="O93" s="8">
        <f>$L93*'TABELA AUXILIAR'!$I$4*(B93-A93)</f>
        <v>706.42197738729556</v>
      </c>
      <c r="P93" s="8">
        <f>$L93*'TABELA AUXILIAR'!$I$5*(B93-A93)</f>
        <v>815.50184154268675</v>
      </c>
      <c r="Q93" s="8">
        <f>$M93*'TABELA AUXILIAR'!$J$3+SUM(N$2:N93)</f>
        <v>47718.695133531546</v>
      </c>
      <c r="R93" s="8">
        <f>$M93*'TABELA AUXILIAR'!$J$4+SUM(O$2:O93)</f>
        <v>51995.309311392921</v>
      </c>
      <c r="S93" s="8">
        <f>$M93*'TABELA AUXILIAR'!$J$5+SUM(P$2:P93)</f>
        <v>60566.296826463258</v>
      </c>
      <c r="T93" s="10">
        <f t="shared" ref="T93:T156" si="39">ROUNDDOWN(Q93/2,0)</f>
        <v>23859</v>
      </c>
      <c r="U93" s="10">
        <f t="shared" ref="U93:U156" si="40">ROUNDDOWN(R93/2,0)</f>
        <v>25997</v>
      </c>
      <c r="V93" s="10">
        <f t="shared" ref="V93:V156" si="41">ROUNDDOWN(S93/2,0)</f>
        <v>30283</v>
      </c>
    </row>
    <row r="94" spans="1:22" x14ac:dyDescent="0.25">
      <c r="A94" s="8">
        <v>55.199999999999903</v>
      </c>
      <c r="B94" s="8">
        <v>55.8</v>
      </c>
      <c r="C94" s="8">
        <f t="shared" si="31"/>
        <v>27</v>
      </c>
      <c r="D94" s="8" t="s">
        <v>18</v>
      </c>
      <c r="E94" s="8" t="s">
        <v>8</v>
      </c>
      <c r="F94" s="8" cm="1">
        <f t="array" ref="F94">_xlfn.XLOOKUP(D94,'TABELA AUXILIAR'!$A$2:$A$5,IF('SPT-01'!A94&lt;3,'TABELA AUXILIAR'!$B$2:$B$5,'TABELA AUXILIAR'!$C$2:$C$5),"",0,1)</f>
        <v>8.5</v>
      </c>
      <c r="G94" s="9">
        <f t="shared" si="32"/>
        <v>63.035845112150518</v>
      </c>
      <c r="H94" s="10">
        <f t="shared" si="33"/>
        <v>40.668546630262682</v>
      </c>
      <c r="I94" s="10">
        <f t="shared" si="34"/>
        <v>1310.3199914846909</v>
      </c>
      <c r="J94" s="8">
        <f t="shared" si="35"/>
        <v>552.15000000000964</v>
      </c>
      <c r="K94" s="8">
        <f t="shared" si="36"/>
        <v>0.52559349032442682</v>
      </c>
      <c r="L94" s="8">
        <f t="shared" si="37"/>
        <v>290.20644568263731</v>
      </c>
      <c r="M94" s="8">
        <f t="shared" si="38"/>
        <v>2308.9846566636529</v>
      </c>
      <c r="N94" s="8">
        <f>$L94*'TABELA AUXILIAR'!$I$3*(B94-A94)</f>
        <v>654.70574146013212</v>
      </c>
      <c r="O94" s="8">
        <f>$L94*'TABELA AUXILIAR'!$I$4*(B94-A94)</f>
        <v>710.42537903120717</v>
      </c>
      <c r="P94" s="8">
        <f>$L94*'TABELA AUXILIAR'!$I$5*(B94-A94)</f>
        <v>820.12341549926123</v>
      </c>
      <c r="Q94" s="8">
        <f>$M94*'TABELA AUXILIAR'!$J$3+SUM(N$2:N94)</f>
        <v>48387.887554560264</v>
      </c>
      <c r="R94" s="8">
        <f>$M94*'TABELA AUXILIAR'!$J$4+SUM(O$2:O94)</f>
        <v>52722.657183371506</v>
      </c>
      <c r="S94" s="8">
        <f>$M94*'TABELA AUXILIAR'!$J$5+SUM(P$2:P94)</f>
        <v>61408.983565892362</v>
      </c>
      <c r="T94" s="10">
        <f t="shared" si="39"/>
        <v>24193</v>
      </c>
      <c r="U94" s="10">
        <f t="shared" si="40"/>
        <v>26361</v>
      </c>
      <c r="V94" s="10">
        <f t="shared" si="41"/>
        <v>30704</v>
      </c>
    </row>
    <row r="95" spans="1:22" x14ac:dyDescent="0.25">
      <c r="A95" s="8">
        <v>55.799999999999898</v>
      </c>
      <c r="B95" s="8">
        <v>56.4</v>
      </c>
      <c r="C95" s="8">
        <f t="shared" si="31"/>
        <v>27</v>
      </c>
      <c r="D95" s="8" t="s">
        <v>18</v>
      </c>
      <c r="E95" s="8" t="s">
        <v>8</v>
      </c>
      <c r="F95" s="8" cm="1">
        <f t="array" ref="F95">_xlfn.XLOOKUP(D95,'TABELA AUXILIAR'!$A$2:$A$5,IF('SPT-01'!A95&lt;3,'TABELA AUXILIAR'!$B$2:$B$5,'TABELA AUXILIAR'!$C$2:$C$5),"",0,1)</f>
        <v>8.5</v>
      </c>
      <c r="G95" s="9">
        <f t="shared" si="32"/>
        <v>63.326295048897471</v>
      </c>
      <c r="H95" s="10">
        <f t="shared" si="33"/>
        <v>40.668546630262682</v>
      </c>
      <c r="I95" s="10">
        <f t="shared" si="34"/>
        <v>1315.1478137451079</v>
      </c>
      <c r="J95" s="8">
        <f t="shared" si="35"/>
        <v>557.25000000001046</v>
      </c>
      <c r="K95" s="8">
        <f t="shared" si="36"/>
        <v>0.52370736005618701</v>
      </c>
      <c r="L95" s="8">
        <f t="shared" si="37"/>
        <v>291.8359263913157</v>
      </c>
      <c r="M95" s="8">
        <f t="shared" si="38"/>
        <v>2321.7574480151279</v>
      </c>
      <c r="N95" s="8">
        <f>$L95*'TABELA AUXILIAR'!$I$3*(B95-A95)</f>
        <v>658.38184993891889</v>
      </c>
      <c r="O95" s="8">
        <f>$L95*'TABELA AUXILIAR'!$I$4*(B95-A95)</f>
        <v>714.41434780606096</v>
      </c>
      <c r="P95" s="8">
        <f>$L95*'TABELA AUXILIAR'!$I$5*(B95-A95)</f>
        <v>824.72832798199681</v>
      </c>
      <c r="Q95" s="8">
        <f>$M95*'TABELA AUXILIAR'!$J$3+SUM(N$2:N95)</f>
        <v>49060.702658726346</v>
      </c>
      <c r="R95" s="8">
        <f>$M95*'TABELA AUXILIAR'!$J$4+SUM(O$2:O95)</f>
        <v>53453.93161576151</v>
      </c>
      <c r="S95" s="8">
        <f>$M95*'TABELA AUXILIAR'!$J$5+SUM(P$2:P95)</f>
        <v>62256.192006652949</v>
      </c>
      <c r="T95" s="10">
        <f t="shared" si="39"/>
        <v>24530</v>
      </c>
      <c r="U95" s="10">
        <f t="shared" si="40"/>
        <v>26726</v>
      </c>
      <c r="V95" s="10">
        <f t="shared" si="41"/>
        <v>31128</v>
      </c>
    </row>
    <row r="96" spans="1:22" x14ac:dyDescent="0.25">
      <c r="A96" s="8">
        <v>56.399999999999899</v>
      </c>
      <c r="B96" s="8">
        <v>57</v>
      </c>
      <c r="C96" s="8">
        <f t="shared" si="31"/>
        <v>27</v>
      </c>
      <c r="D96" s="8" t="s">
        <v>18</v>
      </c>
      <c r="E96" s="8" t="s">
        <v>8</v>
      </c>
      <c r="F96" s="8" cm="1">
        <f t="array" ref="F96">_xlfn.XLOOKUP(D96,'TABELA AUXILIAR'!$A$2:$A$5,IF('SPT-01'!A96&lt;3,'TABELA AUXILIAR'!$B$2:$B$5,'TABELA AUXILIAR'!$C$2:$C$5),"",0,1)</f>
        <v>8.5</v>
      </c>
      <c r="G96" s="9">
        <f t="shared" si="32"/>
        <v>63.615418887538588</v>
      </c>
      <c r="H96" s="10">
        <f t="shared" si="33"/>
        <v>40.668546630262682</v>
      </c>
      <c r="I96" s="10">
        <f t="shared" si="34"/>
        <v>1319.9491973955592</v>
      </c>
      <c r="J96" s="8">
        <f t="shared" si="35"/>
        <v>562.35000000001128</v>
      </c>
      <c r="K96" s="8">
        <f t="shared" si="36"/>
        <v>0.52184508979306155</v>
      </c>
      <c r="L96" s="8">
        <f t="shared" si="37"/>
        <v>293.45958624513406</v>
      </c>
      <c r="M96" s="8">
        <f t="shared" si="38"/>
        <v>2334.4835649957258</v>
      </c>
      <c r="N96" s="8">
        <f>$L96*'TABELA AUXILIAR'!$I$3*(B96-A96)</f>
        <v>662.04482656913365</v>
      </c>
      <c r="O96" s="8">
        <f>$L96*'TABELA AUXILIAR'!$I$4*(B96-A96)</f>
        <v>718.38906712820904</v>
      </c>
      <c r="P96" s="8">
        <f>$L96*'TABELA AUXILIAR'!$I$5*(B96-A96)</f>
        <v>829.31679072888835</v>
      </c>
      <c r="Q96" s="8">
        <f>$M96*'TABELA AUXILIAR'!$J$3+SUM(N$2:N96)</f>
        <v>49737.127997483556</v>
      </c>
      <c r="R96" s="8">
        <f>$M96*'TABELA AUXILIAR'!$J$4+SUM(O$2:O96)</f>
        <v>54189.119157304107</v>
      </c>
      <c r="S96" s="8">
        <f>$M96*'TABELA AUXILIAR'!$J$5+SUM(P$2:P96)</f>
        <v>63107.906763267689</v>
      </c>
      <c r="T96" s="10">
        <f t="shared" si="39"/>
        <v>24868</v>
      </c>
      <c r="U96" s="10">
        <f t="shared" si="40"/>
        <v>27094</v>
      </c>
      <c r="V96" s="10">
        <f t="shared" si="41"/>
        <v>31553</v>
      </c>
    </row>
    <row r="97" spans="1:22" x14ac:dyDescent="0.25">
      <c r="A97" s="8">
        <v>56.999999999999901</v>
      </c>
      <c r="B97" s="8">
        <v>57.6</v>
      </c>
      <c r="C97" s="8">
        <f t="shared" si="31"/>
        <v>27</v>
      </c>
      <c r="D97" s="8" t="s">
        <v>18</v>
      </c>
      <c r="E97" s="8" t="s">
        <v>8</v>
      </c>
      <c r="F97" s="8" cm="1">
        <f t="array" ref="F97">_xlfn.XLOOKUP(D97,'TABELA AUXILIAR'!$A$2:$A$5,IF('SPT-01'!A97&lt;3,'TABELA AUXILIAR'!$B$2:$B$5,'TABELA AUXILIAR'!$C$2:$C$5),"",0,1)</f>
        <v>8.5</v>
      </c>
      <c r="G97" s="9">
        <f t="shared" si="32"/>
        <v>63.903234627473957</v>
      </c>
      <c r="H97" s="10">
        <f t="shared" si="33"/>
        <v>40.668546630262682</v>
      </c>
      <c r="I97" s="10">
        <f t="shared" si="34"/>
        <v>1324.724525043071</v>
      </c>
      <c r="J97" s="8">
        <f t="shared" si="35"/>
        <v>567.4500000000121</v>
      </c>
      <c r="K97" s="8">
        <f t="shared" si="36"/>
        <v>0.52000616538408306</v>
      </c>
      <c r="L97" s="8">
        <f t="shared" si="37"/>
        <v>295.07749854720424</v>
      </c>
      <c r="M97" s="8">
        <f t="shared" si="38"/>
        <v>2347.1635991594949</v>
      </c>
      <c r="N97" s="8">
        <f>$L97*'TABELA AUXILIAR'!$I$3*(B97-A97)</f>
        <v>665.69483672260469</v>
      </c>
      <c r="O97" s="8">
        <f>$L97*'TABELA AUXILIAR'!$I$4*(B97-A97)</f>
        <v>722.34971644367738</v>
      </c>
      <c r="P97" s="8">
        <f>$L97*'TABELA AUXILIAR'!$I$5*(B97-A97)</f>
        <v>833.88901089453941</v>
      </c>
      <c r="Q97" s="8">
        <f>$M97*'TABELA AUXILIAR'!$J$3+SUM(N$2:N97)</f>
        <v>50417.151272811221</v>
      </c>
      <c r="R97" s="8">
        <f>$M97*'TABELA AUXILIAR'!$J$4+SUM(O$2:O97)</f>
        <v>54928.206518843959</v>
      </c>
      <c r="S97" s="8">
        <f>$M97*'TABELA AUXILIAR'!$J$5+SUM(P$2:P97)</f>
        <v>63964.112634290468</v>
      </c>
      <c r="T97" s="10">
        <f t="shared" si="39"/>
        <v>25208</v>
      </c>
      <c r="U97" s="10">
        <f t="shared" si="40"/>
        <v>27464</v>
      </c>
      <c r="V97" s="10">
        <f t="shared" si="41"/>
        <v>31982</v>
      </c>
    </row>
    <row r="98" spans="1:22" x14ac:dyDescent="0.25">
      <c r="A98" s="8">
        <v>57.599999999999902</v>
      </c>
      <c r="B98" s="8">
        <v>58.2</v>
      </c>
      <c r="C98" s="8">
        <f t="shared" si="31"/>
        <v>27</v>
      </c>
      <c r="D98" s="8" t="s">
        <v>18</v>
      </c>
      <c r="E98" s="8" t="s">
        <v>8</v>
      </c>
      <c r="F98" s="8" cm="1">
        <f t="array" ref="F98">_xlfn.XLOOKUP(D98,'TABELA AUXILIAR'!$A$2:$A$5,IF('SPT-01'!A98&lt;3,'TABELA AUXILIAR'!$B$2:$B$5,'TABELA AUXILIAR'!$C$2:$C$5),"",0,1)</f>
        <v>8.5</v>
      </c>
      <c r="G98" s="9">
        <f t="shared" si="32"/>
        <v>64.189759864568515</v>
      </c>
      <c r="H98" s="10">
        <f t="shared" si="33"/>
        <v>40.668546630262682</v>
      </c>
      <c r="I98" s="10">
        <f t="shared" si="34"/>
        <v>1329.4741703777638</v>
      </c>
      <c r="J98" s="8">
        <f t="shared" si="35"/>
        <v>572.55000000001291</v>
      </c>
      <c r="K98" s="8">
        <f t="shared" si="36"/>
        <v>0.51819008825097979</v>
      </c>
      <c r="L98" s="8">
        <f t="shared" si="37"/>
        <v>296.68973502810519</v>
      </c>
      <c r="M98" s="8">
        <f t="shared" si="38"/>
        <v>2359.7981293229768</v>
      </c>
      <c r="N98" s="8">
        <f>$L98*'TABELA AUXILIAR'!$I$3*(B98-A98)</f>
        <v>669.33204222351787</v>
      </c>
      <c r="O98" s="8">
        <f>$L98*'TABELA AUXILIAR'!$I$4*(B98-A98)</f>
        <v>726.29647134892366</v>
      </c>
      <c r="P98" s="8">
        <f>$L98*'TABELA AUXILIAR'!$I$5*(B98-A98)</f>
        <v>838.44519118956623</v>
      </c>
      <c r="Q98" s="8">
        <f>$M98*'TABELA AUXILIAR'!$J$3+SUM(N$2:N98)</f>
        <v>51100.760334119477</v>
      </c>
      <c r="R98" s="8">
        <f>$M98*'TABELA AUXILIAR'!$J$4+SUM(O$2:O98)</f>
        <v>55671.180570008684</v>
      </c>
      <c r="S98" s="8">
        <f>$M98*'TABELA AUXILIAR'!$J$5+SUM(P$2:P98)</f>
        <v>64824.794598567765</v>
      </c>
      <c r="T98" s="10">
        <f t="shared" si="39"/>
        <v>25550</v>
      </c>
      <c r="U98" s="10">
        <f t="shared" si="40"/>
        <v>27835</v>
      </c>
      <c r="V98" s="10">
        <f t="shared" si="41"/>
        <v>32412</v>
      </c>
    </row>
    <row r="99" spans="1:22" x14ac:dyDescent="0.25">
      <c r="A99" s="8">
        <v>58.199999999999903</v>
      </c>
      <c r="B99" s="8">
        <v>58.8</v>
      </c>
      <c r="C99" s="8">
        <f t="shared" si="31"/>
        <v>27</v>
      </c>
      <c r="D99" s="8" t="s">
        <v>18</v>
      </c>
      <c r="E99" s="8" t="s">
        <v>8</v>
      </c>
      <c r="F99" s="8" cm="1">
        <f t="array" ref="F99">_xlfn.XLOOKUP(D99,'TABELA AUXILIAR'!$A$2:$A$5,IF('SPT-01'!A99&lt;3,'TABELA AUXILIAR'!$B$2:$B$5,'TABELA AUXILIAR'!$C$2:$C$5),"",0,1)</f>
        <v>8.5</v>
      </c>
      <c r="G99" s="9">
        <f t="shared" si="32"/>
        <v>64.475011803705442</v>
      </c>
      <c r="H99" s="10">
        <f t="shared" si="33"/>
        <v>40.668546630262682</v>
      </c>
      <c r="I99" s="10">
        <f t="shared" si="34"/>
        <v>1334.1984984580347</v>
      </c>
      <c r="J99" s="8">
        <f t="shared" si="35"/>
        <v>577.65000000001373</v>
      </c>
      <c r="K99" s="8">
        <f t="shared" si="36"/>
        <v>0.51639637478281553</v>
      </c>
      <c r="L99" s="8">
        <f t="shared" si="37"/>
        <v>298.2963658933005</v>
      </c>
      <c r="M99" s="8">
        <f t="shared" si="38"/>
        <v>2372.3877219503092</v>
      </c>
      <c r="N99" s="8">
        <f>$L99*'TABELA AUXILIAR'!$I$3*(B99-A99)</f>
        <v>672.95660145539114</v>
      </c>
      <c r="O99" s="8">
        <f>$L99*'TABELA AUXILIAR'!$I$4*(B99-A99)</f>
        <v>730.22950370691387</v>
      </c>
      <c r="P99" s="8">
        <f>$L99*'TABELA AUXILIAR'!$I$5*(B99-A99)</f>
        <v>842.98553001459902</v>
      </c>
      <c r="Q99" s="8">
        <f>$M99*'TABELA AUXILIAR'!$J$3+SUM(N$2:N99)</f>
        <v>51787.943175243752</v>
      </c>
      <c r="R99" s="8">
        <f>$M99*'TABELA AUXILIAR'!$J$4+SUM(O$2:O99)</f>
        <v>56418.028335983676</v>
      </c>
      <c r="S99" s="8">
        <f>$M99*'TABELA AUXILIAR'!$J$5+SUM(P$2:P99)</f>
        <v>65689.937811606462</v>
      </c>
      <c r="T99" s="10">
        <f t="shared" si="39"/>
        <v>25893</v>
      </c>
      <c r="U99" s="10">
        <f t="shared" si="40"/>
        <v>28209</v>
      </c>
      <c r="V99" s="10">
        <f t="shared" si="41"/>
        <v>32844</v>
      </c>
    </row>
    <row r="100" spans="1:22" x14ac:dyDescent="0.25">
      <c r="A100" s="8">
        <v>58.799999999999898</v>
      </c>
      <c r="B100" s="8">
        <v>59.4</v>
      </c>
      <c r="C100" s="8">
        <f t="shared" si="31"/>
        <v>27</v>
      </c>
      <c r="D100" s="8" t="s">
        <v>18</v>
      </c>
      <c r="E100" s="8" t="s">
        <v>8</v>
      </c>
      <c r="F100" s="8" cm="1">
        <f t="array" ref="F100">_xlfn.XLOOKUP(D100,'TABELA AUXILIAR'!$A$2:$A$5,IF('SPT-01'!A100&lt;3,'TABELA AUXILIAR'!$B$2:$B$5,'TABELA AUXILIAR'!$C$2:$C$5),"",0,1)</f>
        <v>8.5</v>
      </c>
      <c r="G100" s="9">
        <f t="shared" si="32"/>
        <v>64.759007270841806</v>
      </c>
      <c r="H100" s="10">
        <f t="shared" si="33"/>
        <v>40.668546630262682</v>
      </c>
      <c r="I100" s="10">
        <f t="shared" si="34"/>
        <v>1338.8978659842014</v>
      </c>
      <c r="J100" s="8">
        <f t="shared" si="35"/>
        <v>582.75000000001455</v>
      </c>
      <c r="K100" s="8">
        <f t="shared" si="36"/>
        <v>0.5146245557592718</v>
      </c>
      <c r="L100" s="8">
        <f t="shared" si="37"/>
        <v>299.8974598687231</v>
      </c>
      <c r="M100" s="8">
        <f t="shared" si="38"/>
        <v>2384.9329315233767</v>
      </c>
      <c r="N100" s="8">
        <f>$L100*'TABELA AUXILIAR'!$I$3*(B100-A100)</f>
        <v>676.56866946395303</v>
      </c>
      <c r="O100" s="8">
        <f>$L100*'TABELA AUXILIAR'!$I$4*(B100-A100)</f>
        <v>734.1489817587576</v>
      </c>
      <c r="P100" s="8">
        <f>$L100*'TABELA AUXILIAR'!$I$5*(B100-A100)</f>
        <v>847.51022158915396</v>
      </c>
      <c r="Q100" s="8">
        <f>$M100*'TABELA AUXILIAR'!$J$3+SUM(N$2:N100)</f>
        <v>52478.687931525274</v>
      </c>
      <c r="R100" s="8">
        <f>$M100*'TABELA AUXILIAR'!$J$4+SUM(O$2:O100)</f>
        <v>57168.73699437888</v>
      </c>
      <c r="S100" s="8">
        <f>$M100*'TABELA AUXILIAR'!$J$5+SUM(P$2:P100)</f>
        <v>66559.527602044225</v>
      </c>
      <c r="T100" s="10">
        <f t="shared" si="39"/>
        <v>26239</v>
      </c>
      <c r="U100" s="10">
        <f t="shared" si="40"/>
        <v>28584</v>
      </c>
      <c r="V100" s="10">
        <f t="shared" si="41"/>
        <v>33279</v>
      </c>
    </row>
    <row r="101" spans="1:22" x14ac:dyDescent="0.25">
      <c r="A101" s="8">
        <v>59.399999999999899</v>
      </c>
      <c r="B101" s="8">
        <v>60</v>
      </c>
      <c r="C101" s="8">
        <f t="shared" si="31"/>
        <v>27</v>
      </c>
      <c r="D101" s="8" t="s">
        <v>18</v>
      </c>
      <c r="E101" s="8" t="s">
        <v>8</v>
      </c>
      <c r="F101" s="8" cm="1">
        <f t="array" ref="F101">_xlfn.XLOOKUP(D101,'TABELA AUXILIAR'!$A$2:$A$5,IF('SPT-01'!A101&lt;3,'TABELA AUXILIAR'!$B$2:$B$5,'TABELA AUXILIAR'!$C$2:$C$5),"",0,1)</f>
        <v>8.5</v>
      </c>
      <c r="G101" s="9">
        <f t="shared" si="32"/>
        <v>65.04176272459047</v>
      </c>
      <c r="H101" s="10">
        <f t="shared" si="33"/>
        <v>40.668546630262682</v>
      </c>
      <c r="I101" s="10">
        <f t="shared" si="34"/>
        <v>1343.5726215611496</v>
      </c>
      <c r="J101" s="8">
        <f t="shared" si="35"/>
        <v>587.85000000001537</v>
      </c>
      <c r="K101" s="8">
        <f t="shared" si="36"/>
        <v>0.51287417580097228</v>
      </c>
      <c r="L101" s="8">
        <f t="shared" si="37"/>
        <v>301.49308424460946</v>
      </c>
      <c r="M101" s="8">
        <f t="shared" si="38"/>
        <v>2397.4343008977498</v>
      </c>
      <c r="N101" s="8">
        <f>$L101*'TABELA AUXILIAR'!$I$3*(B101-A101)</f>
        <v>680.16839805595328</v>
      </c>
      <c r="O101" s="8">
        <f>$L101*'TABELA AUXILIAR'!$I$4*(B101-A101)</f>
        <v>738.0550702309281</v>
      </c>
      <c r="P101" s="8">
        <f>$L101*'TABELA AUXILIAR'!$I$5*(B101-A101)</f>
        <v>852.01945607540961</v>
      </c>
      <c r="Q101" s="8">
        <f>$M101*'TABELA AUXILIAR'!$J$3+SUM(N$2:N101)</f>
        <v>53172.982876974267</v>
      </c>
      <c r="R101" s="8">
        <f>$M101*'TABELA AUXILIAR'!$J$4+SUM(O$2:O101)</f>
        <v>57923.293872183982</v>
      </c>
      <c r="S101" s="8">
        <f>$M101*'TABELA AUXILIAR'!$J$5+SUM(P$2:P101)</f>
        <v>67433.549468218524</v>
      </c>
      <c r="T101" s="10">
        <f t="shared" si="39"/>
        <v>26586</v>
      </c>
      <c r="U101" s="10">
        <f t="shared" si="40"/>
        <v>28961</v>
      </c>
      <c r="V101" s="10">
        <f t="shared" si="41"/>
        <v>33716</v>
      </c>
    </row>
    <row r="102" spans="1:22" x14ac:dyDescent="0.25">
      <c r="A102" s="8">
        <v>59.999999999999901</v>
      </c>
      <c r="B102" s="8">
        <v>60.6</v>
      </c>
      <c r="C102" s="8">
        <f t="shared" si="31"/>
        <v>27</v>
      </c>
      <c r="D102" s="8" t="s">
        <v>18</v>
      </c>
      <c r="E102" s="8" t="s">
        <v>8</v>
      </c>
      <c r="F102" s="8" cm="1">
        <f t="array" ref="F102">_xlfn.XLOOKUP(D102,'TABELA AUXILIAR'!$A$2:$A$5,IF('SPT-01'!A102&lt;3,'TABELA AUXILIAR'!$B$2:$B$5,'TABELA AUXILIAR'!$C$2:$C$5),"",0,1)</f>
        <v>8.5</v>
      </c>
      <c r="G102" s="9">
        <f t="shared" si="32"/>
        <v>65.323294267350846</v>
      </c>
      <c r="H102" s="10">
        <f t="shared" si="33"/>
        <v>40.668546630262682</v>
      </c>
      <c r="I102" s="10">
        <f t="shared" si="34"/>
        <v>1348.2231059505245</v>
      </c>
      <c r="J102" s="8">
        <f t="shared" si="35"/>
        <v>592.95000000001619</v>
      </c>
      <c r="K102" s="8">
        <f t="shared" si="36"/>
        <v>0.51114479284536474</v>
      </c>
      <c r="L102" s="8">
        <f t="shared" si="37"/>
        <v>303.08330491766731</v>
      </c>
      <c r="M102" s="8">
        <f t="shared" si="38"/>
        <v>2409.8923616450434</v>
      </c>
      <c r="N102" s="8">
        <f>$L102*'TABELA AUXILIAR'!$I$3*(B102-A102)</f>
        <v>683.75593589437244</v>
      </c>
      <c r="O102" s="8">
        <f>$L102*'TABELA AUXILIAR'!$I$4*(B102-A102)</f>
        <v>741.9479304385743</v>
      </c>
      <c r="P102" s="8">
        <f>$L102*'TABELA AUXILIAR'!$I$5*(B102-A102)</f>
        <v>856.51341969747193</v>
      </c>
      <c r="Q102" s="8">
        <f>$M102*'TABELA AUXILIAR'!$J$3+SUM(N$2:N102)</f>
        <v>53870.816421513075</v>
      </c>
      <c r="R102" s="8">
        <f>$M102*'TABELA AUXILIAR'!$J$4+SUM(O$2:O102)</f>
        <v>58681.686442808983</v>
      </c>
      <c r="S102" s="8">
        <f>$M102*'TABELA AUXILIAR'!$J$5+SUM(P$2:P102)</f>
        <v>68311.989074831232</v>
      </c>
      <c r="T102" s="10">
        <f t="shared" si="39"/>
        <v>26935</v>
      </c>
      <c r="U102" s="10">
        <f t="shared" si="40"/>
        <v>29340</v>
      </c>
      <c r="V102" s="10">
        <f t="shared" si="41"/>
        <v>34155</v>
      </c>
    </row>
    <row r="103" spans="1:22" x14ac:dyDescent="0.25">
      <c r="A103" s="8">
        <v>60.599999999999902</v>
      </c>
      <c r="B103" s="8">
        <v>61.2</v>
      </c>
      <c r="C103" s="8">
        <f t="shared" si="31"/>
        <v>27</v>
      </c>
      <c r="D103" s="8" t="s">
        <v>18</v>
      </c>
      <c r="E103" s="8" t="s">
        <v>8</v>
      </c>
      <c r="F103" s="8" cm="1">
        <f t="array" ref="F103">_xlfn.XLOOKUP(D103,'TABELA AUXILIAR'!$A$2:$A$5,IF('SPT-01'!A103&lt;3,'TABELA AUXILIAR'!$B$2:$B$5,'TABELA AUXILIAR'!$C$2:$C$5),"",0,1)</f>
        <v>8.5</v>
      </c>
      <c r="G103" s="9">
        <f t="shared" si="32"/>
        <v>65.603617656009618</v>
      </c>
      <c r="H103" s="10">
        <f t="shared" si="33"/>
        <v>40.668546630262682</v>
      </c>
      <c r="I103" s="10">
        <f t="shared" si="34"/>
        <v>1352.8496523129775</v>
      </c>
      <c r="J103" s="8">
        <f t="shared" si="35"/>
        <v>598.05000000001701</v>
      </c>
      <c r="K103" s="8">
        <f t="shared" si="36"/>
        <v>0.50943597764675974</v>
      </c>
      <c r="L103" s="8">
        <f t="shared" si="37"/>
        <v>304.66818643165334</v>
      </c>
      <c r="M103" s="8">
        <f t="shared" si="38"/>
        <v>2422.3076343823568</v>
      </c>
      <c r="N103" s="8">
        <f>$L103*'TABELA AUXILIAR'!$I$3*(B103-A103)</f>
        <v>687.33142858992551</v>
      </c>
      <c r="O103" s="8">
        <f>$L103*'TABELA AUXILIAR'!$I$4*(B103-A103)</f>
        <v>745.82772038481278</v>
      </c>
      <c r="P103" s="8">
        <f>$L103*'TABELA AUXILIAR'!$I$5*(B103-A103)</f>
        <v>860.9922948559971</v>
      </c>
      <c r="Q103" s="8">
        <f>$M103*'TABELA AUXILIAR'!$J$3+SUM(N$2:N103)</f>
        <v>54572.177108296164</v>
      </c>
      <c r="R103" s="8">
        <f>$M103*'TABELA AUXILIAR'!$J$4+SUM(O$2:O103)</f>
        <v>59443.902323207047</v>
      </c>
      <c r="S103" s="8">
        <f>$M103*'TABELA AUXILIAR'!$J$5+SUM(P$2:P103)</f>
        <v>69194.832249704894</v>
      </c>
      <c r="T103" s="10">
        <f t="shared" si="39"/>
        <v>27286</v>
      </c>
      <c r="U103" s="10">
        <f t="shared" si="40"/>
        <v>29721</v>
      </c>
      <c r="V103" s="10">
        <f t="shared" si="41"/>
        <v>34597</v>
      </c>
    </row>
    <row r="104" spans="1:22" x14ac:dyDescent="0.25">
      <c r="A104" s="8">
        <v>61.199999999999903</v>
      </c>
      <c r="B104" s="8">
        <v>61.8</v>
      </c>
      <c r="C104" s="8">
        <f t="shared" si="31"/>
        <v>27</v>
      </c>
      <c r="D104" s="8" t="s">
        <v>18</v>
      </c>
      <c r="E104" s="8" t="s">
        <v>8</v>
      </c>
      <c r="F104" s="8" cm="1">
        <f t="array" ref="F104">_xlfn.XLOOKUP(D104,'TABELA AUXILIAR'!$A$2:$A$5,IF('SPT-01'!A104&lt;3,'TABELA AUXILIAR'!$B$2:$B$5,'TABELA AUXILIAR'!$C$2:$C$5),"",0,1)</f>
        <v>8.5</v>
      </c>
      <c r="G104" s="9">
        <f t="shared" si="32"/>
        <v>65.882748312231797</v>
      </c>
      <c r="H104" s="10">
        <f t="shared" si="33"/>
        <v>40.668546630262682</v>
      </c>
      <c r="I104" s="10">
        <f t="shared" si="34"/>
        <v>1357.4525864409227</v>
      </c>
      <c r="J104" s="8">
        <f t="shared" si="35"/>
        <v>603.15000000001783</v>
      </c>
      <c r="K104" s="8">
        <f t="shared" si="36"/>
        <v>0.50774731329921996</v>
      </c>
      <c r="L104" s="8">
        <f t="shared" si="37"/>
        <v>306.24779201643355</v>
      </c>
      <c r="M104" s="8">
        <f t="shared" si="38"/>
        <v>2434.6806290893564</v>
      </c>
      <c r="N104" s="8">
        <f>$L104*'TABELA AUXILIAR'!$I$3*(B104-A104)</f>
        <v>690.89501878918213</v>
      </c>
      <c r="O104" s="8">
        <f>$L104*'TABELA AUXILIAR'!$I$4*(B104-A104)</f>
        <v>749.6945948563465</v>
      </c>
      <c r="P104" s="8">
        <f>$L104*'TABELA AUXILIAR'!$I$5*(B104-A104)</f>
        <v>865.45626023857653</v>
      </c>
      <c r="Q104" s="8">
        <f>$M104*'TABELA AUXILIAR'!$J$3+SUM(N$2:N104)</f>
        <v>55277.05361110426</v>
      </c>
      <c r="R104" s="8">
        <f>$M104*'TABELA AUXILIAR'!$J$4+SUM(O$2:O104)</f>
        <v>60209.929271076631</v>
      </c>
      <c r="S104" s="8">
        <f>$M104*'TABELA AUXILIAR'!$J$5+SUM(P$2:P104)</f>
        <v>70082.064980627794</v>
      </c>
      <c r="T104" s="10">
        <f t="shared" si="39"/>
        <v>27638</v>
      </c>
      <c r="U104" s="10">
        <f t="shared" si="40"/>
        <v>30104</v>
      </c>
      <c r="V104" s="10">
        <f t="shared" si="41"/>
        <v>35041</v>
      </c>
    </row>
    <row r="105" spans="1:22" x14ac:dyDescent="0.25">
      <c r="A105" s="8">
        <v>61.799999999999898</v>
      </c>
      <c r="B105" s="8">
        <v>62.4</v>
      </c>
      <c r="C105" s="8">
        <f t="shared" si="31"/>
        <v>27</v>
      </c>
      <c r="D105" s="8" t="s">
        <v>18</v>
      </c>
      <c r="E105" s="8" t="s">
        <v>8</v>
      </c>
      <c r="F105" s="8" cm="1">
        <f t="array" ref="F105">_xlfn.XLOOKUP(D105,'TABELA AUXILIAR'!$A$2:$A$5,IF('SPT-01'!A105&lt;3,'TABELA AUXILIAR'!$B$2:$B$5,'TABELA AUXILIAR'!$C$2:$C$5),"",0,1)</f>
        <v>8.5</v>
      </c>
      <c r="G105" s="9">
        <f t="shared" si="32"/>
        <v>66.160701332360958</v>
      </c>
      <c r="H105" s="10">
        <f t="shared" si="33"/>
        <v>40.668546630262682</v>
      </c>
      <c r="I105" s="10">
        <f t="shared" si="34"/>
        <v>1362.0322269822718</v>
      </c>
      <c r="J105" s="8">
        <f t="shared" si="35"/>
        <v>608.25000000001864</v>
      </c>
      <c r="K105" s="8">
        <f t="shared" si="36"/>
        <v>0.50607839478107119</v>
      </c>
      <c r="L105" s="8">
        <f t="shared" si="37"/>
        <v>307.82218362559598</v>
      </c>
      <c r="M105" s="8">
        <f t="shared" si="38"/>
        <v>2447.0118454135923</v>
      </c>
      <c r="N105" s="8">
        <f>$L105*'TABELA AUXILIAR'!$I$3*(B105-A105)</f>
        <v>694.44684625946138</v>
      </c>
      <c r="O105" s="8">
        <f>$L105*'TABELA AUXILIAR'!$I$4*(B105-A105)</f>
        <v>753.54870551558565</v>
      </c>
      <c r="P105" s="8">
        <f>$L105*'TABELA AUXILIAR'!$I$5*(B105-A105)</f>
        <v>869.90549092608057</v>
      </c>
      <c r="Q105" s="8">
        <f>$M105*'TABELA AUXILIAR'!$J$3+SUM(N$2:N105)</f>
        <v>55985.434731810106</v>
      </c>
      <c r="R105" s="8">
        <f>$M105*'TABELA AUXILIAR'!$J$4+SUM(O$2:O105)</f>
        <v>60979.755182140208</v>
      </c>
      <c r="S105" s="8">
        <f>$M105*'TABELA AUXILIAR'!$J$5+SUM(P$2:P105)</f>
        <v>70973.673412284523</v>
      </c>
      <c r="T105" s="10">
        <f t="shared" si="39"/>
        <v>27992</v>
      </c>
      <c r="U105" s="10">
        <f t="shared" si="40"/>
        <v>30489</v>
      </c>
      <c r="V105" s="10">
        <f t="shared" si="41"/>
        <v>35486</v>
      </c>
    </row>
    <row r="106" spans="1:22" x14ac:dyDescent="0.25">
      <c r="A106" s="8">
        <v>62.399999999999899</v>
      </c>
      <c r="B106" s="8">
        <v>63</v>
      </c>
      <c r="C106" s="8">
        <f t="shared" si="31"/>
        <v>27</v>
      </c>
      <c r="D106" s="8" t="s">
        <v>18</v>
      </c>
      <c r="E106" s="8" t="s">
        <v>8</v>
      </c>
      <c r="F106" s="8" cm="1">
        <f t="array" ref="F106">_xlfn.XLOOKUP(D106,'TABELA AUXILIAR'!$A$2:$A$5,IF('SPT-01'!A106&lt;3,'TABELA AUXILIAR'!$B$2:$B$5,'TABELA AUXILIAR'!$C$2:$C$5),"",0,1)</f>
        <v>8.5</v>
      </c>
      <c r="G106" s="9">
        <f t="shared" si="32"/>
        <v>66.437491496946606</v>
      </c>
      <c r="H106" s="10">
        <f t="shared" si="33"/>
        <v>40.668546630262682</v>
      </c>
      <c r="I106" s="10">
        <f t="shared" si="34"/>
        <v>1366.5888856555591</v>
      </c>
      <c r="J106" s="8">
        <f t="shared" si="35"/>
        <v>613.35000000001946</v>
      </c>
      <c r="K106" s="8">
        <f t="shared" si="36"/>
        <v>0.50442882851988469</v>
      </c>
      <c r="L106" s="8">
        <f t="shared" si="37"/>
        <v>309.39142197268109</v>
      </c>
      <c r="M106" s="8">
        <f t="shared" si="38"/>
        <v>2459.3017729645676</v>
      </c>
      <c r="N106" s="8">
        <f>$L106*'TABELA AUXILIAR'!$I$3*(B106-A106)</f>
        <v>697.98704797048583</v>
      </c>
      <c r="O106" s="8">
        <f>$L106*'TABELA AUXILIAR'!$I$4*(B106-A106)</f>
        <v>757.39020098925073</v>
      </c>
      <c r="P106" s="8">
        <f>$L106*'TABELA AUXILIAR'!$I$5*(B106-A106)</f>
        <v>874.34015849494369</v>
      </c>
      <c r="Q106" s="8">
        <f>$M106*'TABELA AUXILIAR'!$J$3+SUM(N$2:N106)</f>
        <v>56697.309397913188</v>
      </c>
      <c r="R106" s="8">
        <f>$M106*'TABELA AUXILIAR'!$J$4+SUM(O$2:O106)</f>
        <v>61753.368087496739</v>
      </c>
      <c r="S106" s="8">
        <f>$M106*'TABELA AUXILIAR'!$J$5+SUM(P$2:P106)</f>
        <v>71869.643843269179</v>
      </c>
      <c r="T106" s="10">
        <f t="shared" si="39"/>
        <v>28348</v>
      </c>
      <c r="U106" s="10">
        <f t="shared" si="40"/>
        <v>30876</v>
      </c>
      <c r="V106" s="10">
        <f t="shared" si="41"/>
        <v>35934</v>
      </c>
    </row>
    <row r="107" spans="1:22" x14ac:dyDescent="0.25">
      <c r="A107" s="8">
        <v>62.999999999999901</v>
      </c>
      <c r="B107" s="8">
        <v>63.6</v>
      </c>
      <c r="C107" s="8">
        <f t="shared" si="31"/>
        <v>27</v>
      </c>
      <c r="D107" s="8" t="s">
        <v>18</v>
      </c>
      <c r="E107" s="8" t="s">
        <v>8</v>
      </c>
      <c r="F107" s="8" cm="1">
        <f t="array" ref="F107">_xlfn.XLOOKUP(D107,'TABELA AUXILIAR'!$A$2:$A$5,IF('SPT-01'!A107&lt;3,'TABELA AUXILIAR'!$B$2:$B$5,'TABELA AUXILIAR'!$C$2:$C$5),"",0,1)</f>
        <v>8.5</v>
      </c>
      <c r="G107" s="9">
        <f t="shared" si="32"/>
        <v>66.713133279916022</v>
      </c>
      <c r="H107" s="10">
        <f t="shared" si="33"/>
        <v>40.668546630262682</v>
      </c>
      <c r="I107" s="10">
        <f t="shared" si="34"/>
        <v>1371.1228674568542</v>
      </c>
      <c r="J107" s="8">
        <f t="shared" si="35"/>
        <v>618.45000000002028</v>
      </c>
      <c r="K107" s="8">
        <f t="shared" si="36"/>
        <v>0.50279823197684659</v>
      </c>
      <c r="L107" s="8">
        <f t="shared" si="37"/>
        <v>310.95556656609097</v>
      </c>
      <c r="M107" s="8">
        <f t="shared" si="38"/>
        <v>2471.5508915970609</v>
      </c>
      <c r="N107" s="8">
        <f>$L107*'TABELA AUXILIAR'!$I$3*(B107-A107)</f>
        <v>701.51575817321907</v>
      </c>
      <c r="O107" s="8">
        <f>$L107*'TABELA AUXILIAR'!$I$4*(B107-A107)</f>
        <v>761.21922695391868</v>
      </c>
      <c r="P107" s="8">
        <f>$L107*'TABELA AUXILIAR'!$I$5*(B107-A107)</f>
        <v>878.76043111592082</v>
      </c>
      <c r="Q107" s="8">
        <f>$M107*'TABELA AUXILIAR'!$J$3+SUM(N$2:N107)</f>
        <v>57412.666660141127</v>
      </c>
      <c r="R107" s="8">
        <f>$M107*'TABELA AUXILIAR'!$J$4+SUM(O$2:O107)</f>
        <v>62530.756151045549</v>
      </c>
      <c r="S107" s="8">
        <f>$M107*'TABELA AUXILIAR'!$J$5+SUM(P$2:P107)</f>
        <v>72769.962723178294</v>
      </c>
      <c r="T107" s="10">
        <f t="shared" si="39"/>
        <v>28706</v>
      </c>
      <c r="U107" s="10">
        <f t="shared" si="40"/>
        <v>31265</v>
      </c>
      <c r="V107" s="10">
        <f t="shared" si="41"/>
        <v>36384</v>
      </c>
    </row>
    <row r="108" spans="1:22" x14ac:dyDescent="0.25">
      <c r="A108" s="8">
        <v>63.599999999999902</v>
      </c>
      <c r="B108" s="8">
        <v>64.2</v>
      </c>
      <c r="C108" s="8">
        <f t="shared" si="31"/>
        <v>27</v>
      </c>
      <c r="D108" s="8" t="s">
        <v>18</v>
      </c>
      <c r="E108" s="8" t="s">
        <v>8</v>
      </c>
      <c r="F108" s="8" cm="1">
        <f t="array" ref="F108">_xlfn.XLOOKUP(D108,'TABELA AUXILIAR'!$A$2:$A$5,IF('SPT-01'!A108&lt;3,'TABELA AUXILIAR'!$B$2:$B$5,'TABELA AUXILIAR'!$C$2:$C$5),"",0,1)</f>
        <v>8.5</v>
      </c>
      <c r="G108" s="9">
        <f t="shared" si="32"/>
        <v>66.987640857406106</v>
      </c>
      <c r="H108" s="10">
        <f t="shared" si="33"/>
        <v>40.668546630262682</v>
      </c>
      <c r="I108" s="10">
        <f t="shared" si="34"/>
        <v>1375.6344708588465</v>
      </c>
      <c r="J108" s="8">
        <f t="shared" si="35"/>
        <v>623.5500000000211</v>
      </c>
      <c r="K108" s="8">
        <f t="shared" si="36"/>
        <v>0.5011862332494994</v>
      </c>
      <c r="L108" s="8">
        <f t="shared" si="37"/>
        <v>312.5146757427359</v>
      </c>
      <c r="M108" s="8">
        <f t="shared" si="38"/>
        <v>2483.7596716841886</v>
      </c>
      <c r="N108" s="8">
        <f>$L108*'TABELA AUXILIAR'!$I$3*(B108-A108)</f>
        <v>705.03310847573073</v>
      </c>
      <c r="O108" s="8">
        <f>$L108*'TABELA AUXILIAR'!$I$4*(B108-A108)</f>
        <v>765.03592621834616</v>
      </c>
      <c r="P108" s="8">
        <f>$L108*'TABELA AUXILIAR'!$I$5*(B108-A108)</f>
        <v>883.16647364912023</v>
      </c>
      <c r="Q108" s="8">
        <f>$M108*'TABELA AUXILIAR'!$J$3+SUM(N$2:N108)</f>
        <v>58131.495690115305</v>
      </c>
      <c r="R108" s="8">
        <f>$M108*'TABELA AUXILIAR'!$J$4+SUM(O$2:O108)</f>
        <v>63311.907666978906</v>
      </c>
      <c r="S108" s="8">
        <f>$M108*'TABELA AUXILIAR'!$J$5+SUM(P$2:P108)</f>
        <v>73674.616649780757</v>
      </c>
      <c r="T108" s="10">
        <f t="shared" si="39"/>
        <v>29065</v>
      </c>
      <c r="U108" s="10">
        <f t="shared" si="40"/>
        <v>31655</v>
      </c>
      <c r="V108" s="10">
        <f t="shared" si="41"/>
        <v>36837</v>
      </c>
    </row>
    <row r="109" spans="1:22" x14ac:dyDescent="0.25">
      <c r="A109" s="8">
        <v>64.199999999999903</v>
      </c>
      <c r="B109" s="8">
        <v>64.8</v>
      </c>
      <c r="C109" s="8">
        <f t="shared" si="31"/>
        <v>27</v>
      </c>
      <c r="D109" s="8" t="s">
        <v>18</v>
      </c>
      <c r="E109" s="8" t="s">
        <v>8</v>
      </c>
      <c r="F109" s="8" cm="1">
        <f t="array" ref="F109">_xlfn.XLOOKUP(D109,'TABELA AUXILIAR'!$A$2:$A$5,IF('SPT-01'!A109&lt;3,'TABELA AUXILIAR'!$B$2:$B$5,'TABELA AUXILIAR'!$C$2:$C$5),"",0,1)</f>
        <v>8.5</v>
      </c>
      <c r="G109" s="9">
        <f t="shared" si="32"/>
        <v>67.261028116271078</v>
      </c>
      <c r="H109" s="10">
        <f t="shared" si="33"/>
        <v>40.668546630262682</v>
      </c>
      <c r="I109" s="10">
        <f t="shared" si="34"/>
        <v>1380.1239880024643</v>
      </c>
      <c r="J109" s="8">
        <f t="shared" si="35"/>
        <v>628.65000000002192</v>
      </c>
      <c r="K109" s="8">
        <f t="shared" si="36"/>
        <v>0.4995924706919041</v>
      </c>
      <c r="L109" s="8">
        <f t="shared" si="37"/>
        <v>314.06880670047644</v>
      </c>
      <c r="M109" s="8">
        <f t="shared" si="38"/>
        <v>2495.9285743806572</v>
      </c>
      <c r="N109" s="8">
        <f>$L109*'TABELA AUXILIAR'!$I$3*(B109-A109)</f>
        <v>708.53922791638558</v>
      </c>
      <c r="O109" s="8">
        <f>$L109*'TABELA AUXILIAR'!$I$4*(B109-A109)</f>
        <v>768.84043880288652</v>
      </c>
      <c r="P109" s="8">
        <f>$L109*'TABELA AUXILIAR'!$I$5*(B109-A109)</f>
        <v>887.55844773568515</v>
      </c>
      <c r="Q109" s="8">
        <f>$M109*'TABELA AUXILIAR'!$J$3+SUM(N$2:N109)</f>
        <v>58853.785778078702</v>
      </c>
      <c r="R109" s="8">
        <f>$M109*'TABELA AUXILIAR'!$J$4+SUM(O$2:O109)</f>
        <v>64096.811057341132</v>
      </c>
      <c r="S109" s="8">
        <f>$M109*'TABELA AUXILIAR'!$J$5+SUM(P$2:P109)</f>
        <v>74583.592366262237</v>
      </c>
      <c r="T109" s="10">
        <f t="shared" si="39"/>
        <v>29426</v>
      </c>
      <c r="U109" s="10">
        <f t="shared" si="40"/>
        <v>32048</v>
      </c>
      <c r="V109" s="10">
        <f t="shared" si="41"/>
        <v>37291</v>
      </c>
    </row>
    <row r="110" spans="1:22" x14ac:dyDescent="0.25">
      <c r="A110" s="8">
        <v>64.799999999999898</v>
      </c>
      <c r="B110" s="8">
        <v>65.400000000000006</v>
      </c>
      <c r="C110" s="8">
        <f t="shared" si="31"/>
        <v>27</v>
      </c>
      <c r="D110" s="8" t="s">
        <v>18</v>
      </c>
      <c r="E110" s="8" t="s">
        <v>8</v>
      </c>
      <c r="F110" s="8" cm="1">
        <f t="array" ref="F110">_xlfn.XLOOKUP(D110,'TABELA AUXILIAR'!$A$2:$A$5,IF('SPT-01'!A110&lt;3,'TABELA AUXILIAR'!$B$2:$B$5,'TABELA AUXILIAR'!$C$2:$C$5),"",0,1)</f>
        <v>8.5</v>
      </c>
      <c r="G110" s="9">
        <f t="shared" si="32"/>
        <v>67.533308662280078</v>
      </c>
      <c r="H110" s="10">
        <f t="shared" si="33"/>
        <v>40.668546630262682</v>
      </c>
      <c r="I110" s="10">
        <f t="shared" si="34"/>
        <v>1384.591704881346</v>
      </c>
      <c r="J110" s="8">
        <f t="shared" si="35"/>
        <v>633.75000000002274</v>
      </c>
      <c r="K110" s="8">
        <f t="shared" si="36"/>
        <v>0.49801659255131758</v>
      </c>
      <c r="L110" s="8">
        <f t="shared" si="37"/>
        <v>315.61801552940886</v>
      </c>
      <c r="M110" s="8">
        <f t="shared" si="38"/>
        <v>2508.0580518766319</v>
      </c>
      <c r="N110" s="8">
        <f>$L110*'TABELA AUXILIAR'!$I$3*(B110-A110)</f>
        <v>712.03424303447446</v>
      </c>
      <c r="O110" s="8">
        <f>$L110*'TABELA AUXILIAR'!$I$4*(B110-A110)</f>
        <v>772.63290201613199</v>
      </c>
      <c r="P110" s="8">
        <f>$L110*'TABELA AUXILIAR'!$I$5*(B110-A110)</f>
        <v>891.93651188626995</v>
      </c>
      <c r="Q110" s="8">
        <f>$M110*'TABELA AUXILIAR'!$J$3+SUM(N$2:N110)</f>
        <v>59579.526330683628</v>
      </c>
      <c r="R110" s="8">
        <f>$M110*'TABELA AUXILIAR'!$J$4+SUM(O$2:O110)</f>
        <v>64885.454869651956</v>
      </c>
      <c r="S110" s="8">
        <f>$M110*'TABELA AUXILIAR'!$J$5+SUM(P$2:P110)</f>
        <v>75496.876758541432</v>
      </c>
      <c r="T110" s="10">
        <f t="shared" si="39"/>
        <v>29789</v>
      </c>
      <c r="U110" s="10">
        <f t="shared" si="40"/>
        <v>32442</v>
      </c>
      <c r="V110" s="10">
        <f t="shared" si="41"/>
        <v>37748</v>
      </c>
    </row>
    <row r="111" spans="1:22" x14ac:dyDescent="0.25">
      <c r="A111" s="8">
        <v>65.399999999999906</v>
      </c>
      <c r="B111" s="8">
        <v>66</v>
      </c>
      <c r="C111" s="8">
        <f t="shared" si="31"/>
        <v>27</v>
      </c>
      <c r="D111" s="8" t="s">
        <v>18</v>
      </c>
      <c r="E111" s="8" t="s">
        <v>8</v>
      </c>
      <c r="F111" s="8" cm="1">
        <f t="array" ref="F111">_xlfn.XLOOKUP(D111,'TABELA AUXILIAR'!$A$2:$A$5,IF('SPT-01'!A111&lt;3,'TABELA AUXILIAR'!$B$2:$B$5,'TABELA AUXILIAR'!$C$2:$C$5),"",0,1)</f>
        <v>8.5</v>
      </c>
      <c r="G111" s="9">
        <f t="shared" si="32"/>
        <v>67.804495828018503</v>
      </c>
      <c r="H111" s="10">
        <f t="shared" si="33"/>
        <v>40.668546630262682</v>
      </c>
      <c r="I111" s="10">
        <f t="shared" si="34"/>
        <v>1389.0379015195153</v>
      </c>
      <c r="J111" s="8">
        <f t="shared" si="35"/>
        <v>638.85000000002356</v>
      </c>
      <c r="K111" s="8">
        <f t="shared" si="36"/>
        <v>0.49645825662054865</v>
      </c>
      <c r="L111" s="8">
        <f t="shared" si="37"/>
        <v>317.16235724204921</v>
      </c>
      <c r="M111" s="8">
        <f t="shared" si="38"/>
        <v>2520.1485476426274</v>
      </c>
      <c r="N111" s="8">
        <f>$L111*'TABELA AUXILIAR'!$I$3*(B111-A111)</f>
        <v>715.51827793817483</v>
      </c>
      <c r="O111" s="8">
        <f>$L111*'TABELA AUXILIAR'!$I$4*(B111-A111)</f>
        <v>776.41345052865779</v>
      </c>
      <c r="P111" s="8">
        <f>$L111*'TABELA AUXILIAR'!$I$5*(B111-A111)</f>
        <v>896.30082156617118</v>
      </c>
      <c r="Q111" s="8">
        <f>$M111*'TABELA AUXILIAR'!$J$3+SUM(N$2:N111)</f>
        <v>60308.706868837377</v>
      </c>
      <c r="R111" s="8">
        <f>$M111*'TABELA AUXILIAR'!$J$4+SUM(O$2:O111)</f>
        <v>65677.827774591729</v>
      </c>
      <c r="S111" s="8">
        <f>$M111*'TABELA AUXILIAR'!$J$5+SUM(P$2:P111)</f>
        <v>76414.456852655741</v>
      </c>
      <c r="T111" s="10">
        <f t="shared" si="39"/>
        <v>30154</v>
      </c>
      <c r="U111" s="10">
        <f t="shared" si="40"/>
        <v>32838</v>
      </c>
      <c r="V111" s="10">
        <f t="shared" si="41"/>
        <v>38207</v>
      </c>
    </row>
    <row r="112" spans="1:22" x14ac:dyDescent="0.25">
      <c r="A112" s="8">
        <v>65.999999999999901</v>
      </c>
      <c r="B112" s="8">
        <v>66.599999999999994</v>
      </c>
      <c r="C112" s="8">
        <f t="shared" si="31"/>
        <v>27</v>
      </c>
      <c r="D112" s="8" t="s">
        <v>18</v>
      </c>
      <c r="E112" s="8" t="s">
        <v>8</v>
      </c>
      <c r="F112" s="8" cm="1">
        <f t="array" ref="F112">_xlfn.XLOOKUP(D112,'TABELA AUXILIAR'!$A$2:$A$5,IF('SPT-01'!A112&lt;3,'TABELA AUXILIAR'!$B$2:$B$5,'TABELA AUXILIAR'!$C$2:$C$5),"",0,1)</f>
        <v>8.5</v>
      </c>
      <c r="G112" s="9">
        <f t="shared" si="32"/>
        <v>68.074602680506061</v>
      </c>
      <c r="H112" s="10">
        <f t="shared" si="33"/>
        <v>40.668546630262682</v>
      </c>
      <c r="I112" s="10">
        <f t="shared" si="34"/>
        <v>1393.4628521425318</v>
      </c>
      <c r="J112" s="8">
        <f t="shared" si="35"/>
        <v>643.95000000002437</v>
      </c>
      <c r="K112" s="8">
        <f t="shared" si="36"/>
        <v>0.4949171299051901</v>
      </c>
      <c r="L112" s="8">
        <f t="shared" si="37"/>
        <v>318.70188580245923</v>
      </c>
      <c r="M112" s="8">
        <f t="shared" si="38"/>
        <v>2532.2004966658178</v>
      </c>
      <c r="N112" s="8">
        <f>$L112*'TABELA AUXILIAR'!$I$3*(B112-A112)</f>
        <v>718.99145437046047</v>
      </c>
      <c r="O112" s="8">
        <f>$L112*'TABELA AUXILIAR'!$I$4*(B112-A112)</f>
        <v>780.18221644454218</v>
      </c>
      <c r="P112" s="8">
        <f>$L112*'TABELA AUXILIAR'!$I$5*(B112-A112)</f>
        <v>900.65152927789063</v>
      </c>
      <c r="Q112" s="8">
        <f>$M112*'TABELA AUXILIAR'!$J$3+SUM(N$2:N112)</f>
        <v>61041.317025604039</v>
      </c>
      <c r="R112" s="8">
        <f>$M112*'TABELA AUXILIAR'!$J$4+SUM(O$2:O112)</f>
        <v>66473.918563746876</v>
      </c>
      <c r="S112" s="8">
        <f>$M112*'TABELA AUXILIAR'!$J$5+SUM(P$2:P112)</f>
        <v>77336.319812214453</v>
      </c>
      <c r="T112" s="10">
        <f t="shared" si="39"/>
        <v>30520</v>
      </c>
      <c r="U112" s="10">
        <f t="shared" si="40"/>
        <v>33236</v>
      </c>
      <c r="V112" s="10">
        <f t="shared" si="41"/>
        <v>38668</v>
      </c>
    </row>
    <row r="113" spans="1:22" x14ac:dyDescent="0.25">
      <c r="A113" s="8">
        <v>66.599999999999895</v>
      </c>
      <c r="B113" s="8">
        <v>67.2</v>
      </c>
      <c r="C113" s="8">
        <f t="shared" si="31"/>
        <v>27</v>
      </c>
      <c r="D113" s="8" t="s">
        <v>18</v>
      </c>
      <c r="E113" s="8" t="s">
        <v>8</v>
      </c>
      <c r="F113" s="8" cm="1">
        <f t="array" ref="F113">_xlfn.XLOOKUP(D113,'TABELA AUXILIAR'!$A$2:$A$5,IF('SPT-01'!A113&lt;3,'TABELA AUXILIAR'!$B$2:$B$5,'TABELA AUXILIAR'!$C$2:$C$5),"",0,1)</f>
        <v>8.5</v>
      </c>
      <c r="G113" s="9">
        <f t="shared" si="32"/>
        <v>68.343642028543883</v>
      </c>
      <c r="H113" s="10">
        <f t="shared" si="33"/>
        <v>40.668546630262682</v>
      </c>
      <c r="I113" s="10">
        <f t="shared" si="34"/>
        <v>1397.8668253424319</v>
      </c>
      <c r="J113" s="8">
        <f t="shared" si="35"/>
        <v>649.05000000002519</v>
      </c>
      <c r="K113" s="8">
        <f t="shared" si="36"/>
        <v>0.4933928883049829</v>
      </c>
      <c r="L113" s="8">
        <f t="shared" si="37"/>
        <v>320.23665415436159</v>
      </c>
      <c r="M113" s="8">
        <f t="shared" si="38"/>
        <v>2544.2143256781137</v>
      </c>
      <c r="N113" s="8">
        <f>$L113*'TABELA AUXILIAR'!$I$3*(B113-A113)</f>
        <v>722.45389177236973</v>
      </c>
      <c r="O113" s="8">
        <f>$L113*'TABELA AUXILIAR'!$I$4*(B113-A113)</f>
        <v>783.9393293700183</v>
      </c>
      <c r="P113" s="8">
        <f>$L113*'TABELA AUXILIAR'!$I$5*(B113-A113)</f>
        <v>904.98878464038876</v>
      </c>
      <c r="Q113" s="8">
        <f>$M113*'TABELA AUXILIAR'!$J$3+SUM(N$2:N113)</f>
        <v>61777.346544160304</v>
      </c>
      <c r="R113" s="8">
        <f>$M113*'TABELA AUXILIAR'!$J$4+SUM(O$2:O113)</f>
        <v>67273.716147413128</v>
      </c>
      <c r="S113" s="8">
        <f>$M113*'TABELA AUXILIAR'!$J$5+SUM(P$2:P113)</f>
        <v>78262.452935916488</v>
      </c>
      <c r="T113" s="10">
        <f t="shared" si="39"/>
        <v>30888</v>
      </c>
      <c r="U113" s="10">
        <f t="shared" si="40"/>
        <v>33636</v>
      </c>
      <c r="V113" s="10">
        <f t="shared" si="41"/>
        <v>39131</v>
      </c>
    </row>
    <row r="114" spans="1:22" x14ac:dyDescent="0.25">
      <c r="A114" s="8">
        <v>67.199999999999903</v>
      </c>
      <c r="B114" s="8">
        <v>67.8</v>
      </c>
      <c r="C114" s="8">
        <f t="shared" si="31"/>
        <v>27</v>
      </c>
      <c r="D114" s="8" t="s">
        <v>18</v>
      </c>
      <c r="E114" s="8" t="s">
        <v>8</v>
      </c>
      <c r="F114" s="8" cm="1">
        <f t="array" ref="F114">_xlfn.XLOOKUP(D114,'TABELA AUXILIAR'!$A$2:$A$5,IF('SPT-01'!A114&lt;3,'TABELA AUXILIAR'!$B$2:$B$5,'TABELA AUXILIAR'!$C$2:$C$5),"",0,1)</f>
        <v>8.5</v>
      </c>
      <c r="G114" s="9">
        <f t="shared" si="32"/>
        <v>68.611626429802214</v>
      </c>
      <c r="H114" s="10">
        <f t="shared" si="33"/>
        <v>40.668546630262682</v>
      </c>
      <c r="I114" s="10">
        <f t="shared" si="34"/>
        <v>1402.2500842367176</v>
      </c>
      <c r="J114" s="8">
        <f t="shared" si="35"/>
        <v>654.15000000002601</v>
      </c>
      <c r="K114" s="8">
        <f t="shared" si="36"/>
        <v>0.49188521630860549</v>
      </c>
      <c r="L114" s="8">
        <f t="shared" si="37"/>
        <v>321.76671424828709</v>
      </c>
      <c r="M114" s="8">
        <f t="shared" si="38"/>
        <v>2556.1904533763759</v>
      </c>
      <c r="N114" s="8">
        <f>$L114*'TABELA AUXILIAR'!$I$3*(B114-A114)</f>
        <v>725.90570734424909</v>
      </c>
      <c r="O114" s="8">
        <f>$L114*'TABELA AUXILIAR'!$I$4*(B114-A114)</f>
        <v>787.68491647992994</v>
      </c>
      <c r="P114" s="8">
        <f>$L114*'TABELA AUXILIAR'!$I$5*(B114-A114)</f>
        <v>909.31273446580144</v>
      </c>
      <c r="Q114" s="8">
        <f>$M114*'TABELA AUXILIAR'!$J$3+SUM(N$2:N114)</f>
        <v>62516.785275803588</v>
      </c>
      <c r="R114" s="8">
        <f>$M114*'TABELA AUXILIAR'!$J$4+SUM(O$2:O114)</f>
        <v>68077.209552454762</v>
      </c>
      <c r="S114" s="8">
        <f>$M114*'TABELA AUXILIAR'!$J$5+SUM(P$2:P114)</f>
        <v>79192.843655131219</v>
      </c>
      <c r="T114" s="10">
        <f t="shared" si="39"/>
        <v>31258</v>
      </c>
      <c r="U114" s="10">
        <f t="shared" si="40"/>
        <v>34038</v>
      </c>
      <c r="V114" s="10">
        <f t="shared" si="41"/>
        <v>39596</v>
      </c>
    </row>
    <row r="115" spans="1:22" x14ac:dyDescent="0.25">
      <c r="A115" s="8">
        <v>67.799999999999898</v>
      </c>
      <c r="B115" s="8">
        <v>68.400000000000006</v>
      </c>
      <c r="C115" s="8">
        <f t="shared" si="31"/>
        <v>27</v>
      </c>
      <c r="D115" s="8" t="s">
        <v>18</v>
      </c>
      <c r="E115" s="8" t="s">
        <v>8</v>
      </c>
      <c r="F115" s="8" cm="1">
        <f t="array" ref="F115">_xlfn.XLOOKUP(D115,'TABELA AUXILIAR'!$A$2:$A$5,IF('SPT-01'!A115&lt;3,'TABELA AUXILIAR'!$B$2:$B$5,'TABELA AUXILIAR'!$C$2:$C$5),"",0,1)</f>
        <v>8.5</v>
      </c>
      <c r="G115" s="9">
        <f t="shared" si="32"/>
        <v>68.878568197660144</v>
      </c>
      <c r="H115" s="10">
        <f t="shared" si="33"/>
        <v>40.668546630262682</v>
      </c>
      <c r="I115" s="10">
        <f t="shared" si="34"/>
        <v>1406.6128866216529</v>
      </c>
      <c r="J115" s="8">
        <f t="shared" si="35"/>
        <v>659.25000000002683</v>
      </c>
      <c r="K115" s="8">
        <f t="shared" si="36"/>
        <v>0.49039380670121951</v>
      </c>
      <c r="L115" s="8">
        <f t="shared" si="37"/>
        <v>323.29211706779211</v>
      </c>
      <c r="M115" s="8">
        <f t="shared" si="38"/>
        <v>2568.1292906350832</v>
      </c>
      <c r="N115" s="8">
        <f>$L115*'TABELA AUXILIAR'!$I$3*(B115-A115)</f>
        <v>729.34701610507022</v>
      </c>
      <c r="O115" s="8">
        <f>$L115*'TABELA AUXILIAR'!$I$4*(B115-A115)</f>
        <v>791.41910258209748</v>
      </c>
      <c r="P115" s="8">
        <f>$L115*'TABELA AUXILIAR'!$I$5*(B115-A115)</f>
        <v>913.62352283374503</v>
      </c>
      <c r="Q115" s="8">
        <f>$M115*'TABELA AUXILIAR'!$J$3+SUM(N$2:N115)</f>
        <v>63259.623178010996</v>
      </c>
      <c r="R115" s="8">
        <f>$M115*'TABELA AUXILIAR'!$J$4+SUM(O$2:O115)</f>
        <v>68884.387920218345</v>
      </c>
      <c r="S115" s="8">
        <f>$M115*'TABELA AUXILIAR'!$J$5+SUM(P$2:P115)</f>
        <v>80127.479531540303</v>
      </c>
      <c r="T115" s="10">
        <f t="shared" si="39"/>
        <v>31629</v>
      </c>
      <c r="U115" s="10">
        <f t="shared" si="40"/>
        <v>34442</v>
      </c>
      <c r="V115" s="10">
        <f t="shared" si="41"/>
        <v>40063</v>
      </c>
    </row>
    <row r="116" spans="1:22" x14ac:dyDescent="0.25">
      <c r="A116" s="8">
        <v>68.399999999999906</v>
      </c>
      <c r="B116" s="8">
        <v>69</v>
      </c>
      <c r="C116" s="8">
        <f t="shared" si="31"/>
        <v>27</v>
      </c>
      <c r="D116" s="8" t="s">
        <v>18</v>
      </c>
      <c r="E116" s="8" t="s">
        <v>8</v>
      </c>
      <c r="F116" s="8" cm="1">
        <f t="array" ref="F116">_xlfn.XLOOKUP(D116,'TABELA AUXILIAR'!$A$2:$A$5,IF('SPT-01'!A116&lt;3,'TABELA AUXILIAR'!$B$2:$B$5,'TABELA AUXILIAR'!$C$2:$C$5),"",0,1)</f>
        <v>8.5</v>
      </c>
      <c r="G116" s="9">
        <f t="shared" si="32"/>
        <v>69.144479407807424</v>
      </c>
      <c r="H116" s="10">
        <f t="shared" si="33"/>
        <v>40.668546630262682</v>
      </c>
      <c r="I116" s="10">
        <f t="shared" si="34"/>
        <v>1410.9554851201258</v>
      </c>
      <c r="J116" s="8">
        <f t="shared" si="35"/>
        <v>664.35000000002765</v>
      </c>
      <c r="K116" s="8">
        <f t="shared" si="36"/>
        <v>0.48891836028415048</v>
      </c>
      <c r="L116" s="8">
        <f t="shared" si="37"/>
        <v>324.81291265478887</v>
      </c>
      <c r="M116" s="8">
        <f t="shared" si="38"/>
        <v>2580.0312407117644</v>
      </c>
      <c r="N116" s="8">
        <f>$L116*'TABELA AUXILIAR'!$I$3*(B116-A116)</f>
        <v>732.77793094931815</v>
      </c>
      <c r="O116" s="8">
        <f>$L116*'TABELA AUXILIAR'!$I$4*(B116-A116)</f>
        <v>795.14201017904747</v>
      </c>
      <c r="P116" s="8">
        <f>$L116*'TABELA AUXILIAR'!$I$5*(B116-A116)</f>
        <v>917.92129116257684</v>
      </c>
      <c r="Q116" s="8">
        <f>$M116*'TABELA AUXILIAR'!$J$3+SUM(N$2:N116)</f>
        <v>64005.850312546965</v>
      </c>
      <c r="R116" s="8">
        <f>$M116*'TABELA AUXILIAR'!$J$4+SUM(O$2:O116)</f>
        <v>69695.240504498623</v>
      </c>
      <c r="S116" s="8">
        <f>$M116*'TABELA AUXILIAR'!$J$5+SUM(P$2:P116)</f>
        <v>81066.348254837838</v>
      </c>
      <c r="T116" s="10">
        <f t="shared" si="39"/>
        <v>32002</v>
      </c>
      <c r="U116" s="10">
        <f t="shared" si="40"/>
        <v>34847</v>
      </c>
      <c r="V116" s="10">
        <f t="shared" si="41"/>
        <v>40533</v>
      </c>
    </row>
    <row r="117" spans="1:22" x14ac:dyDescent="0.25">
      <c r="A117" s="8">
        <v>68.999999999999901</v>
      </c>
      <c r="B117" s="8">
        <v>69.599999999999994</v>
      </c>
      <c r="C117" s="8">
        <f t="shared" si="31"/>
        <v>27</v>
      </c>
      <c r="D117" s="8" t="s">
        <v>18</v>
      </c>
      <c r="E117" s="8" t="s">
        <v>8</v>
      </c>
      <c r="F117" s="8" cm="1">
        <f t="array" ref="F117">_xlfn.XLOOKUP(D117,'TABELA AUXILIAR'!$A$2:$A$5,IF('SPT-01'!A117&lt;3,'TABELA AUXILIAR'!$B$2:$B$5,'TABELA AUXILIAR'!$C$2:$C$5),"",0,1)</f>
        <v>8.5</v>
      </c>
      <c r="G117" s="9">
        <f t="shared" si="32"/>
        <v>69.409371904618837</v>
      </c>
      <c r="H117" s="10">
        <f t="shared" si="33"/>
        <v>40.668546630262682</v>
      </c>
      <c r="I117" s="10">
        <f t="shared" si="34"/>
        <v>1415.2781273242938</v>
      </c>
      <c r="J117" s="8">
        <f t="shared" si="35"/>
        <v>669.45000000002847</v>
      </c>
      <c r="K117" s="8">
        <f t="shared" si="36"/>
        <v>0.48745858560610689</v>
      </c>
      <c r="L117" s="8">
        <f t="shared" si="37"/>
        <v>326.32915013402214</v>
      </c>
      <c r="M117" s="8">
        <f t="shared" si="38"/>
        <v>2591.8966994455131</v>
      </c>
      <c r="N117" s="8">
        <f>$L117*'TABELA AUXILIAR'!$I$3*(B117-A117)</f>
        <v>736.19856270246896</v>
      </c>
      <c r="O117" s="8">
        <f>$L117*'TABELA AUXILIAR'!$I$4*(B117-A117)</f>
        <v>798.85375952821119</v>
      </c>
      <c r="P117" s="8">
        <f>$L117*'TABELA AUXILIAR'!$I$5*(B117-A117)</f>
        <v>922.20617827889066</v>
      </c>
      <c r="Q117" s="8">
        <f>$M117*'TABELA AUXILIAR'!$J$3+SUM(N$2:N117)</f>
        <v>64755.456843618573</v>
      </c>
      <c r="R117" s="8">
        <f>$M117*'TABELA AUXILIAR'!$J$4+SUM(O$2:O117)</f>
        <v>70509.756669555383</v>
      </c>
      <c r="S117" s="8">
        <f>$M117*'TABELA AUXILIAR'!$J$5+SUM(P$2:P117)</f>
        <v>82009.437640488133</v>
      </c>
      <c r="T117" s="10">
        <f t="shared" si="39"/>
        <v>32377</v>
      </c>
      <c r="U117" s="10">
        <f t="shared" si="40"/>
        <v>35254</v>
      </c>
      <c r="V117" s="10">
        <f t="shared" si="41"/>
        <v>41004</v>
      </c>
    </row>
    <row r="118" spans="1:22" x14ac:dyDescent="0.25">
      <c r="A118" s="8">
        <v>69.599999999999895</v>
      </c>
      <c r="B118" s="8">
        <v>70.2</v>
      </c>
      <c r="C118" s="8">
        <f t="shared" si="31"/>
        <v>27</v>
      </c>
      <c r="D118" s="8" t="s">
        <v>18</v>
      </c>
      <c r="E118" s="8" t="s">
        <v>8</v>
      </c>
      <c r="F118" s="8" cm="1">
        <f t="array" ref="F118">_xlfn.XLOOKUP(D118,'TABELA AUXILIAR'!$A$2:$A$5,IF('SPT-01'!A118&lt;3,'TABELA AUXILIAR'!$B$2:$B$5,'TABELA AUXILIAR'!$C$2:$C$5),"",0,1)</f>
        <v>8.5</v>
      </c>
      <c r="G118" s="9">
        <f t="shared" si="32"/>
        <v>69.673257307310351</v>
      </c>
      <c r="H118" s="10">
        <f t="shared" si="33"/>
        <v>40.668546630262682</v>
      </c>
      <c r="I118" s="10">
        <f t="shared" si="34"/>
        <v>1419.5810559332419</v>
      </c>
      <c r="J118" s="8">
        <f t="shared" si="35"/>
        <v>674.55000000002929</v>
      </c>
      <c r="K118" s="8">
        <f t="shared" si="36"/>
        <v>0.48601419870537838</v>
      </c>
      <c r="L118" s="8">
        <f t="shared" si="37"/>
        <v>327.84087773672724</v>
      </c>
      <c r="M118" s="8">
        <f t="shared" si="38"/>
        <v>2603.7260554488548</v>
      </c>
      <c r="N118" s="8">
        <f>$L118*'TABELA AUXILIAR'!$I$3*(B118-A118)</f>
        <v>739.60902017418971</v>
      </c>
      <c r="O118" s="8">
        <f>$L118*'TABELA AUXILIAR'!$I$4*(B118-A118)</f>
        <v>802.55446869965272</v>
      </c>
      <c r="P118" s="8">
        <f>$L118*'TABELA AUXILIAR'!$I$5*(B118-A118)</f>
        <v>926.47832048415796</v>
      </c>
      <c r="Q118" s="8">
        <f>$M118*'TABELA AUXILIAR'!$J$3+SUM(N$2:N118)</f>
        <v>65508.433036076538</v>
      </c>
      <c r="R118" s="8">
        <f>$M118*'TABELA AUXILIAR'!$J$4+SUM(O$2:O118)</f>
        <v>71327.925888179452</v>
      </c>
      <c r="S118" s="8">
        <f>$M118*'TABELA AUXILIAR'!$J$5+SUM(P$2:P118)</f>
        <v>82956.735627538161</v>
      </c>
      <c r="T118" s="10">
        <f t="shared" si="39"/>
        <v>32754</v>
      </c>
      <c r="U118" s="10">
        <f t="shared" si="40"/>
        <v>35663</v>
      </c>
      <c r="V118" s="10">
        <f t="shared" si="41"/>
        <v>41478</v>
      </c>
    </row>
    <row r="119" spans="1:22" x14ac:dyDescent="0.25">
      <c r="A119" s="8">
        <v>70.199999999999903</v>
      </c>
      <c r="B119" s="8">
        <v>70.8</v>
      </c>
      <c r="C119" s="8">
        <f t="shared" si="31"/>
        <v>27</v>
      </c>
      <c r="D119" s="8" t="s">
        <v>18</v>
      </c>
      <c r="E119" s="8" t="s">
        <v>8</v>
      </c>
      <c r="F119" s="8" cm="1">
        <f t="array" ref="F119">_xlfn.XLOOKUP(D119,'TABELA AUXILIAR'!$A$2:$A$5,IF('SPT-01'!A119&lt;3,'TABELA AUXILIAR'!$B$2:$B$5,'TABELA AUXILIAR'!$C$2:$C$5),"",0,1)</f>
        <v>8.5</v>
      </c>
      <c r="G119" s="9">
        <f t="shared" si="32"/>
        <v>69.936147015886291</v>
      </c>
      <c r="H119" s="10">
        <f t="shared" si="33"/>
        <v>40.668546630262682</v>
      </c>
      <c r="I119" s="10">
        <f t="shared" si="34"/>
        <v>1423.8645088858693</v>
      </c>
      <c r="J119" s="8">
        <f t="shared" si="35"/>
        <v>679.6500000000301</v>
      </c>
      <c r="K119" s="8">
        <f t="shared" si="36"/>
        <v>0.48458492286249044</v>
      </c>
      <c r="L119" s="8">
        <f t="shared" si="37"/>
        <v>329.34814282350624</v>
      </c>
      <c r="M119" s="8">
        <f t="shared" si="38"/>
        <v>2615.5196902932339</v>
      </c>
      <c r="N119" s="8">
        <f>$L119*'TABELA AUXILIAR'!$I$3*(B119-A119)</f>
        <v>743.00941020994617</v>
      </c>
      <c r="O119" s="8">
        <f>$L119*'TABELA AUXILIAR'!$I$4*(B119-A119)</f>
        <v>806.24425363206922</v>
      </c>
      <c r="P119" s="8">
        <f>$L119*'TABELA AUXILIAR'!$I$5*(B119-A119)</f>
        <v>930.73785161937406</v>
      </c>
      <c r="Q119" s="8">
        <f>$M119*'TABELA AUXILIAR'!$J$3+SUM(N$2:N119)</f>
        <v>66264.769253660634</v>
      </c>
      <c r="R119" s="8">
        <f>$M119*'TABELA AUXILIAR'!$J$4+SUM(O$2:O119)</f>
        <v>72149.737739806107</v>
      </c>
      <c r="S119" s="8">
        <f>$M119*'TABELA AUXILIAR'!$J$5+SUM(P$2:P119)</f>
        <v>83908.230276483635</v>
      </c>
      <c r="T119" s="10">
        <f t="shared" si="39"/>
        <v>33132</v>
      </c>
      <c r="U119" s="10">
        <f t="shared" si="40"/>
        <v>36074</v>
      </c>
      <c r="V119" s="10">
        <f t="shared" si="41"/>
        <v>41954</v>
      </c>
    </row>
    <row r="120" spans="1:22" x14ac:dyDescent="0.25">
      <c r="A120" s="8">
        <v>70.799999999999898</v>
      </c>
      <c r="B120" s="8">
        <v>71.400000000000006</v>
      </c>
      <c r="C120" s="8">
        <f t="shared" si="31"/>
        <v>27</v>
      </c>
      <c r="D120" s="8" t="s">
        <v>18</v>
      </c>
      <c r="E120" s="8" t="s">
        <v>8</v>
      </c>
      <c r="F120" s="8" cm="1">
        <f t="array" ref="F120">_xlfn.XLOOKUP(D120,'TABELA AUXILIAR'!$A$2:$A$5,IF('SPT-01'!A120&lt;3,'TABELA AUXILIAR'!$B$2:$B$5,'TABELA AUXILIAR'!$C$2:$C$5),"",0,1)</f>
        <v>8.5</v>
      </c>
      <c r="G120" s="9">
        <f t="shared" si="32"/>
        <v>70.198052216885941</v>
      </c>
      <c r="H120" s="10">
        <f t="shared" si="33"/>
        <v>40.668546630262682</v>
      </c>
      <c r="I120" s="10">
        <f t="shared" si="34"/>
        <v>1428.1287194891934</v>
      </c>
      <c r="J120" s="8">
        <f t="shared" si="35"/>
        <v>684.75000000003092</v>
      </c>
      <c r="K120" s="8">
        <f t="shared" si="36"/>
        <v>0.48317048836280996</v>
      </c>
      <c r="L120" s="8">
        <f t="shared" si="37"/>
        <v>330.85099190644905</v>
      </c>
      <c r="M120" s="8">
        <f t="shared" si="38"/>
        <v>2627.2779786883925</v>
      </c>
      <c r="N120" s="8">
        <f>$L120*'TABELA AUXILIAR'!$I$3*(B120-A120)</f>
        <v>746.39983774108339</v>
      </c>
      <c r="O120" s="8">
        <f>$L120*'TABELA AUXILIAR'!$I$4*(B120-A120)</f>
        <v>809.92322818713319</v>
      </c>
      <c r="P120" s="8">
        <f>$L120*'TABELA AUXILIAR'!$I$5*(B120-A120)</f>
        <v>934.98490312779336</v>
      </c>
      <c r="Q120" s="8">
        <f>$M120*'TABELA AUXILIAR'!$J$3+SUM(N$2:N120)</f>
        <v>67024.455957288243</v>
      </c>
      <c r="R120" s="8">
        <f>$M120*'TABELA AUXILIAR'!$J$4+SUM(O$2:O120)</f>
        <v>72975.181908674844</v>
      </c>
      <c r="S120" s="8">
        <f>$M120*'TABELA AUXILIAR'!$J$5+SUM(P$2:P120)</f>
        <v>84863.909767186909</v>
      </c>
      <c r="T120" s="10">
        <f t="shared" si="39"/>
        <v>33512</v>
      </c>
      <c r="U120" s="10">
        <f t="shared" si="40"/>
        <v>36487</v>
      </c>
      <c r="V120" s="10">
        <f t="shared" si="41"/>
        <v>42431</v>
      </c>
    </row>
    <row r="121" spans="1:22" x14ac:dyDescent="0.25">
      <c r="A121" s="8">
        <v>71.399999999999906</v>
      </c>
      <c r="B121" s="8">
        <v>72</v>
      </c>
      <c r="C121" s="8">
        <f t="shared" si="31"/>
        <v>27</v>
      </c>
      <c r="D121" s="8" t="s">
        <v>18</v>
      </c>
      <c r="E121" s="8" t="s">
        <v>8</v>
      </c>
      <c r="F121" s="8" cm="1">
        <f t="array" ref="F121">_xlfn.XLOOKUP(D121,'TABELA AUXILIAR'!$A$2:$A$5,IF('SPT-01'!A121&lt;3,'TABELA AUXILIAR'!$B$2:$B$5,'TABELA AUXILIAR'!$C$2:$C$5),"",0,1)</f>
        <v>8.5</v>
      </c>
      <c r="G121" s="9">
        <f t="shared" si="32"/>
        <v>70.458983888938036</v>
      </c>
      <c r="H121" s="10">
        <f t="shared" si="33"/>
        <v>40.668546630262682</v>
      </c>
      <c r="I121" s="10">
        <f t="shared" si="34"/>
        <v>1432.373916542271</v>
      </c>
      <c r="J121" s="8">
        <f t="shared" si="35"/>
        <v>689.85000000003174</v>
      </c>
      <c r="K121" s="8">
        <f t="shared" si="36"/>
        <v>0.48177063226863631</v>
      </c>
      <c r="L121" s="8">
        <f t="shared" si="37"/>
        <v>332.34947067053406</v>
      </c>
      <c r="M121" s="8">
        <f t="shared" si="38"/>
        <v>2639.001288655882</v>
      </c>
      <c r="N121" s="8">
        <f>$L121*'TABELA AUXILIAR'!$I$3*(B121-A121)</f>
        <v>749.78040583284201</v>
      </c>
      <c r="O121" s="8">
        <f>$L121*'TABELA AUXILIAR'!$I$4*(B121-A121)</f>
        <v>813.59150420159449</v>
      </c>
      <c r="P121" s="8">
        <f>$L121*'TABELA AUXILIAR'!$I$5*(B121-A121)</f>
        <v>939.21960411507598</v>
      </c>
      <c r="Q121" s="8">
        <f>$M121*'TABELA AUXILIAR'!$J$3+SUM(N$2:N121)</f>
        <v>67787.483703384351</v>
      </c>
      <c r="R121" s="8">
        <f>$M121*'TABELA AUXILIAR'!$J$4+SUM(O$2:O121)</f>
        <v>73804.248182033538</v>
      </c>
      <c r="S121" s="8">
        <f>$M121*'TABELA AUXILIAR'!$J$5+SUM(P$2:P121)</f>
        <v>85823.762396844773</v>
      </c>
      <c r="T121" s="10">
        <f t="shared" si="39"/>
        <v>33893</v>
      </c>
      <c r="U121" s="10">
        <f t="shared" si="40"/>
        <v>36902</v>
      </c>
      <c r="V121" s="10">
        <f t="shared" si="41"/>
        <v>42911</v>
      </c>
    </row>
    <row r="122" spans="1:22" x14ac:dyDescent="0.25">
      <c r="A122" s="8">
        <v>71.999999999999901</v>
      </c>
      <c r="B122" s="8">
        <v>72.599999999999994</v>
      </c>
      <c r="C122" s="8">
        <f t="shared" si="31"/>
        <v>27</v>
      </c>
      <c r="D122" s="8" t="s">
        <v>18</v>
      </c>
      <c r="E122" s="8" t="s">
        <v>8</v>
      </c>
      <c r="F122" s="8" cm="1">
        <f t="array" ref="F122">_xlfn.XLOOKUP(D122,'TABELA AUXILIAR'!$A$2:$A$5,IF('SPT-01'!A122&lt;3,'TABELA AUXILIAR'!$B$2:$B$5,'TABELA AUXILIAR'!$C$2:$C$5),"",0,1)</f>
        <v>8.5</v>
      </c>
      <c r="G122" s="9">
        <f t="shared" si="32"/>
        <v>70.718952808130695</v>
      </c>
      <c r="H122" s="10">
        <f t="shared" si="33"/>
        <v>40.668546630262682</v>
      </c>
      <c r="I122" s="10">
        <f t="shared" si="34"/>
        <v>1436.6003244559136</v>
      </c>
      <c r="J122" s="8">
        <f t="shared" si="35"/>
        <v>694.95000000003256</v>
      </c>
      <c r="K122" s="8">
        <f t="shared" si="36"/>
        <v>0.48038509820032749</v>
      </c>
      <c r="L122" s="8">
        <f t="shared" si="37"/>
        <v>333.84362399433326</v>
      </c>
      <c r="M122" s="8">
        <f t="shared" si="38"/>
        <v>2650.6899816969267</v>
      </c>
      <c r="N122" s="8">
        <f>$L122*'TABELA AUXILIAR'!$I$3*(B122-A122)</f>
        <v>753.15121573133342</v>
      </c>
      <c r="O122" s="8">
        <f>$L122*'TABELA AUXILIAR'!$I$4*(B122-A122)</f>
        <v>817.24919153825567</v>
      </c>
      <c r="P122" s="8">
        <f>$L122*'TABELA AUXILIAR'!$I$5*(B122-A122)</f>
        <v>943.44208140813328</v>
      </c>
      <c r="Q122" s="8">
        <f>$M122*'TABELA AUXILIAR'!$J$3+SUM(N$2:N122)</f>
        <v>68553.843142252052</v>
      </c>
      <c r="R122" s="8">
        <f>$M122*'TABELA AUXILIAR'!$J$4+SUM(O$2:O122)</f>
        <v>74636.926448385973</v>
      </c>
      <c r="S122" s="8">
        <f>$M122*'TABELA AUXILIAR'!$J$5+SUM(P$2:P122)</f>
        <v>86787.776578005156</v>
      </c>
      <c r="T122" s="10">
        <f t="shared" si="39"/>
        <v>34276</v>
      </c>
      <c r="U122" s="10">
        <f t="shared" si="40"/>
        <v>37318</v>
      </c>
      <c r="V122" s="10">
        <f t="shared" si="41"/>
        <v>43393</v>
      </c>
    </row>
    <row r="123" spans="1:22" x14ac:dyDescent="0.25">
      <c r="A123" s="8">
        <v>72.599999999999895</v>
      </c>
      <c r="B123" s="8">
        <v>73.2</v>
      </c>
      <c r="C123" s="8">
        <f t="shared" si="31"/>
        <v>27</v>
      </c>
      <c r="D123" s="8" t="s">
        <v>18</v>
      </c>
      <c r="E123" s="8" t="s">
        <v>8</v>
      </c>
      <c r="F123" s="8" cm="1">
        <f t="array" ref="F123">_xlfn.XLOOKUP(D123,'TABELA AUXILIAR'!$A$2:$A$5,IF('SPT-01'!A123&lt;3,'TABELA AUXILIAR'!$B$2:$B$5,'TABELA AUXILIAR'!$C$2:$C$5),"",0,1)</f>
        <v>8.5</v>
      </c>
      <c r="G123" s="9">
        <f t="shared" si="32"/>
        <v>70.977969553204332</v>
      </c>
      <c r="H123" s="10">
        <f t="shared" si="33"/>
        <v>40.668546630262682</v>
      </c>
      <c r="I123" s="10">
        <f t="shared" si="34"/>
        <v>1440.8081633683662</v>
      </c>
      <c r="J123" s="8">
        <f t="shared" si="35"/>
        <v>700.05000000003338</v>
      </c>
      <c r="K123" s="8">
        <f t="shared" si="36"/>
        <v>0.4790136361260422</v>
      </c>
      <c r="L123" s="8">
        <f t="shared" si="37"/>
        <v>335.33349597005184</v>
      </c>
      <c r="M123" s="8">
        <f t="shared" si="38"/>
        <v>2662.3444129548861</v>
      </c>
      <c r="N123" s="8">
        <f>$L123*'TABELA AUXILIAR'!$I$3*(B123-A123)</f>
        <v>756.51236690857309</v>
      </c>
      <c r="O123" s="8">
        <f>$L123*'TABELA AUXILIAR'!$I$4*(B123-A123)</f>
        <v>820.89639813483473</v>
      </c>
      <c r="P123" s="8">
        <f>$L123*'TABELA AUXILIAR'!$I$5*(B123-A123)</f>
        <v>947.6524596115371</v>
      </c>
      <c r="Q123" s="8">
        <f>$M123*'TABELA AUXILIAR'!$J$3+SUM(N$2:N123)</f>
        <v>69323.525016482119</v>
      </c>
      <c r="R123" s="8">
        <f>$M123*'TABELA AUXILIAR'!$J$4+SUM(O$2:O123)</f>
        <v>75473.206695781308</v>
      </c>
      <c r="S123" s="8">
        <f>$M123*'TABELA AUXILIAR'!$J$5+SUM(P$2:P123)</f>
        <v>87755.940836630689</v>
      </c>
      <c r="T123" s="10">
        <f t="shared" si="39"/>
        <v>34661</v>
      </c>
      <c r="U123" s="10">
        <f t="shared" si="40"/>
        <v>37736</v>
      </c>
      <c r="V123" s="10">
        <f t="shared" si="41"/>
        <v>43877</v>
      </c>
    </row>
    <row r="124" spans="1:22" x14ac:dyDescent="0.25">
      <c r="A124" s="8">
        <v>73.199999999999903</v>
      </c>
      <c r="B124" s="8">
        <v>73.8</v>
      </c>
      <c r="C124" s="8">
        <f t="shared" si="31"/>
        <v>27</v>
      </c>
      <c r="D124" s="8" t="s">
        <v>18</v>
      </c>
      <c r="E124" s="8" t="s">
        <v>8</v>
      </c>
      <c r="F124" s="8" cm="1">
        <f t="array" ref="F124">_xlfn.XLOOKUP(D124,'TABELA AUXILIAR'!$A$2:$A$5,IF('SPT-01'!A124&lt;3,'TABELA AUXILIAR'!$B$2:$B$5,'TABELA AUXILIAR'!$C$2:$C$5),"",0,1)</f>
        <v>8.5</v>
      </c>
      <c r="G124" s="9">
        <f t="shared" si="32"/>
        <v>71.236044510574743</v>
      </c>
      <c r="H124" s="10">
        <f t="shared" si="33"/>
        <v>40.668546630262682</v>
      </c>
      <c r="I124" s="10">
        <f t="shared" si="34"/>
        <v>1444.997649257127</v>
      </c>
      <c r="J124" s="8">
        <f t="shared" si="35"/>
        <v>705.1500000000342</v>
      </c>
      <c r="K124" s="8">
        <f t="shared" si="36"/>
        <v>0.47765600215969989</v>
      </c>
      <c r="L124" s="8">
        <f t="shared" si="37"/>
        <v>336.81912992292871</v>
      </c>
      <c r="M124" s="8">
        <f t="shared" si="38"/>
        <v>2673.9649313725131</v>
      </c>
      <c r="N124" s="8">
        <f>$L124*'TABELA AUXILIAR'!$I$3*(B124-A124)</f>
        <v>759.86395710624595</v>
      </c>
      <c r="O124" s="8">
        <f>$L124*'TABELA AUXILIAR'!$I$4*(B124-A124)</f>
        <v>824.53323005145842</v>
      </c>
      <c r="P124" s="8">
        <f>$L124*'TABELA AUXILIAR'!$I$5*(B124-A124)</f>
        <v>951.85086116234527</v>
      </c>
      <c r="Q124" s="8">
        <f>$M124*'TABELA AUXILIAR'!$J$3+SUM(N$2:N124)</f>
        <v>70096.520159400301</v>
      </c>
      <c r="R124" s="8">
        <f>$M124*'TABELA AUXILIAR'!$J$4+SUM(O$2:O124)</f>
        <v>76313.079010144036</v>
      </c>
      <c r="S124" s="8">
        <f>$M124*'TABELA AUXILIAR'!$J$5+SUM(P$2:P124)</f>
        <v>88728.243810208049</v>
      </c>
      <c r="T124" s="10">
        <f t="shared" si="39"/>
        <v>35048</v>
      </c>
      <c r="U124" s="10">
        <f t="shared" si="40"/>
        <v>38156</v>
      </c>
      <c r="V124" s="10">
        <f t="shared" si="41"/>
        <v>44364</v>
      </c>
    </row>
    <row r="125" spans="1:22" x14ac:dyDescent="0.25">
      <c r="A125" s="8">
        <v>73.799999999999898</v>
      </c>
      <c r="B125" s="8">
        <v>74.400000000000006</v>
      </c>
      <c r="C125" s="8">
        <f t="shared" si="31"/>
        <v>27</v>
      </c>
      <c r="D125" s="8" t="s">
        <v>18</v>
      </c>
      <c r="E125" s="8" t="s">
        <v>8</v>
      </c>
      <c r="F125" s="8" cm="1">
        <f t="array" ref="F125">_xlfn.XLOOKUP(D125,'TABELA AUXILIAR'!$A$2:$A$5,IF('SPT-01'!A125&lt;3,'TABELA AUXILIAR'!$B$2:$B$5,'TABELA AUXILIAR'!$C$2:$C$5),"",0,1)</f>
        <v>8.5</v>
      </c>
      <c r="G125" s="9">
        <f t="shared" si="32"/>
        <v>71.493187879192874</v>
      </c>
      <c r="H125" s="10">
        <f t="shared" si="33"/>
        <v>40.668546630262682</v>
      </c>
      <c r="I125" s="10">
        <f t="shared" si="34"/>
        <v>1449.1689940470462</v>
      </c>
      <c r="J125" s="8">
        <f t="shared" si="35"/>
        <v>710.25000000003502</v>
      </c>
      <c r="K125" s="8">
        <f t="shared" si="36"/>
        <v>0.47631195836677676</v>
      </c>
      <c r="L125" s="8">
        <f t="shared" si="37"/>
        <v>338.30056843001989</v>
      </c>
      <c r="M125" s="8">
        <f t="shared" si="38"/>
        <v>2685.5518798442117</v>
      </c>
      <c r="N125" s="8">
        <f>$L125*'TABELA AUXILIAR'!$I$3*(B125-A125)</f>
        <v>763.20608237826218</v>
      </c>
      <c r="O125" s="8">
        <f>$L125*'TABELA AUXILIAR'!$I$4*(B125-A125)</f>
        <v>828.1597915168378</v>
      </c>
      <c r="P125" s="8">
        <f>$L125*'TABELA AUXILIAR'!$I$5*(B125-A125)</f>
        <v>956.03740638340832</v>
      </c>
      <c r="Q125" s="8">
        <f>$M125*'TABELA AUXILIAR'!$J$3+SUM(N$2:N125)</f>
        <v>70872.819493551578</v>
      </c>
      <c r="R125" s="8">
        <f>$M125*'TABELA AUXILIAR'!$J$4+SUM(O$2:O125)</f>
        <v>77156.533573643508</v>
      </c>
      <c r="S125" s="8">
        <f>$M125*'TABELA AUXILIAR'!$J$5+SUM(P$2:P125)</f>
        <v>89704.674245901653</v>
      </c>
      <c r="T125" s="10">
        <f t="shared" si="39"/>
        <v>35436</v>
      </c>
      <c r="U125" s="10">
        <f t="shared" si="40"/>
        <v>38578</v>
      </c>
      <c r="V125" s="10">
        <f t="shared" si="41"/>
        <v>44852</v>
      </c>
    </row>
    <row r="126" spans="1:22" x14ac:dyDescent="0.25">
      <c r="A126" s="8">
        <v>74.400000000000006</v>
      </c>
      <c r="B126" s="8">
        <v>75.000000000000099</v>
      </c>
      <c r="C126" s="8">
        <f t="shared" si="31"/>
        <v>27</v>
      </c>
      <c r="D126" s="8" t="s">
        <v>18</v>
      </c>
      <c r="E126" s="8" t="s">
        <v>8</v>
      </c>
      <c r="F126" s="8" cm="1">
        <f t="array" ref="F126">_xlfn.XLOOKUP(D126,'TABELA AUXILIAR'!$A$2:$A$5,IF('SPT-01'!A126&lt;3,'TABELA AUXILIAR'!$B$2:$B$5,'TABELA AUXILIAR'!$C$2:$C$5),"",0,1)</f>
        <v>8.5</v>
      </c>
      <c r="G126" s="9">
        <f t="shared" si="32"/>
        <v>71.749409675247904</v>
      </c>
      <c r="H126" s="10">
        <f t="shared" si="33"/>
        <v>40.668546630262682</v>
      </c>
      <c r="I126" s="10">
        <f t="shared" si="34"/>
        <v>1453.3224057148666</v>
      </c>
      <c r="J126" s="8">
        <f t="shared" si="35"/>
        <v>715.35000000003583</v>
      </c>
      <c r="K126" s="8">
        <f t="shared" si="36"/>
        <v>0.47498127257758394</v>
      </c>
      <c r="L126" s="8">
        <f t="shared" si="37"/>
        <v>339.77785333839171</v>
      </c>
      <c r="M126" s="8">
        <f t="shared" si="38"/>
        <v>2697.1055953634982</v>
      </c>
      <c r="N126" s="8">
        <f>$L126*'TABELA AUXILIAR'!$I$3*(B126-A126)</f>
        <v>766.53883713153152</v>
      </c>
      <c r="O126" s="8">
        <f>$L126*'TABELA AUXILIAR'!$I$4*(B126-A126)</f>
        <v>831.77618497251297</v>
      </c>
      <c r="P126" s="8">
        <f>$L126*'TABELA AUXILIAR'!$I$5*(B126-A126)</f>
        <v>960.21221353444503</v>
      </c>
      <c r="Q126" s="8">
        <f>$M126*'TABELA AUXILIAR'!$J$3+SUM(N$2:N126)</f>
        <v>71652.414029219915</v>
      </c>
      <c r="R126" s="8">
        <f>$M126*'TABELA AUXILIAR'!$J$4+SUM(O$2:O126)</f>
        <v>78003.560663101482</v>
      </c>
      <c r="S126" s="8">
        <f>$M126*'TABELA AUXILIAR'!$J$5+SUM(P$2:P126)</f>
        <v>90685.220998750039</v>
      </c>
      <c r="T126" s="10">
        <f t="shared" si="39"/>
        <v>35826</v>
      </c>
      <c r="U126" s="10">
        <f t="shared" si="40"/>
        <v>39001</v>
      </c>
      <c r="V126" s="10">
        <f t="shared" si="41"/>
        <v>45342</v>
      </c>
    </row>
    <row r="127" spans="1:22" x14ac:dyDescent="0.25">
      <c r="A127" s="8">
        <v>75</v>
      </c>
      <c r="B127" s="8">
        <v>75.600000000000094</v>
      </c>
      <c r="C127" s="8">
        <f t="shared" si="31"/>
        <v>27</v>
      </c>
      <c r="D127" s="8" t="s">
        <v>18</v>
      </c>
      <c r="E127" s="8" t="s">
        <v>8</v>
      </c>
      <c r="F127" s="8" cm="1">
        <f t="array" ref="F127">_xlfn.XLOOKUP(D127,'TABELA AUXILIAR'!$A$2:$A$5,IF('SPT-01'!A127&lt;3,'TABELA AUXILIAR'!$B$2:$B$5,'TABELA AUXILIAR'!$C$2:$C$5),"",0,1)</f>
        <v>8.5</v>
      </c>
      <c r="G127" s="9">
        <f t="shared" si="32"/>
        <v>72.004719736719622</v>
      </c>
      <c r="H127" s="10">
        <f t="shared" si="33"/>
        <v>40.668546630262682</v>
      </c>
      <c r="I127" s="10">
        <f t="shared" si="34"/>
        <v>1457.4580883903379</v>
      </c>
      <c r="J127" s="8">
        <f t="shared" si="35"/>
        <v>720.45000000003665</v>
      </c>
      <c r="K127" s="8">
        <f t="shared" si="36"/>
        <v>0.4736637182076856</v>
      </c>
      <c r="L127" s="8">
        <f t="shared" si="37"/>
        <v>341.25102578274448</v>
      </c>
      <c r="M127" s="8">
        <f t="shared" si="38"/>
        <v>2708.6264091658331</v>
      </c>
      <c r="N127" s="8">
        <f>$L127*'TABELA AUXILIAR'!$I$3*(B127-A127)</f>
        <v>769.86231416599185</v>
      </c>
      <c r="O127" s="8">
        <f>$L127*'TABELA AUXILIAR'!$I$4*(B127-A127)</f>
        <v>835.38251111628904</v>
      </c>
      <c r="P127" s="8">
        <f>$L127*'TABELA AUXILIAR'!$I$5*(B127-A127)</f>
        <v>964.37539886218667</v>
      </c>
      <c r="Q127" s="8">
        <f>$M127*'TABELA AUXILIAR'!$J$3+SUM(N$2:N127)</f>
        <v>72435.294862982541</v>
      </c>
      <c r="R127" s="8">
        <f>$M127*'TABELA AUXILIAR'!$J$4+SUM(O$2:O127)</f>
        <v>78854.150648436844</v>
      </c>
      <c r="S127" s="8">
        <f>$M127*'TABELA AUXILIAR'!$J$5+SUM(P$2:P127)</f>
        <v>91669.873029904338</v>
      </c>
      <c r="T127" s="10">
        <f t="shared" si="39"/>
        <v>36217</v>
      </c>
      <c r="U127" s="10">
        <f t="shared" si="40"/>
        <v>39427</v>
      </c>
      <c r="V127" s="10">
        <f t="shared" si="41"/>
        <v>45834</v>
      </c>
    </row>
    <row r="128" spans="1:22" x14ac:dyDescent="0.25">
      <c r="A128" s="8">
        <v>75.599999999999994</v>
      </c>
      <c r="B128" s="8">
        <v>76.200000000000102</v>
      </c>
      <c r="C128" s="8">
        <f t="shared" si="31"/>
        <v>27</v>
      </c>
      <c r="D128" s="8" t="s">
        <v>18</v>
      </c>
      <c r="E128" s="8" t="s">
        <v>8</v>
      </c>
      <c r="F128" s="8" cm="1">
        <f t="array" ref="F128">_xlfn.XLOOKUP(D128,'TABELA AUXILIAR'!$A$2:$A$5,IF('SPT-01'!A128&lt;3,'TABELA AUXILIAR'!$B$2:$B$5,'TABELA AUXILIAR'!$C$2:$C$5),"",0,1)</f>
        <v>8.5</v>
      </c>
      <c r="G128" s="9">
        <f t="shared" si="32"/>
        <v>72.259127727786236</v>
      </c>
      <c r="H128" s="10">
        <f t="shared" si="33"/>
        <v>40.668546630262682</v>
      </c>
      <c r="I128" s="10">
        <f t="shared" si="34"/>
        <v>1461.576242454053</v>
      </c>
      <c r="J128" s="8">
        <f t="shared" si="35"/>
        <v>725.55000000003747</v>
      </c>
      <c r="K128" s="8">
        <f t="shared" si="36"/>
        <v>0.47235907408513816</v>
      </c>
      <c r="L128" s="8">
        <f t="shared" si="37"/>
        <v>342.72012620248972</v>
      </c>
      <c r="M128" s="8">
        <f t="shared" si="38"/>
        <v>2720.1146468670236</v>
      </c>
      <c r="N128" s="8">
        <f>$L128*'TABELA AUXILIAR'!$I$3*(B128-A128)</f>
        <v>773.17660471295596</v>
      </c>
      <c r="O128" s="8">
        <f>$L128*'TABELA AUXILIAR'!$I$4*(B128-A128)</f>
        <v>838.9788689438459</v>
      </c>
      <c r="P128" s="8">
        <f>$L128*'TABELA AUXILIAR'!$I$5*(B128-A128)</f>
        <v>968.52707664841034</v>
      </c>
      <c r="Q128" s="8">
        <f>$M128*'TABELA AUXILIAR'!$J$3+SUM(N$2:N128)</f>
        <v>73221.453176297829</v>
      </c>
      <c r="R128" s="8">
        <f>$M128*'TABELA AUXILIAR'!$J$4+SUM(O$2:O128)</f>
        <v>79708.29399114626</v>
      </c>
      <c r="S128" s="8">
        <f>$M128*'TABELA AUXILIAR'!$J$5+SUM(P$2:P128)</f>
        <v>92658.619404906844</v>
      </c>
      <c r="T128" s="10">
        <f t="shared" si="39"/>
        <v>36610</v>
      </c>
      <c r="U128" s="10">
        <f t="shared" si="40"/>
        <v>39854</v>
      </c>
      <c r="V128" s="10">
        <f t="shared" si="41"/>
        <v>46329</v>
      </c>
    </row>
    <row r="129" spans="1:22" x14ac:dyDescent="0.25">
      <c r="A129" s="8">
        <v>76.2</v>
      </c>
      <c r="B129" s="8">
        <v>76.800000000000097</v>
      </c>
      <c r="C129" s="8">
        <f t="shared" si="31"/>
        <v>27</v>
      </c>
      <c r="D129" s="8" t="s">
        <v>18</v>
      </c>
      <c r="E129" s="8" t="s">
        <v>8</v>
      </c>
      <c r="F129" s="8" cm="1">
        <f t="array" ref="F129">_xlfn.XLOOKUP(D129,'TABELA AUXILIAR'!$A$2:$A$5,IF('SPT-01'!A129&lt;3,'TABELA AUXILIAR'!$B$2:$B$5,'TABELA AUXILIAR'!$C$2:$C$5),"",0,1)</f>
        <v>8.5</v>
      </c>
      <c r="G129" s="9">
        <f t="shared" si="32"/>
        <v>72.512643143092717</v>
      </c>
      <c r="H129" s="10">
        <f t="shared" si="33"/>
        <v>40.668546630262682</v>
      </c>
      <c r="I129" s="10">
        <f t="shared" si="34"/>
        <v>1465.6770646321197</v>
      </c>
      <c r="J129" s="8">
        <f t="shared" si="35"/>
        <v>730.65000000003829</v>
      </c>
      <c r="K129" s="8">
        <f t="shared" si="36"/>
        <v>0.47106712428424402</v>
      </c>
      <c r="L129" s="8">
        <f t="shared" si="37"/>
        <v>344.18519435830092</v>
      </c>
      <c r="M129" s="8">
        <f t="shared" si="38"/>
        <v>2731.5706285973329</v>
      </c>
      <c r="N129" s="8">
        <f>$L129*'TABELA AUXILIAR'!$I$3*(B129-A129)</f>
        <v>776.48179847244819</v>
      </c>
      <c r="O129" s="8">
        <f>$L129*'TABELA AUXILIAR'!$I$4*(B129-A129)</f>
        <v>842.56535578925229</v>
      </c>
      <c r="P129" s="8">
        <f>$L129*'TABELA AUXILIAR'!$I$5*(B129-A129)</f>
        <v>972.66735925671048</v>
      </c>
      <c r="Q129" s="8">
        <f>$M129*'TABELA AUXILIAR'!$J$3+SUM(N$2:N129)</f>
        <v>74010.880234125536</v>
      </c>
      <c r="R129" s="8">
        <f>$M129*'TABELA AUXILIAR'!$J$4+SUM(O$2:O129)</f>
        <v>80565.981242819529</v>
      </c>
      <c r="S129" s="8">
        <f>$M129*'TABELA AUXILIAR'!$J$5+SUM(P$2:P129)</f>
        <v>93651.449292008896</v>
      </c>
      <c r="T129" s="10">
        <f t="shared" si="39"/>
        <v>37005</v>
      </c>
      <c r="U129" s="10">
        <f t="shared" si="40"/>
        <v>40282</v>
      </c>
      <c r="V129" s="10">
        <f t="shared" si="41"/>
        <v>46825</v>
      </c>
    </row>
    <row r="130" spans="1:22" x14ac:dyDescent="0.25">
      <c r="A130" s="8">
        <v>76.8</v>
      </c>
      <c r="B130" s="8">
        <v>77.400000000000105</v>
      </c>
      <c r="C130" s="8">
        <f t="shared" si="31"/>
        <v>27</v>
      </c>
      <c r="D130" s="8" t="s">
        <v>18</v>
      </c>
      <c r="E130" s="8" t="s">
        <v>8</v>
      </c>
      <c r="F130" s="8" cm="1">
        <f t="array" ref="F130">_xlfn.XLOOKUP(D130,'TABELA AUXILIAR'!$A$2:$A$5,IF('SPT-01'!A130&lt;3,'TABELA AUXILIAR'!$B$2:$B$5,'TABELA AUXILIAR'!$C$2:$C$5),"",0,1)</f>
        <v>8.5</v>
      </c>
      <c r="G130" s="9">
        <f t="shared" si="32"/>
        <v>72.765275311885517</v>
      </c>
      <c r="H130" s="10">
        <f t="shared" si="33"/>
        <v>40.668546630262682</v>
      </c>
      <c r="I130" s="10">
        <f t="shared" si="34"/>
        <v>1469.7607480878044</v>
      </c>
      <c r="J130" s="8">
        <f t="shared" si="35"/>
        <v>735.75000000003911</v>
      </c>
      <c r="K130" s="8">
        <f t="shared" si="36"/>
        <v>0.46978765796553013</v>
      </c>
      <c r="L130" s="8">
        <f t="shared" si="37"/>
        <v>345.64626934815715</v>
      </c>
      <c r="M130" s="8">
        <f t="shared" si="38"/>
        <v>2742.9946691314972</v>
      </c>
      <c r="N130" s="8">
        <f>$L130*'TABELA AUXILIAR'!$I$3*(B130-A130)</f>
        <v>779.77798364958278</v>
      </c>
      <c r="O130" s="8">
        <f>$L130*'TABELA AUXILIAR'!$I$4*(B130-A130)</f>
        <v>846.142067364441</v>
      </c>
      <c r="P130" s="8">
        <f>$L130*'TABELA AUXILIAR'!$I$5*(B130-A130)</f>
        <v>976.79635717806798</v>
      </c>
      <c r="Q130" s="8">
        <f>$M130*'TABELA AUXILIAR'!$J$3+SUM(N$2:N130)</f>
        <v>74803.567383578717</v>
      </c>
      <c r="R130" s="8">
        <f>$M130*'TABELA AUXILIAR'!$J$4+SUM(O$2:O130)</f>
        <v>81427.203043689064</v>
      </c>
      <c r="S130" s="8">
        <f>$M130*'TABELA AUXILIAR'!$J$5+SUM(P$2:P130)</f>
        <v>94648.351960527099</v>
      </c>
      <c r="T130" s="10">
        <f t="shared" si="39"/>
        <v>37401</v>
      </c>
      <c r="U130" s="10">
        <f t="shared" si="40"/>
        <v>40713</v>
      </c>
      <c r="V130" s="10">
        <f t="shared" si="41"/>
        <v>47324</v>
      </c>
    </row>
    <row r="131" spans="1:22" x14ac:dyDescent="0.25">
      <c r="A131" s="8">
        <v>77.400000000000006</v>
      </c>
      <c r="B131" s="8">
        <v>78.000000000000099</v>
      </c>
      <c r="C131" s="8">
        <f t="shared" si="31"/>
        <v>27</v>
      </c>
      <c r="D131" s="8" t="s">
        <v>18</v>
      </c>
      <c r="E131" s="8" t="s">
        <v>8</v>
      </c>
      <c r="F131" s="8" cm="1">
        <f t="array" ref="F131">_xlfn.XLOOKUP(D131,'TABELA AUXILIAR'!$A$2:$A$5,IF('SPT-01'!A131&lt;3,'TABELA AUXILIAR'!$B$2:$B$5,'TABELA AUXILIAR'!$C$2:$C$5),"",0,1)</f>
        <v>8.5</v>
      </c>
      <c r="G131" s="9">
        <f t="shared" si="32"/>
        <v>73.017033402018484</v>
      </c>
      <c r="H131" s="10">
        <f t="shared" si="33"/>
        <v>40.668546630262682</v>
      </c>
      <c r="I131" s="10">
        <f t="shared" si="34"/>
        <v>1473.8274825102565</v>
      </c>
      <c r="J131" s="8">
        <f t="shared" si="35"/>
        <v>740.85000000003993</v>
      </c>
      <c r="K131" s="8">
        <f t="shared" si="36"/>
        <v>0.468520469221679</v>
      </c>
      <c r="L131" s="8">
        <f t="shared" si="37"/>
        <v>347.10338962289961</v>
      </c>
      <c r="M131" s="8">
        <f t="shared" si="38"/>
        <v>2754.387078014769</v>
      </c>
      <c r="N131" s="8">
        <f>$L131*'TABELA AUXILIAR'!$I$3*(B131-A131)</f>
        <v>783.06524698938392</v>
      </c>
      <c r="O131" s="8">
        <f>$L131*'TABELA AUXILIAR'!$I$4*(B131-A131)</f>
        <v>849.70909779699105</v>
      </c>
      <c r="P131" s="8">
        <f>$L131*'TABELA AUXILIAR'!$I$5*(B131-A131)</f>
        <v>980.91417907446771</v>
      </c>
      <c r="Q131" s="8">
        <f>$M131*'TABELA AUXILIAR'!$J$3+SUM(N$2:N131)</f>
        <v>75599.506052606201</v>
      </c>
      <c r="R131" s="8">
        <f>$M131*'TABELA AUXILIAR'!$J$4+SUM(O$2:O131)</f>
        <v>82291.950121211979</v>
      </c>
      <c r="S131" s="8">
        <f>$M131*'TABELA AUXILIAR'!$J$5+SUM(P$2:P131)</f>
        <v>95649.31677923612</v>
      </c>
      <c r="T131" s="10">
        <f t="shared" si="39"/>
        <v>37799</v>
      </c>
      <c r="U131" s="10">
        <f t="shared" si="40"/>
        <v>41145</v>
      </c>
      <c r="V131" s="10">
        <f t="shared" si="41"/>
        <v>47824</v>
      </c>
    </row>
    <row r="132" spans="1:22" x14ac:dyDescent="0.25">
      <c r="A132" s="8">
        <v>78</v>
      </c>
      <c r="B132" s="8">
        <v>78.600000000000094</v>
      </c>
      <c r="C132" s="8">
        <f t="shared" si="31"/>
        <v>27</v>
      </c>
      <c r="D132" s="8" t="s">
        <v>18</v>
      </c>
      <c r="E132" s="8" t="s">
        <v>8</v>
      </c>
      <c r="F132" s="8" cm="1">
        <f t="array" ref="F132">_xlfn.XLOOKUP(D132,'TABELA AUXILIAR'!$A$2:$A$5,IF('SPT-01'!A132&lt;3,'TABELA AUXILIAR'!$B$2:$B$5,'TABELA AUXILIAR'!$C$2:$C$5),"",0,1)</f>
        <v>8.5</v>
      </c>
      <c r="G132" s="9">
        <f t="shared" si="32"/>
        <v>73.26792642383478</v>
      </c>
      <c r="H132" s="10">
        <f t="shared" si="33"/>
        <v>40.668546630262682</v>
      </c>
      <c r="I132" s="10">
        <f t="shared" si="34"/>
        <v>1477.8774542004273</v>
      </c>
      <c r="J132" s="8">
        <f t="shared" si="35"/>
        <v>745.95000000004075</v>
      </c>
      <c r="K132" s="8">
        <f t="shared" si="36"/>
        <v>0.46726535692914917</v>
      </c>
      <c r="L132" s="8">
        <f t="shared" si="37"/>
        <v>348.55659300131788</v>
      </c>
      <c r="M132" s="8">
        <f t="shared" si="38"/>
        <v>2765.7481596851462</v>
      </c>
      <c r="N132" s="8">
        <f>$L132*'TABELA AUXILIAR'!$I$3*(B132-A132)</f>
        <v>786.34367381109598</v>
      </c>
      <c r="O132" s="8">
        <f>$L132*'TABELA AUXILIAR'!$I$4*(B132-A132)</f>
        <v>853.26653966735967</v>
      </c>
      <c r="P132" s="8">
        <f>$L132*'TABELA AUXILIAR'!$I$5*(B132-A132)</f>
        <v>985.02093182187821</v>
      </c>
      <c r="Q132" s="8">
        <f>$M132*'TABELA AUXILIAR'!$J$3+SUM(N$2:N132)</f>
        <v>76398.687748704819</v>
      </c>
      <c r="R132" s="8">
        <f>$M132*'TABELA AUXILIAR'!$J$4+SUM(O$2:O132)</f>
        <v>83160.21328868423</v>
      </c>
      <c r="S132" s="8">
        <f>$M132*'TABELA AUXILIAR'!$J$5+SUM(P$2:P132)</f>
        <v>96654.333214797865</v>
      </c>
      <c r="T132" s="10">
        <f t="shared" si="39"/>
        <v>38199</v>
      </c>
      <c r="U132" s="10">
        <f t="shared" si="40"/>
        <v>41580</v>
      </c>
      <c r="V132" s="10">
        <f t="shared" si="41"/>
        <v>48327</v>
      </c>
    </row>
    <row r="133" spans="1:22" x14ac:dyDescent="0.25">
      <c r="A133" s="8">
        <v>78.599999999999994</v>
      </c>
      <c r="B133" s="8">
        <v>79.200000000000102</v>
      </c>
      <c r="C133" s="8">
        <f t="shared" si="31"/>
        <v>27</v>
      </c>
      <c r="D133" s="8" t="s">
        <v>18</v>
      </c>
      <c r="E133" s="8" t="s">
        <v>8</v>
      </c>
      <c r="F133" s="8" cm="1">
        <f t="array" ref="F133">_xlfn.XLOOKUP(D133,'TABELA AUXILIAR'!$A$2:$A$5,IF('SPT-01'!A133&lt;3,'TABELA AUXILIAR'!$B$2:$B$5,'TABELA AUXILIAR'!$C$2:$C$5),"",0,1)</f>
        <v>8.5</v>
      </c>
      <c r="G133" s="9">
        <f t="shared" si="32"/>
        <v>73.517963233929791</v>
      </c>
      <c r="H133" s="10">
        <f t="shared" si="33"/>
        <v>40.668546630262682</v>
      </c>
      <c r="I133" s="10">
        <f t="shared" si="34"/>
        <v>1481.9108461543019</v>
      </c>
      <c r="J133" s="8">
        <f t="shared" si="35"/>
        <v>751.05000000004156</v>
      </c>
      <c r="K133" s="8">
        <f t="shared" si="36"/>
        <v>0.4660221246052404</v>
      </c>
      <c r="L133" s="8">
        <f t="shared" si="37"/>
        <v>350.00591668478518</v>
      </c>
      <c r="M133" s="8">
        <f t="shared" si="38"/>
        <v>2777.0782135919449</v>
      </c>
      <c r="N133" s="8">
        <f>$L133*'TABELA AUXILIAR'!$I$3*(B133-A133)</f>
        <v>789.61334804101739</v>
      </c>
      <c r="O133" s="8">
        <f>$L133*'TABELA AUXILIAR'!$I$4*(B133-A133)</f>
        <v>856.81448404450828</v>
      </c>
      <c r="P133" s="8">
        <f>$L133*'TABELA AUXILIAR'!$I$5*(B133-A133)</f>
        <v>989.11672055138092</v>
      </c>
      <c r="Q133" s="8">
        <f>$M133*'TABELA AUXILIAR'!$J$3+SUM(N$2:N133)</f>
        <v>77201.104057660516</v>
      </c>
      <c r="R133" s="8">
        <f>$M133*'TABELA AUXILIAR'!$J$4+SUM(O$2:O133)</f>
        <v>84031.983443885707</v>
      </c>
      <c r="S133" s="8">
        <f>$M133*'TABELA AUXILIAR'!$J$5+SUM(P$2:P133)</f>
        <v>97663.390830225209</v>
      </c>
      <c r="T133" s="10">
        <f t="shared" si="39"/>
        <v>38600</v>
      </c>
      <c r="U133" s="10">
        <f t="shared" si="40"/>
        <v>42015</v>
      </c>
      <c r="V133" s="10">
        <f t="shared" si="41"/>
        <v>48831</v>
      </c>
    </row>
    <row r="134" spans="1:22" x14ac:dyDescent="0.25">
      <c r="A134" s="8">
        <v>79.2</v>
      </c>
      <c r="B134" s="8">
        <v>79.800000000000097</v>
      </c>
      <c r="C134" s="8">
        <f t="shared" si="31"/>
        <v>27</v>
      </c>
      <c r="D134" s="8" t="s">
        <v>18</v>
      </c>
      <c r="E134" s="8" t="s">
        <v>8</v>
      </c>
      <c r="F134" s="8" cm="1">
        <f t="array" ref="F134">_xlfn.XLOOKUP(D134,'TABELA AUXILIAR'!$A$2:$A$5,IF('SPT-01'!A134&lt;3,'TABELA AUXILIAR'!$B$2:$B$5,'TABELA AUXILIAR'!$C$2:$C$5),"",0,1)</f>
        <v>8.5</v>
      </c>
      <c r="G134" s="9">
        <f t="shared" si="32"/>
        <v>73.767152538798982</v>
      </c>
      <c r="H134" s="10">
        <f t="shared" si="33"/>
        <v>40.668546630262682</v>
      </c>
      <c r="I134" s="10">
        <f t="shared" si="34"/>
        <v>1485.9278381435252</v>
      </c>
      <c r="J134" s="8">
        <f t="shared" si="35"/>
        <v>756.15000000004238</v>
      </c>
      <c r="K134" s="8">
        <f t="shared" si="36"/>
        <v>0.46479058027036502</v>
      </c>
      <c r="L134" s="8">
        <f t="shared" si="37"/>
        <v>351.45139727145619</v>
      </c>
      <c r="M134" s="8">
        <f t="shared" si="38"/>
        <v>2788.3775343108086</v>
      </c>
      <c r="N134" s="8">
        <f>$L134*'TABELA AUXILIAR'!$I$3*(B134-A134)</f>
        <v>792.87435224452906</v>
      </c>
      <c r="O134" s="8">
        <f>$L134*'TABELA AUXILIAR'!$I$4*(B134-A134)</f>
        <v>860.35302052065924</v>
      </c>
      <c r="P134" s="8">
        <f>$L134*'TABELA AUXILIAR'!$I$5*(B134-A134)</f>
        <v>993.20164868929044</v>
      </c>
      <c r="Q134" s="8">
        <f>$M134*'TABELA AUXILIAR'!$J$3+SUM(N$2:N134)</f>
        <v>78006.746642317361</v>
      </c>
      <c r="R134" s="8">
        <f>$M134*'TABELA AUXILIAR'!$J$4+SUM(O$2:O134)</f>
        <v>84907.251567755273</v>
      </c>
      <c r="S134" s="8">
        <f>$M134*'TABELA AUXILIAR'!$J$5+SUM(P$2:P134)</f>
        <v>98676.479283379711</v>
      </c>
      <c r="T134" s="10">
        <f t="shared" si="39"/>
        <v>39003</v>
      </c>
      <c r="U134" s="10">
        <f t="shared" si="40"/>
        <v>42453</v>
      </c>
      <c r="V134" s="10">
        <f t="shared" si="41"/>
        <v>49338</v>
      </c>
    </row>
    <row r="135" spans="1:22" x14ac:dyDescent="0.25">
      <c r="A135" s="8">
        <v>79.8</v>
      </c>
      <c r="B135" s="8">
        <v>80.400000000000105</v>
      </c>
      <c r="C135" s="8">
        <f t="shared" si="31"/>
        <v>27</v>
      </c>
      <c r="D135" s="8" t="s">
        <v>18</v>
      </c>
      <c r="E135" s="8" t="s">
        <v>8</v>
      </c>
      <c r="F135" s="8" cm="1">
        <f t="array" ref="F135">_xlfn.XLOOKUP(D135,'TABELA AUXILIAR'!$A$2:$A$5,IF('SPT-01'!A135&lt;3,'TABELA AUXILIAR'!$B$2:$B$5,'TABELA AUXILIAR'!$C$2:$C$5),"",0,1)</f>
        <v>8.5</v>
      </c>
      <c r="G135" s="9">
        <f t="shared" si="32"/>
        <v>74.015502898375431</v>
      </c>
      <c r="H135" s="10">
        <f t="shared" si="33"/>
        <v>40.668546630262682</v>
      </c>
      <c r="I135" s="10">
        <f t="shared" si="34"/>
        <v>1489.9286067935309</v>
      </c>
      <c r="J135" s="8">
        <f t="shared" si="35"/>
        <v>761.2500000000432</v>
      </c>
      <c r="K135" s="8">
        <f t="shared" si="36"/>
        <v>0.4635705363153047</v>
      </c>
      <c r="L135" s="8">
        <f t="shared" si="37"/>
        <v>352.89307077004571</v>
      </c>
      <c r="M135" s="8">
        <f t="shared" si="38"/>
        <v>2799.6464116553402</v>
      </c>
      <c r="N135" s="8">
        <f>$L135*'TABELA AUXILIAR'!$I$3*(B135-A135)</f>
        <v>796.12676765736637</v>
      </c>
      <c r="O135" s="8">
        <f>$L135*'TABELA AUXILIAR'!$I$4*(B135-A135)</f>
        <v>863.88223724522743</v>
      </c>
      <c r="P135" s="8">
        <f>$L135*'TABELA AUXILIAR'!$I$5*(B135-A135)</f>
        <v>997.27581799632867</v>
      </c>
      <c r="Q135" s="8">
        <f>$M135*'TABELA AUXILIAR'!$J$3+SUM(N$2:N135)</f>
        <v>78815.607241374048</v>
      </c>
      <c r="R135" s="8">
        <f>$M135*'TABELA AUXILIAR'!$J$4+SUM(O$2:O135)</f>
        <v>85786.008723095278</v>
      </c>
      <c r="S135" s="8">
        <f>$M135*'TABELA AUXILIAR'!$J$5+SUM(P$2:P135)</f>
        <v>99693.588325502409</v>
      </c>
      <c r="T135" s="10">
        <f t="shared" si="39"/>
        <v>39407</v>
      </c>
      <c r="U135" s="10">
        <f t="shared" si="40"/>
        <v>42893</v>
      </c>
      <c r="V135" s="10">
        <f t="shared" si="41"/>
        <v>49846</v>
      </c>
    </row>
    <row r="136" spans="1:22" x14ac:dyDescent="0.25">
      <c r="A136" s="8">
        <v>80.400000000000006</v>
      </c>
      <c r="B136" s="8">
        <v>81.000000000000099</v>
      </c>
      <c r="C136" s="8">
        <f t="shared" si="31"/>
        <v>27</v>
      </c>
      <c r="D136" s="8" t="s">
        <v>18</v>
      </c>
      <c r="E136" s="8" t="s">
        <v>8</v>
      </c>
      <c r="F136" s="8" cm="1">
        <f t="array" ref="F136">_xlfn.XLOOKUP(D136,'TABELA AUXILIAR'!$A$2:$A$5,IF('SPT-01'!A136&lt;3,'TABELA AUXILIAR'!$B$2:$B$5,'TABELA AUXILIAR'!$C$2:$C$5),"",0,1)</f>
        <v>8.5</v>
      </c>
      <c r="G136" s="9">
        <f t="shared" si="32"/>
        <v>74.263022729460772</v>
      </c>
      <c r="H136" s="10">
        <f t="shared" si="33"/>
        <v>40.668546630262682</v>
      </c>
      <c r="I136" s="10">
        <f t="shared" si="34"/>
        <v>1493.9133256592811</v>
      </c>
      <c r="J136" s="8">
        <f t="shared" si="35"/>
        <v>766.35000000004402</v>
      </c>
      <c r="K136" s="8">
        <f t="shared" si="36"/>
        <v>0.46236180937324012</v>
      </c>
      <c r="L136" s="8">
        <f t="shared" si="37"/>
        <v>354.3309726132029</v>
      </c>
      <c r="M136" s="8">
        <f t="shared" si="38"/>
        <v>2810.8851307854165</v>
      </c>
      <c r="N136" s="8">
        <f>$L136*'TABELA AUXILIAR'!$I$3*(B136-A136)</f>
        <v>799.37067421551069</v>
      </c>
      <c r="O136" s="8">
        <f>$L136*'TABELA AUXILIAR'!$I$4*(B136-A136)</f>
        <v>867.4022209572563</v>
      </c>
      <c r="P136" s="8">
        <f>$L136*'TABELA AUXILIAR'!$I$5*(B136-A136)</f>
        <v>1001.339328605068</v>
      </c>
      <c r="Q136" s="8">
        <f>$M136*'TABELA AUXILIAR'!$J$3+SUM(N$2:N136)</f>
        <v>79627.677668206539</v>
      </c>
      <c r="R136" s="8">
        <f>$M136*'TABELA AUXILIAR'!$J$4+SUM(O$2:O136)</f>
        <v>86668.246053304232</v>
      </c>
      <c r="S136" s="8">
        <f>$M136*'TABELA AUXILIAR'!$J$5+SUM(P$2:P136)</f>
        <v>100714.70779977641</v>
      </c>
      <c r="T136" s="10">
        <f t="shared" si="39"/>
        <v>39813</v>
      </c>
      <c r="U136" s="10">
        <f t="shared" si="40"/>
        <v>43334</v>
      </c>
      <c r="V136" s="10">
        <f t="shared" si="41"/>
        <v>50357</v>
      </c>
    </row>
    <row r="137" spans="1:22" x14ac:dyDescent="0.25">
      <c r="A137" s="8">
        <v>81</v>
      </c>
      <c r="B137" s="8">
        <v>81.600000000000094</v>
      </c>
      <c r="C137" s="8">
        <f t="shared" si="31"/>
        <v>27</v>
      </c>
      <c r="D137" s="8" t="s">
        <v>18</v>
      </c>
      <c r="E137" s="8" t="s">
        <v>8</v>
      </c>
      <c r="F137" s="8" cm="1">
        <f t="array" ref="F137">_xlfn.XLOOKUP(D137,'TABELA AUXILIAR'!$A$2:$A$5,IF('SPT-01'!A137&lt;3,'TABELA AUXILIAR'!$B$2:$B$5,'TABELA AUXILIAR'!$C$2:$C$5),"",0,1)</f>
        <v>8.5</v>
      </c>
      <c r="G137" s="9">
        <f t="shared" si="32"/>
        <v>74.509720309053577</v>
      </c>
      <c r="H137" s="10">
        <f t="shared" si="33"/>
        <v>40.668546630262682</v>
      </c>
      <c r="I137" s="10">
        <f t="shared" si="34"/>
        <v>1497.8821652986769</v>
      </c>
      <c r="J137" s="8">
        <f t="shared" si="35"/>
        <v>771.45000000004484</v>
      </c>
      <c r="K137" s="8">
        <f t="shared" si="36"/>
        <v>0.46116422019634884</v>
      </c>
      <c r="L137" s="8">
        <f t="shared" si="37"/>
        <v>355.76513767049397</v>
      </c>
      <c r="M137" s="8">
        <f t="shared" si="38"/>
        <v>2822.0939723123602</v>
      </c>
      <c r="N137" s="8">
        <f>$L137*'TABELA AUXILIAR'!$I$3*(B137-A137)</f>
        <v>802.60615058475992</v>
      </c>
      <c r="O137" s="8">
        <f>$L137*'TABELA AUXILIAR'!$I$4*(B137-A137)</f>
        <v>870.91305701750537</v>
      </c>
      <c r="P137" s="8">
        <f>$L137*'TABELA AUXILIAR'!$I$5*(B137-A137)</f>
        <v>1005.3922790569732</v>
      </c>
      <c r="Q137" s="8">
        <f>$M137*'TABELA AUXILIAR'!$J$3+SUM(N$2:N137)</f>
        <v>80442.949809716738</v>
      </c>
      <c r="R137" s="8">
        <f>$M137*'TABELA AUXILIAR'!$J$4+SUM(O$2:O137)</f>
        <v>87553.954781137305</v>
      </c>
      <c r="S137" s="8">
        <f>$M137*'TABELA AUXILIAR'!$J$5+SUM(P$2:P137)</f>
        <v>101739.82763992081</v>
      </c>
      <c r="T137" s="10">
        <f t="shared" si="39"/>
        <v>40221</v>
      </c>
      <c r="U137" s="10">
        <f t="shared" si="40"/>
        <v>43776</v>
      </c>
      <c r="V137" s="10">
        <f t="shared" si="41"/>
        <v>50869</v>
      </c>
    </row>
    <row r="138" spans="1:22" x14ac:dyDescent="0.25">
      <c r="A138" s="8">
        <v>81.599999999999994</v>
      </c>
      <c r="B138" s="8">
        <v>82.200000000000102</v>
      </c>
      <c r="C138" s="8">
        <f t="shared" si="31"/>
        <v>27</v>
      </c>
      <c r="D138" s="8" t="s">
        <v>18</v>
      </c>
      <c r="E138" s="8" t="s">
        <v>8</v>
      </c>
      <c r="F138" s="8" cm="1">
        <f t="array" ref="F138">_xlfn.XLOOKUP(D138,'TABELA AUXILIAR'!$A$2:$A$5,IF('SPT-01'!A138&lt;3,'TABELA AUXILIAR'!$B$2:$B$5,'TABELA AUXILIAR'!$C$2:$C$5),"",0,1)</f>
        <v>8.5</v>
      </c>
      <c r="G138" s="9">
        <f t="shared" si="32"/>
        <v>74.755603777578969</v>
      </c>
      <c r="H138" s="10">
        <f t="shared" si="33"/>
        <v>40.668546630262682</v>
      </c>
      <c r="I138" s="10">
        <f t="shared" si="34"/>
        <v>1501.8352933437488</v>
      </c>
      <c r="J138" s="8">
        <f t="shared" si="35"/>
        <v>776.55000000004566</v>
      </c>
      <c r="K138" s="8">
        <f t="shared" si="36"/>
        <v>0.45997759353678352</v>
      </c>
      <c r="L138" s="8">
        <f t="shared" si="37"/>
        <v>357.19560026101027</v>
      </c>
      <c r="M138" s="8">
        <f t="shared" si="38"/>
        <v>2833.2732124010381</v>
      </c>
      <c r="N138" s="8">
        <f>$L138*'TABELA AUXILIAR'!$I$3*(B138-A138)</f>
        <v>805.83327418898421</v>
      </c>
      <c r="O138" s="8">
        <f>$L138*'TABELA AUXILIAR'!$I$4*(B138-A138)</f>
        <v>874.41482943911058</v>
      </c>
      <c r="P138" s="8">
        <f>$L138*'TABELA AUXILIAR'!$I$5*(B138-A138)</f>
        <v>1009.4347663377968</v>
      </c>
      <c r="Q138" s="8">
        <f>$M138*'TABELA AUXILIAR'!$J$3+SUM(N$2:N138)</f>
        <v>81261.415625205933</v>
      </c>
      <c r="R138" s="8">
        <f>$M138*'TABELA AUXILIAR'!$J$4+SUM(O$2:O138)</f>
        <v>88443.126207493464</v>
      </c>
      <c r="S138" s="8">
        <f>$M138*'TABELA AUXILIAR'!$J$5+SUM(P$2:P138)</f>
        <v>102768.93786881468</v>
      </c>
      <c r="T138" s="10">
        <f t="shared" si="39"/>
        <v>40630</v>
      </c>
      <c r="U138" s="10">
        <f t="shared" si="40"/>
        <v>44221</v>
      </c>
      <c r="V138" s="10">
        <f t="shared" si="41"/>
        <v>51384</v>
      </c>
    </row>
    <row r="139" spans="1:22" x14ac:dyDescent="0.25">
      <c r="A139" s="8">
        <v>82.2</v>
      </c>
      <c r="B139" s="8">
        <v>82.800000000000097</v>
      </c>
      <c r="C139" s="8">
        <f t="shared" si="31"/>
        <v>27</v>
      </c>
      <c r="D139" s="8" t="s">
        <v>18</v>
      </c>
      <c r="E139" s="8" t="s">
        <v>8</v>
      </c>
      <c r="F139" s="8" cm="1">
        <f t="array" ref="F139">_xlfn.XLOOKUP(D139,'TABELA AUXILIAR'!$A$2:$A$5,IF('SPT-01'!A139&lt;3,'TABELA AUXILIAR'!$B$2:$B$5,'TABELA AUXILIAR'!$C$2:$C$5),"",0,1)</f>
        <v>8.5</v>
      </c>
      <c r="G139" s="9">
        <f t="shared" si="32"/>
        <v>75.000681142022728</v>
      </c>
      <c r="H139" s="10">
        <f t="shared" si="33"/>
        <v>40.668546630262682</v>
      </c>
      <c r="I139" s="10">
        <f t="shared" si="34"/>
        <v>1505.7728745696984</v>
      </c>
      <c r="J139" s="8">
        <f t="shared" si="35"/>
        <v>781.65000000004648</v>
      </c>
      <c r="K139" s="8">
        <f t="shared" si="36"/>
        <v>0.45880175803184242</v>
      </c>
      <c r="L139" s="8">
        <f t="shared" si="37"/>
        <v>358.62239416561096</v>
      </c>
      <c r="M139" s="8">
        <f t="shared" si="38"/>
        <v>2844.4231228690255</v>
      </c>
      <c r="N139" s="8">
        <f>$L139*'TABELA AUXILIAR'!$I$3*(B139-A139)</f>
        <v>809.05212123774481</v>
      </c>
      <c r="O139" s="8">
        <f>$L139*'TABELA AUXILIAR'!$I$4*(B139-A139)</f>
        <v>877.90762091755278</v>
      </c>
      <c r="P139" s="8">
        <f>$L139*'TABELA AUXILIAR'!$I$5*(B139-A139)</f>
        <v>1013.4668859121749</v>
      </c>
      <c r="Q139" s="8">
        <f>$M139*'TABELA AUXILIAR'!$J$3+SUM(N$2:N139)</f>
        <v>82083.067145272507</v>
      </c>
      <c r="R139" s="8">
        <f>$M139*'TABELA AUXILIAR'!$J$4+SUM(O$2:O139)</f>
        <v>89335.751710228767</v>
      </c>
      <c r="S139" s="8">
        <f>$M139*'TABELA AUXILIAR'!$J$5+SUM(P$2:P139)</f>
        <v>103802.02859715052</v>
      </c>
      <c r="T139" s="10">
        <f t="shared" si="39"/>
        <v>41041</v>
      </c>
      <c r="U139" s="10">
        <f t="shared" si="40"/>
        <v>44667</v>
      </c>
      <c r="V139" s="10">
        <f t="shared" si="41"/>
        <v>51901</v>
      </c>
    </row>
    <row r="140" spans="1:22" x14ac:dyDescent="0.25">
      <c r="A140" s="8">
        <v>82.8</v>
      </c>
      <c r="B140" s="8">
        <v>83.400000000000105</v>
      </c>
      <c r="C140" s="8">
        <f t="shared" si="31"/>
        <v>27</v>
      </c>
      <c r="D140" s="8" t="s">
        <v>18</v>
      </c>
      <c r="E140" s="8" t="s">
        <v>8</v>
      </c>
      <c r="F140" s="8" cm="1">
        <f t="array" ref="F140">_xlfn.XLOOKUP(D140,'TABELA AUXILIAR'!$A$2:$A$5,IF('SPT-01'!A140&lt;3,'TABELA AUXILIAR'!$B$2:$B$5,'TABELA AUXILIAR'!$C$2:$C$5),"",0,1)</f>
        <v>8.5</v>
      </c>
      <c r="G140" s="9">
        <f t="shared" si="32"/>
        <v>75.244960278973821</v>
      </c>
      <c r="H140" s="10">
        <f t="shared" si="33"/>
        <v>40.668546630262682</v>
      </c>
      <c r="I140" s="10">
        <f t="shared" si="34"/>
        <v>1509.6950709618757</v>
      </c>
      <c r="J140" s="8">
        <f t="shared" si="35"/>
        <v>786.75000000004729</v>
      </c>
      <c r="K140" s="8">
        <f t="shared" si="36"/>
        <v>0.4576365460931639</v>
      </c>
      <c r="L140" s="8">
        <f t="shared" si="37"/>
        <v>360.04555263881832</v>
      </c>
      <c r="M140" s="8">
        <f t="shared" si="38"/>
        <v>2855.5439712829229</v>
      </c>
      <c r="N140" s="8">
        <f>$L140*'TABELA AUXILIAR'!$I$3*(B140-A140)</f>
        <v>812.26276675332031</v>
      </c>
      <c r="O140" s="8">
        <f>$L140*'TABELA AUXILIAR'!$I$4*(B140-A140)</f>
        <v>881.39151285998582</v>
      </c>
      <c r="P140" s="8">
        <f>$L140*'TABELA AUXILIAR'!$I$5*(B140-A140)</f>
        <v>1017.4887317574837</v>
      </c>
      <c r="Q140" s="8">
        <f>$M140*'TABELA AUXILIAR'!$J$3+SUM(N$2:N140)</f>
        <v>82907.89647073354</v>
      </c>
      <c r="R140" s="8">
        <f>$M140*'TABELA AUXILIAR'!$J$4+SUM(O$2:O140)</f>
        <v>90231.822742995108</v>
      </c>
      <c r="S140" s="8">
        <f>$M140*'TABELA AUXILIAR'!$J$5+SUM(P$2:P140)</f>
        <v>104839.09002211646</v>
      </c>
      <c r="T140" s="10">
        <f t="shared" si="39"/>
        <v>41453</v>
      </c>
      <c r="U140" s="10">
        <f t="shared" si="40"/>
        <v>45115</v>
      </c>
      <c r="V140" s="10">
        <f t="shared" si="41"/>
        <v>52419</v>
      </c>
    </row>
    <row r="141" spans="1:22" x14ac:dyDescent="0.25">
      <c r="A141" s="8">
        <v>83.4</v>
      </c>
      <c r="B141" s="8">
        <v>84.000000000000099</v>
      </c>
      <c r="C141" s="8">
        <f t="shared" ref="C141:C204" si="42">ROUNDDOWN(_xlfn.PERCENTILE.INC($C$1:$C$75,0.15),0)</f>
        <v>27</v>
      </c>
      <c r="D141" s="8" t="s">
        <v>18</v>
      </c>
      <c r="E141" s="8" t="s">
        <v>8</v>
      </c>
      <c r="F141" s="8" cm="1">
        <f t="array" ref="F141">_xlfn.XLOOKUP(D141,'TABELA AUXILIAR'!$A$2:$A$5,IF('SPT-01'!A141&lt;3,'TABELA AUXILIAR'!$B$2:$B$5,'TABELA AUXILIAR'!$C$2:$C$5),"",0,1)</f>
        <v>8.5</v>
      </c>
      <c r="G141" s="9">
        <f t="shared" si="32"/>
        <v>75.488448937578084</v>
      </c>
      <c r="H141" s="10">
        <f t="shared" si="33"/>
        <v>40.668546630262682</v>
      </c>
      <c r="I141" s="10">
        <f t="shared" si="34"/>
        <v>1513.6020417807513</v>
      </c>
      <c r="J141" s="8">
        <f t="shared" si="35"/>
        <v>791.85000000004811</v>
      </c>
      <c r="K141" s="8">
        <f t="shared" si="36"/>
        <v>0.45648179379977183</v>
      </c>
      <c r="L141" s="8">
        <f t="shared" si="37"/>
        <v>361.46510842037128</v>
      </c>
      <c r="M141" s="8">
        <f t="shared" si="38"/>
        <v>2866.6360210519256</v>
      </c>
      <c r="N141" s="8">
        <f>$L141*'TABELA AUXILIAR'!$I$3*(B141-A141)</f>
        <v>815.46528459648493</v>
      </c>
      <c r="O141" s="8">
        <f>$L141*'TABELA AUXILIAR'!$I$4*(B141-A141)</f>
        <v>884.8665854132073</v>
      </c>
      <c r="P141" s="8">
        <f>$L141*'TABELA AUXILIAR'!$I$5*(B141-A141)</f>
        <v>1021.5003963961288</v>
      </c>
      <c r="Q141" s="8">
        <f>$M141*'TABELA AUXILIAR'!$J$3+SUM(N$2:N141)</f>
        <v>83735.895771569005</v>
      </c>
      <c r="R141" s="8">
        <f>$M141*'TABELA AUXILIAR'!$J$4+SUM(O$2:O141)</f>
        <v>91131.330834103399</v>
      </c>
      <c r="S141" s="8">
        <f>$M141*'TABELA AUXILIAR'!$J$5+SUM(P$2:P141)</f>
        <v>105880.11242610605</v>
      </c>
      <c r="T141" s="10">
        <f t="shared" si="39"/>
        <v>41867</v>
      </c>
      <c r="U141" s="10">
        <f t="shared" si="40"/>
        <v>45565</v>
      </c>
      <c r="V141" s="10">
        <f t="shared" si="41"/>
        <v>52940</v>
      </c>
    </row>
    <row r="142" spans="1:22" x14ac:dyDescent="0.25">
      <c r="A142" s="8">
        <v>84</v>
      </c>
      <c r="B142" s="8">
        <v>84.600000000000094</v>
      </c>
      <c r="C142" s="8">
        <f t="shared" si="42"/>
        <v>27</v>
      </c>
      <c r="D142" s="8" t="s">
        <v>18</v>
      </c>
      <c r="E142" s="8" t="s">
        <v>8</v>
      </c>
      <c r="F142" s="8" cm="1">
        <f t="array" ref="F142">_xlfn.XLOOKUP(D142,'TABELA AUXILIAR'!$A$2:$A$5,IF('SPT-01'!A142&lt;3,'TABELA AUXILIAR'!$B$2:$B$5,'TABELA AUXILIAR'!$C$2:$C$5),"",0,1)</f>
        <v>8.5</v>
      </c>
      <c r="G142" s="9">
        <f t="shared" si="32"/>
        <v>75.731154742406517</v>
      </c>
      <c r="H142" s="10">
        <f t="shared" si="33"/>
        <v>40.668546630262682</v>
      </c>
      <c r="I142" s="10">
        <f t="shared" si="34"/>
        <v>1517.4939436249856</v>
      </c>
      <c r="J142" s="8">
        <f t="shared" si="35"/>
        <v>796.95000000004893</v>
      </c>
      <c r="K142" s="8">
        <f t="shared" si="36"/>
        <v>0.4553373407948228</v>
      </c>
      <c r="L142" s="8">
        <f t="shared" si="37"/>
        <v>362.88109374645632</v>
      </c>
      <c r="M142" s="8">
        <f t="shared" si="38"/>
        <v>2877.6995315187501</v>
      </c>
      <c r="N142" s="8">
        <f>$L142*'TABELA AUXILIAR'!$I$3*(B142-A142)</f>
        <v>818.65974749213331</v>
      </c>
      <c r="O142" s="8">
        <f>$L142*'TABELA AUXILIAR'!$I$4*(B142-A142)</f>
        <v>888.33291749146395</v>
      </c>
      <c r="P142" s="8">
        <f>$L142*'TABELA AUXILIAR'!$I$5*(B142-A142)</f>
        <v>1025.5019709276457</v>
      </c>
      <c r="Q142" s="8">
        <f>$M142*'TABELA AUXILIAR'!$J$3+SUM(N$2:N142)</f>
        <v>84567.057285888644</v>
      </c>
      <c r="R142" s="8">
        <f>$M142*'TABELA AUXILIAR'!$J$4+SUM(O$2:O142)</f>
        <v>92034.267585411071</v>
      </c>
      <c r="S142" s="8">
        <f>$M142*'TABELA AUXILIAR'!$J$5+SUM(P$2:P142)</f>
        <v>106925.0861754553</v>
      </c>
      <c r="T142" s="10">
        <f t="shared" si="39"/>
        <v>42283</v>
      </c>
      <c r="U142" s="10">
        <f t="shared" si="40"/>
        <v>46017</v>
      </c>
      <c r="V142" s="10">
        <f t="shared" si="41"/>
        <v>53462</v>
      </c>
    </row>
    <row r="143" spans="1:22" x14ac:dyDescent="0.25">
      <c r="A143" s="8">
        <v>84.6</v>
      </c>
      <c r="B143" s="8">
        <v>85.200000000000102</v>
      </c>
      <c r="C143" s="8">
        <f t="shared" si="42"/>
        <v>27</v>
      </c>
      <c r="D143" s="8" t="s">
        <v>18</v>
      </c>
      <c r="E143" s="8" t="s">
        <v>8</v>
      </c>
      <c r="F143" s="8" cm="1">
        <f t="array" ref="F143">_xlfn.XLOOKUP(D143,'TABELA AUXILIAR'!$A$2:$A$5,IF('SPT-01'!A143&lt;3,'TABELA AUXILIAR'!$B$2:$B$5,'TABELA AUXILIAR'!$C$2:$C$5),"",0,1)</f>
        <v>8.5</v>
      </c>
      <c r="G143" s="9">
        <f t="shared" si="32"/>
        <v>75.973085196241072</v>
      </c>
      <c r="H143" s="10">
        <f t="shared" si="33"/>
        <v>40.668546630262682</v>
      </c>
      <c r="I143" s="10">
        <f t="shared" si="34"/>
        <v>1521.3709304926258</v>
      </c>
      <c r="J143" s="8">
        <f t="shared" si="35"/>
        <v>802.05000000004975</v>
      </c>
      <c r="K143" s="8">
        <f t="shared" si="36"/>
        <v>0.4542030301858947</v>
      </c>
      <c r="L143" s="8">
        <f t="shared" si="37"/>
        <v>364.29354036061943</v>
      </c>
      <c r="M143" s="8">
        <f t="shared" si="38"/>
        <v>2888.7347580479991</v>
      </c>
      <c r="N143" s="8">
        <f>$L143*'TABELA AUXILIAR'!$I$3*(B143-A143)</f>
        <v>821.84622705370521</v>
      </c>
      <c r="O143" s="8">
        <f>$L143*'TABELA AUXILIAR'!$I$4*(B143-A143)</f>
        <v>891.79058680295691</v>
      </c>
      <c r="P143" s="8">
        <f>$L143*'TABELA AUXILIAR'!$I$5*(B143-A143)</f>
        <v>1029.4935450592959</v>
      </c>
      <c r="Q143" s="8">
        <f>$M143*'TABELA AUXILIAR'!$J$3+SUM(N$2:N143)</f>
        <v>85401.373318920392</v>
      </c>
      <c r="R143" s="8">
        <f>$M143*'TABELA AUXILIAR'!$J$4+SUM(O$2:O143)</f>
        <v>92940.624671232639</v>
      </c>
      <c r="S143" s="8">
        <f>$M143*'TABELA AUXILIAR'!$J$5+SUM(P$2:P143)</f>
        <v>107974.00171920606</v>
      </c>
      <c r="T143" s="10">
        <f t="shared" si="39"/>
        <v>42700</v>
      </c>
      <c r="U143" s="10">
        <f t="shared" si="40"/>
        <v>46470</v>
      </c>
      <c r="V143" s="10">
        <f t="shared" si="41"/>
        <v>53987</v>
      </c>
    </row>
    <row r="144" spans="1:22" x14ac:dyDescent="0.25">
      <c r="A144" s="8">
        <v>85.2</v>
      </c>
      <c r="B144" s="8">
        <v>85.800000000000097</v>
      </c>
      <c r="C144" s="8">
        <f t="shared" si="42"/>
        <v>27</v>
      </c>
      <c r="D144" s="8" t="s">
        <v>18</v>
      </c>
      <c r="E144" s="8" t="s">
        <v>8</v>
      </c>
      <c r="F144" s="8" cm="1">
        <f t="array" ref="F144">_xlfn.XLOOKUP(D144,'TABELA AUXILIAR'!$A$2:$A$5,IF('SPT-01'!A144&lt;3,'TABELA AUXILIAR'!$B$2:$B$5,'TABELA AUXILIAR'!$C$2:$C$5),"",0,1)</f>
        <v>8.5</v>
      </c>
      <c r="G144" s="9">
        <f t="shared" si="32"/>
        <v>76.214247682780993</v>
      </c>
      <c r="H144" s="10">
        <f t="shared" si="33"/>
        <v>40.668546630262682</v>
      </c>
      <c r="I144" s="10">
        <f t="shared" si="34"/>
        <v>1525.233153840534</v>
      </c>
      <c r="J144" s="8">
        <f t="shared" si="35"/>
        <v>807.15000000005057</v>
      </c>
      <c r="K144" s="8">
        <f t="shared" si="36"/>
        <v>0.45307870844868381</v>
      </c>
      <c r="L144" s="8">
        <f t="shared" si="37"/>
        <v>365.70247952437802</v>
      </c>
      <c r="M144" s="8">
        <f t="shared" si="38"/>
        <v>2899.7419521120637</v>
      </c>
      <c r="N144" s="8">
        <f>$L144*'TABELA AUXILIAR'!$I$3*(B144-A144)</f>
        <v>825.02479380712566</v>
      </c>
      <c r="O144" s="8">
        <f>$L144*'TABELA AUXILIAR'!$I$4*(B144-A144)</f>
        <v>895.23966987581741</v>
      </c>
      <c r="P144" s="8">
        <f>$L144*'TABELA AUXILIAR'!$I$5*(B144-A144)</f>
        <v>1033.475207136054</v>
      </c>
      <c r="Q144" s="8">
        <f>$M144*'TABELA AUXILIAR'!$J$3+SUM(N$2:N144)</f>
        <v>86238.836242019912</v>
      </c>
      <c r="R144" s="8">
        <f>$M144*'TABELA AUXILIAR'!$J$4+SUM(O$2:O144)</f>
        <v>93850.393837273034</v>
      </c>
      <c r="S144" s="8">
        <f>$M144*'TABELA AUXILIAR'!$J$5+SUM(P$2:P144)</f>
        <v>109026.84958789487</v>
      </c>
      <c r="T144" s="10">
        <f t="shared" si="39"/>
        <v>43119</v>
      </c>
      <c r="U144" s="10">
        <f t="shared" si="40"/>
        <v>46925</v>
      </c>
      <c r="V144" s="10">
        <f t="shared" si="41"/>
        <v>54513</v>
      </c>
    </row>
    <row r="145" spans="1:22" x14ac:dyDescent="0.25">
      <c r="A145" s="8">
        <v>85.8</v>
      </c>
      <c r="B145" s="8">
        <v>86.400000000000105</v>
      </c>
      <c r="C145" s="8">
        <f t="shared" si="42"/>
        <v>27</v>
      </c>
      <c r="D145" s="8" t="s">
        <v>18</v>
      </c>
      <c r="E145" s="8" t="s">
        <v>8</v>
      </c>
      <c r="F145" s="8" cm="1">
        <f t="array" ref="F145">_xlfn.XLOOKUP(D145,'TABELA AUXILIAR'!$A$2:$A$5,IF('SPT-01'!A145&lt;3,'TABELA AUXILIAR'!$B$2:$B$5,'TABELA AUXILIAR'!$C$2:$C$5),"",0,1)</f>
        <v>8.5</v>
      </c>
      <c r="G145" s="9">
        <f t="shared" si="32"/>
        <v>76.454649469272141</v>
      </c>
      <c r="H145" s="10">
        <f t="shared" si="33"/>
        <v>40.668546630262682</v>
      </c>
      <c r="I145" s="10">
        <f t="shared" si="34"/>
        <v>1529.0807626420758</v>
      </c>
      <c r="J145" s="8">
        <f t="shared" si="35"/>
        <v>812.25000000005139</v>
      </c>
      <c r="K145" s="8">
        <f t="shared" si="36"/>
        <v>0.45196422533396269</v>
      </c>
      <c r="L145" s="8">
        <f t="shared" si="37"/>
        <v>367.10794202753442</v>
      </c>
      <c r="M145" s="8">
        <f t="shared" si="38"/>
        <v>2910.7213613746339</v>
      </c>
      <c r="N145" s="8">
        <f>$L145*'TABELA AUXILIAR'!$I$3*(B145-A145)</f>
        <v>828.19551721426672</v>
      </c>
      <c r="O145" s="8">
        <f>$L145*'TABELA AUXILIAR'!$I$4*(B145-A145)</f>
        <v>898.68024208356599</v>
      </c>
      <c r="P145" s="8">
        <f>$L145*'TABELA AUXILIAR'!$I$5*(B145-A145)</f>
        <v>1037.4470441699991</v>
      </c>
      <c r="Q145" s="8">
        <f>$M145*'TABELA AUXILIAR'!$J$3+SUM(N$2:N145)</f>
        <v>87079.438491700887</v>
      </c>
      <c r="R145" s="8">
        <f>$M145*'TABELA AUXILIAR'!$J$4+SUM(O$2:O145)</f>
        <v>94763.56689958318</v>
      </c>
      <c r="S145" s="8">
        <f>$M145*'TABELA AUXILIAR'!$J$5+SUM(P$2:P145)</f>
        <v>110083.620392367</v>
      </c>
      <c r="T145" s="10">
        <f t="shared" si="39"/>
        <v>43539</v>
      </c>
      <c r="U145" s="10">
        <f t="shared" si="40"/>
        <v>47381</v>
      </c>
      <c r="V145" s="10">
        <f t="shared" si="41"/>
        <v>55041</v>
      </c>
    </row>
    <row r="146" spans="1:22" x14ac:dyDescent="0.25">
      <c r="A146" s="8">
        <v>86.4</v>
      </c>
      <c r="B146" s="8">
        <v>87.000000000000099</v>
      </c>
      <c r="C146" s="8">
        <f t="shared" si="42"/>
        <v>27</v>
      </c>
      <c r="D146" s="8" t="s">
        <v>18</v>
      </c>
      <c r="E146" s="8" t="s">
        <v>8</v>
      </c>
      <c r="F146" s="8" cm="1">
        <f t="array" ref="F146">_xlfn.XLOOKUP(D146,'TABELA AUXILIAR'!$A$2:$A$5,IF('SPT-01'!A146&lt;3,'TABELA AUXILIAR'!$B$2:$B$5,'TABELA AUXILIAR'!$C$2:$C$5),"",0,1)</f>
        <v>8.5</v>
      </c>
      <c r="G146" s="9">
        <f t="shared" si="32"/>
        <v>76.694297709062184</v>
      </c>
      <c r="H146" s="10">
        <f t="shared" si="33"/>
        <v>40.668546630262682</v>
      </c>
      <c r="I146" s="10">
        <f t="shared" si="34"/>
        <v>1532.9139034431564</v>
      </c>
      <c r="J146" s="8">
        <f t="shared" si="35"/>
        <v>817.3500000000522</v>
      </c>
      <c r="K146" s="8">
        <f t="shared" si="36"/>
        <v>0.45085943377767773</v>
      </c>
      <c r="L146" s="8">
        <f t="shared" si="37"/>
        <v>368.50995819820844</v>
      </c>
      <c r="M146" s="8">
        <f t="shared" si="38"/>
        <v>2921.6732297719036</v>
      </c>
      <c r="N146" s="8">
        <f>$L146*'TABELA AUXILIAR'!$I$3*(B146-A146)</f>
        <v>831.35846569528815</v>
      </c>
      <c r="O146" s="8">
        <f>$L146*'TABELA AUXILIAR'!$I$4*(B146-A146)</f>
        <v>902.11237766935528</v>
      </c>
      <c r="P146" s="8">
        <f>$L146*'TABELA AUXILIAR'!$I$5*(B146-A146)</f>
        <v>1041.4091418682999</v>
      </c>
      <c r="Q146" s="8">
        <f>$M146*'TABELA AUXILIAR'!$J$3+SUM(N$2:N146)</f>
        <v>87923.172568685084</v>
      </c>
      <c r="R146" s="8">
        <f>$M146*'TABELA AUXILIAR'!$J$4+SUM(O$2:O146)</f>
        <v>95680.135743536943</v>
      </c>
      <c r="S146" s="8">
        <f>$M146*'TABELA AUXILIAR'!$J$5+SUM(P$2:P146)</f>
        <v>111144.30482261449</v>
      </c>
      <c r="T146" s="10">
        <f t="shared" si="39"/>
        <v>43961</v>
      </c>
      <c r="U146" s="10">
        <f t="shared" si="40"/>
        <v>47840</v>
      </c>
      <c r="V146" s="10">
        <f t="shared" si="41"/>
        <v>55572</v>
      </c>
    </row>
    <row r="147" spans="1:22" x14ac:dyDescent="0.25">
      <c r="A147" s="8">
        <v>87</v>
      </c>
      <c r="B147" s="8">
        <v>87.600000000000094</v>
      </c>
      <c r="C147" s="8">
        <f t="shared" si="42"/>
        <v>27</v>
      </c>
      <c r="D147" s="8" t="s">
        <v>18</v>
      </c>
      <c r="E147" s="8" t="s">
        <v>8</v>
      </c>
      <c r="F147" s="8" cm="1">
        <f t="array" ref="F147">_xlfn.XLOOKUP(D147,'TABELA AUXILIAR'!$A$2:$A$5,IF('SPT-01'!A147&lt;3,'TABELA AUXILIAR'!$B$2:$B$5,'TABELA AUXILIAR'!$C$2:$C$5),"",0,1)</f>
        <v>8.5</v>
      </c>
      <c r="G147" s="9">
        <f t="shared" si="32"/>
        <v>76.933199444084238</v>
      </c>
      <c r="H147" s="10">
        <f t="shared" si="33"/>
        <v>40.668546630262682</v>
      </c>
      <c r="I147" s="10">
        <f t="shared" si="34"/>
        <v>1536.732720416645</v>
      </c>
      <c r="J147" s="8">
        <f t="shared" si="35"/>
        <v>822.45000000005302</v>
      </c>
      <c r="K147" s="8">
        <f t="shared" si="36"/>
        <v>0.44976418981405586</v>
      </c>
      <c r="L147" s="8">
        <f t="shared" si="37"/>
        <v>369.90855791259406</v>
      </c>
      <c r="M147" s="8">
        <f t="shared" si="38"/>
        <v>2932.5977975915589</v>
      </c>
      <c r="N147" s="8">
        <f>$L147*'TABELA AUXILIAR'!$I$3*(B147-A147)</f>
        <v>834.51370665094271</v>
      </c>
      <c r="O147" s="8">
        <f>$L147*'TABELA AUXILIAR'!$I$4*(B147-A147)</f>
        <v>905.53614977017185</v>
      </c>
      <c r="P147" s="8">
        <f>$L147*'TABELA AUXILIAR'!$I$5*(B147-A147)</f>
        <v>1045.3615846611542</v>
      </c>
      <c r="Q147" s="8">
        <f>$M147*'TABELA AUXILIAR'!$J$3+SUM(N$2:N147)</f>
        <v>88770.031036972243</v>
      </c>
      <c r="R147" s="8">
        <f>$M147*'TABELA AUXILIAR'!$J$4+SUM(O$2:O147)</f>
        <v>96600.092322829048</v>
      </c>
      <c r="S147" s="8">
        <f>$M147*'TABELA AUXILIAR'!$J$5+SUM(P$2:P147)</f>
        <v>112208.89364663823</v>
      </c>
      <c r="T147" s="10">
        <f t="shared" si="39"/>
        <v>44385</v>
      </c>
      <c r="U147" s="10">
        <f t="shared" si="40"/>
        <v>48300</v>
      </c>
      <c r="V147" s="10">
        <f t="shared" si="41"/>
        <v>56104</v>
      </c>
    </row>
    <row r="148" spans="1:22" x14ac:dyDescent="0.25">
      <c r="A148" s="8">
        <v>87.6</v>
      </c>
      <c r="B148" s="8">
        <v>88.200000000000102</v>
      </c>
      <c r="C148" s="8">
        <f t="shared" si="42"/>
        <v>27</v>
      </c>
      <c r="D148" s="8" t="s">
        <v>18</v>
      </c>
      <c r="E148" s="8" t="s">
        <v>8</v>
      </c>
      <c r="F148" s="8" cm="1">
        <f t="array" ref="F148">_xlfn.XLOOKUP(D148,'TABELA AUXILIAR'!$A$2:$A$5,IF('SPT-01'!A148&lt;3,'TABELA AUXILIAR'!$B$2:$B$5,'TABELA AUXILIAR'!$C$2:$C$5),"",0,1)</f>
        <v>8.5</v>
      </c>
      <c r="G148" s="9">
        <f t="shared" si="32"/>
        <v>77.171361607271308</v>
      </c>
      <c r="H148" s="10">
        <f t="shared" si="33"/>
        <v>40.668546630262682</v>
      </c>
      <c r="I148" s="10">
        <f t="shared" si="34"/>
        <v>1540.5373554152538</v>
      </c>
      <c r="J148" s="8">
        <f t="shared" si="35"/>
        <v>827.55000000005384</v>
      </c>
      <c r="K148" s="8">
        <f t="shared" si="36"/>
        <v>0.44867835249160409</v>
      </c>
      <c r="L148" s="8">
        <f t="shared" si="37"/>
        <v>371.30377060445113</v>
      </c>
      <c r="M148" s="8">
        <f t="shared" si="38"/>
        <v>2943.4953015496044</v>
      </c>
      <c r="N148" s="8">
        <f>$L148*'TABELA AUXILIAR'!$I$3*(B148-A148)</f>
        <v>837.66130648379249</v>
      </c>
      <c r="O148" s="8">
        <f>$L148*'TABELA AUXILIAR'!$I$4*(B148-A148)</f>
        <v>908.95163043985997</v>
      </c>
      <c r="P148" s="8">
        <f>$L148*'TABELA AUXILIAR'!$I$5*(B148-A148)</f>
        <v>1049.3044557283677</v>
      </c>
      <c r="Q148" s="8">
        <f>$M148*'TABELA AUXILIAR'!$J$3+SUM(N$2:N148)</f>
        <v>89620.006522928627</v>
      </c>
      <c r="R148" s="8">
        <f>$M148*'TABELA AUXILIAR'!$J$4+SUM(O$2:O148)</f>
        <v>97523.428658493533</v>
      </c>
      <c r="S148" s="8">
        <f>$M148*'TABELA AUXILIAR'!$J$5+SUM(P$2:P148)</f>
        <v>113277.37770933277</v>
      </c>
      <c r="T148" s="10">
        <f t="shared" si="39"/>
        <v>44810</v>
      </c>
      <c r="U148" s="10">
        <f t="shared" si="40"/>
        <v>48761</v>
      </c>
      <c r="V148" s="10">
        <f t="shared" si="41"/>
        <v>56638</v>
      </c>
    </row>
    <row r="149" spans="1:22" x14ac:dyDescent="0.25">
      <c r="A149" s="8">
        <v>88.2</v>
      </c>
      <c r="B149" s="8">
        <v>88.800000000000097</v>
      </c>
      <c r="C149" s="8">
        <f t="shared" si="42"/>
        <v>27</v>
      </c>
      <c r="D149" s="8" t="s">
        <v>18</v>
      </c>
      <c r="E149" s="8" t="s">
        <v>8</v>
      </c>
      <c r="F149" s="8" cm="1">
        <f t="array" ref="F149">_xlfn.XLOOKUP(D149,'TABELA AUXILIAR'!$A$2:$A$5,IF('SPT-01'!A149&lt;3,'TABELA AUXILIAR'!$B$2:$B$5,'TABELA AUXILIAR'!$C$2:$C$5),"",0,1)</f>
        <v>8.5</v>
      </c>
      <c r="G149" s="9">
        <f t="shared" si="32"/>
        <v>77.408791024903721</v>
      </c>
      <c r="H149" s="10">
        <f t="shared" si="33"/>
        <v>40.668546630262682</v>
      </c>
      <c r="I149" s="10">
        <f t="shared" si="34"/>
        <v>1544.3279480229207</v>
      </c>
      <c r="J149" s="8">
        <f t="shared" si="35"/>
        <v>832.65000000005466</v>
      </c>
      <c r="K149" s="8">
        <f t="shared" si="36"/>
        <v>0.4476017837918887</v>
      </c>
      <c r="L149" s="8">
        <f t="shared" si="37"/>
        <v>372.69562527434061</v>
      </c>
      <c r="M149" s="8">
        <f t="shared" si="38"/>
        <v>2954.365974865108</v>
      </c>
      <c r="N149" s="8">
        <f>$L149*'TABELA AUXILIAR'!$I$3*(B149-A149)</f>
        <v>840.80133061904382</v>
      </c>
      <c r="O149" s="8">
        <f>$L149*'TABELA AUXILIAR'!$I$4*(B149-A149)</f>
        <v>912.35889067172843</v>
      </c>
      <c r="P149" s="8">
        <f>$L149*'TABELA AUXILIAR'!$I$5*(B149-A149)</f>
        <v>1053.2378370254512</v>
      </c>
      <c r="Q149" s="8">
        <f>$M149*'TABELA AUXILIAR'!$J$3+SUM(N$2:N149)</f>
        <v>90473.091714394177</v>
      </c>
      <c r="R149" s="8">
        <f>$M149*'TABELA AUXILIAR'!$J$4+SUM(O$2:O149)</f>
        <v>98450.136837941725</v>
      </c>
      <c r="S149" s="8">
        <f>$M149*'TABELA AUXILIAR'!$J$5+SUM(P$2:P149)</f>
        <v>114349.74793139349</v>
      </c>
      <c r="T149" s="10">
        <f t="shared" si="39"/>
        <v>45236</v>
      </c>
      <c r="U149" s="10">
        <f t="shared" si="40"/>
        <v>49225</v>
      </c>
      <c r="V149" s="10">
        <f t="shared" si="41"/>
        <v>57174</v>
      </c>
    </row>
    <row r="150" spans="1:22" x14ac:dyDescent="0.25">
      <c r="A150" s="8">
        <v>88.8</v>
      </c>
      <c r="B150" s="8">
        <v>89.400000000000105</v>
      </c>
      <c r="C150" s="8">
        <f t="shared" si="42"/>
        <v>27</v>
      </c>
      <c r="D150" s="8" t="s">
        <v>18</v>
      </c>
      <c r="E150" s="8" t="s">
        <v>8</v>
      </c>
      <c r="F150" s="8" cm="1">
        <f t="array" ref="F150">_xlfn.XLOOKUP(D150,'TABELA AUXILIAR'!$A$2:$A$5,IF('SPT-01'!A150&lt;3,'TABELA AUXILIAR'!$B$2:$B$5,'TABELA AUXILIAR'!$C$2:$C$5),"",0,1)</f>
        <v>8.5</v>
      </c>
      <c r="G150" s="9">
        <f t="shared" si="32"/>
        <v>77.645494418892085</v>
      </c>
      <c r="H150" s="10">
        <f t="shared" si="33"/>
        <v>40.668546630262682</v>
      </c>
      <c r="I150" s="10">
        <f t="shared" si="34"/>
        <v>1548.1046356047425</v>
      </c>
      <c r="J150" s="8">
        <f t="shared" si="35"/>
        <v>837.75000000005548</v>
      </c>
      <c r="K150" s="8">
        <f t="shared" si="36"/>
        <v>0.44653434855098367</v>
      </c>
      <c r="L150" s="8">
        <f t="shared" si="37"/>
        <v>374.08415049861134</v>
      </c>
      <c r="M150" s="8">
        <f t="shared" si="38"/>
        <v>2965.2100473329447</v>
      </c>
      <c r="N150" s="8">
        <f>$L150*'TABELA AUXILIAR'!$I$3*(B150-A150)</f>
        <v>843.93384352501914</v>
      </c>
      <c r="O150" s="8">
        <f>$L150*'TABELA AUXILIAR'!$I$4*(B150-A150)</f>
        <v>915.75800042076548</v>
      </c>
      <c r="P150" s="8">
        <f>$L150*'TABELA AUXILIAR'!$I$5*(B150-A150)</f>
        <v>1057.1618093092659</v>
      </c>
      <c r="Q150" s="8">
        <f>$M150*'TABELA AUXILIAR'!$J$3+SUM(N$2:N150)</f>
        <v>91329.279359807857</v>
      </c>
      <c r="R150" s="8">
        <f>$M150*'TABELA AUXILIAR'!$J$4+SUM(O$2:O150)</f>
        <v>99380.209014020045</v>
      </c>
      <c r="S150" s="8">
        <f>$M150*'TABELA AUXILIAR'!$J$5+SUM(P$2:P150)</f>
        <v>115425.99530824616</v>
      </c>
      <c r="T150" s="10">
        <f t="shared" si="39"/>
        <v>45664</v>
      </c>
      <c r="U150" s="10">
        <f t="shared" si="40"/>
        <v>49690</v>
      </c>
      <c r="V150" s="10">
        <f t="shared" si="41"/>
        <v>57712</v>
      </c>
    </row>
    <row r="151" spans="1:22" x14ac:dyDescent="0.25">
      <c r="A151" s="8">
        <v>89.4</v>
      </c>
      <c r="B151" s="8">
        <v>90.000000000000099</v>
      </c>
      <c r="C151" s="8">
        <f t="shared" si="42"/>
        <v>27</v>
      </c>
      <c r="D151" s="8" t="s">
        <v>18</v>
      </c>
      <c r="E151" s="8" t="s">
        <v>8</v>
      </c>
      <c r="F151" s="8" cm="1">
        <f t="array" ref="F151">_xlfn.XLOOKUP(D151,'TABELA AUXILIAR'!$A$2:$A$5,IF('SPT-01'!A151&lt;3,'TABELA AUXILIAR'!$B$2:$B$5,'TABELA AUXILIAR'!$C$2:$C$5),"",0,1)</f>
        <v>8.5</v>
      </c>
      <c r="G151" s="9">
        <f t="shared" si="32"/>
        <v>77.881478408997765</v>
      </c>
      <c r="H151" s="10">
        <f t="shared" si="33"/>
        <v>40.668546630262682</v>
      </c>
      <c r="I151" s="10">
        <f t="shared" si="34"/>
        <v>1551.8675533555111</v>
      </c>
      <c r="J151" s="8">
        <f t="shared" si="35"/>
        <v>842.8500000000563</v>
      </c>
      <c r="K151" s="8">
        <f t="shared" si="36"/>
        <v>0.44547591438348599</v>
      </c>
      <c r="L151" s="8">
        <f t="shared" si="37"/>
        <v>375.46937443814625</v>
      </c>
      <c r="M151" s="8">
        <f t="shared" si="38"/>
        <v>2976.0277453945778</v>
      </c>
      <c r="N151" s="8">
        <f>$L151*'TABELA AUXILIAR'!$I$3*(B151-A151)</f>
        <v>847.05890873259034</v>
      </c>
      <c r="O151" s="8">
        <f>$L151*'TABELA AUXILIAR'!$I$4*(B151-A151)</f>
        <v>919.1490286247257</v>
      </c>
      <c r="P151" s="8">
        <f>$L151*'TABELA AUXILIAR'!$I$5*(B151-A151)</f>
        <v>1061.0764521623671</v>
      </c>
      <c r="Q151" s="8">
        <f>$M151*'TABELA AUXILIAR'!$J$3+SUM(N$2:N151)</f>
        <v>92188.562267350091</v>
      </c>
      <c r="R151" s="8">
        <f>$M151*'TABELA AUXILIAR'!$J$4+SUM(O$2:O151)</f>
        <v>100313.63740408613</v>
      </c>
      <c r="S151" s="8">
        <f>$M151*'TABELA AUXILIAR'!$J$5+SUM(P$2:P151)</f>
        <v>116506.11090899698</v>
      </c>
      <c r="T151" s="10">
        <f t="shared" si="39"/>
        <v>46094</v>
      </c>
      <c r="U151" s="10">
        <f t="shared" si="40"/>
        <v>50156</v>
      </c>
      <c r="V151" s="10">
        <f t="shared" si="41"/>
        <v>58253</v>
      </c>
    </row>
    <row r="152" spans="1:22" x14ac:dyDescent="0.25">
      <c r="A152" s="8">
        <v>90</v>
      </c>
      <c r="B152" s="8">
        <v>90.600000000000094</v>
      </c>
      <c r="C152" s="8">
        <f t="shared" si="42"/>
        <v>27</v>
      </c>
      <c r="D152" s="8" t="s">
        <v>18</v>
      </c>
      <c r="E152" s="8" t="s">
        <v>8</v>
      </c>
      <c r="F152" s="8" cm="1">
        <f t="array" ref="F152">_xlfn.XLOOKUP(D152,'TABELA AUXILIAR'!$A$2:$A$5,IF('SPT-01'!A152&lt;3,'TABELA AUXILIAR'!$B$2:$B$5,'TABELA AUXILIAR'!$C$2:$C$5),"",0,1)</f>
        <v>8.5</v>
      </c>
      <c r="G152" s="9">
        <f t="shared" si="32"/>
        <v>78.116749514993074</v>
      </c>
      <c r="H152" s="10">
        <f t="shared" si="33"/>
        <v>40.668546630262682</v>
      </c>
      <c r="I152" s="10">
        <f t="shared" si="34"/>
        <v>1555.6168343469164</v>
      </c>
      <c r="J152" s="8">
        <f t="shared" si="35"/>
        <v>847.95000000005712</v>
      </c>
      <c r="K152" s="8">
        <f t="shared" si="36"/>
        <v>0.44442635160900301</v>
      </c>
      <c r="L152" s="8">
        <f t="shared" si="37"/>
        <v>376.85132484687949</v>
      </c>
      <c r="M152" s="8">
        <f t="shared" si="38"/>
        <v>2986.8192922069802</v>
      </c>
      <c r="N152" s="8">
        <f>$L152*'TABELA AUXILIAR'!$I$3*(B152-A152)</f>
        <v>850.17658885469291</v>
      </c>
      <c r="O152" s="8">
        <f>$L152*'TABELA AUXILIAR'!$I$4*(B152-A152)</f>
        <v>922.53204322530519</v>
      </c>
      <c r="P152" s="8">
        <f>$L152*'TABELA AUXILIAR'!$I$5*(B152-A152)</f>
        <v>1064.9818440174479</v>
      </c>
      <c r="Q152" s="8">
        <f>$M152*'TABELA AUXILIAR'!$J$3+SUM(N$2:N152)</f>
        <v>93050.9333041028</v>
      </c>
      <c r="R152" s="8">
        <f>$M152*'TABELA AUXILIAR'!$J$4+SUM(O$2:O152)</f>
        <v>101250.41428910381</v>
      </c>
      <c r="S152" s="8">
        <f>$M152*'TABELA AUXILIAR'!$J$5+SUM(P$2:P152)</f>
        <v>117590.08587540426</v>
      </c>
      <c r="T152" s="10">
        <f t="shared" si="39"/>
        <v>46525</v>
      </c>
      <c r="U152" s="10">
        <f t="shared" si="40"/>
        <v>50625</v>
      </c>
      <c r="V152" s="10">
        <f t="shared" si="41"/>
        <v>58795</v>
      </c>
    </row>
    <row r="153" spans="1:22" x14ac:dyDescent="0.25">
      <c r="A153" s="8">
        <v>90.6</v>
      </c>
      <c r="B153" s="8">
        <v>91.200000000000102</v>
      </c>
      <c r="C153" s="8">
        <f t="shared" si="42"/>
        <v>27</v>
      </c>
      <c r="D153" s="8" t="s">
        <v>18</v>
      </c>
      <c r="E153" s="8" t="s">
        <v>8</v>
      </c>
      <c r="F153" s="8" cm="1">
        <f t="array" ref="F153">_xlfn.XLOOKUP(D153,'TABELA AUXILIAR'!$A$2:$A$5,IF('SPT-01'!A153&lt;3,'TABELA AUXILIAR'!$B$2:$B$5,'TABELA AUXILIAR'!$C$2:$C$5),"",0,1)</f>
        <v>8.5</v>
      </c>
      <c r="G153" s="9">
        <f t="shared" si="32"/>
        <v>78.351314158762875</v>
      </c>
      <c r="H153" s="10">
        <f t="shared" si="33"/>
        <v>40.668546630262682</v>
      </c>
      <c r="I153" s="10">
        <f t="shared" si="34"/>
        <v>1559.3526095734217</v>
      </c>
      <c r="J153" s="8">
        <f t="shared" si="35"/>
        <v>853.05000000005793</v>
      </c>
      <c r="K153" s="8">
        <f t="shared" si="36"/>
        <v>0.44338553318100749</v>
      </c>
      <c r="L153" s="8">
        <f t="shared" si="37"/>
        <v>378.23002908008414</v>
      </c>
      <c r="M153" s="8">
        <f t="shared" si="38"/>
        <v>2997.584907709705</v>
      </c>
      <c r="N153" s="8">
        <f>$L153*'TABELA AUXILIAR'!$I$3*(B153-A153)</f>
        <v>853.28694560482336</v>
      </c>
      <c r="O153" s="8">
        <f>$L153*'TABELA AUXILIAR'!$I$4*(B153-A153)</f>
        <v>925.90711118821264</v>
      </c>
      <c r="P153" s="8">
        <f>$L153*'TABELA AUXILIAR'!$I$5*(B153-A153)</f>
        <v>1068.8780621805101</v>
      </c>
      <c r="Q153" s="8">
        <f>$M153*'TABELA AUXILIAR'!$J$3+SUM(N$2:N153)</f>
        <v>93916.385395225705</v>
      </c>
      <c r="R153" s="8">
        <f>$M153*'TABELA AUXILIAR'!$J$4+SUM(O$2:O153)</f>
        <v>102190.5320127556</v>
      </c>
      <c r="S153" s="8">
        <f>$M153*'TABELA AUXILIAR'!$J$5+SUM(P$2:P153)</f>
        <v>118677.91142086957</v>
      </c>
      <c r="T153" s="10">
        <f t="shared" si="39"/>
        <v>46958</v>
      </c>
      <c r="U153" s="10">
        <f t="shared" si="40"/>
        <v>51095</v>
      </c>
      <c r="V153" s="10">
        <f t="shared" si="41"/>
        <v>59338</v>
      </c>
    </row>
    <row r="154" spans="1:22" x14ac:dyDescent="0.25">
      <c r="A154" s="8">
        <v>91.2</v>
      </c>
      <c r="B154" s="8">
        <v>91.800000000000097</v>
      </c>
      <c r="C154" s="8">
        <f t="shared" si="42"/>
        <v>27</v>
      </c>
      <c r="D154" s="8" t="s">
        <v>18</v>
      </c>
      <c r="E154" s="8" t="s">
        <v>8</v>
      </c>
      <c r="F154" s="8" cm="1">
        <f t="array" ref="F154">_xlfn.XLOOKUP(D154,'TABELA AUXILIAR'!$A$2:$A$5,IF('SPT-01'!A154&lt;3,'TABELA AUXILIAR'!$B$2:$B$5,'TABELA AUXILIAR'!$C$2:$C$5),"",0,1)</f>
        <v>8.5</v>
      </c>
      <c r="G154" s="9">
        <f t="shared" si="32"/>
        <v>78.585178666349933</v>
      </c>
      <c r="H154" s="10">
        <f t="shared" si="33"/>
        <v>40.668546630262682</v>
      </c>
      <c r="I154" s="10">
        <f t="shared" si="34"/>
        <v>1563.0750079969032</v>
      </c>
      <c r="J154" s="8">
        <f t="shared" si="35"/>
        <v>858.15000000005875</v>
      </c>
      <c r="K154" s="8">
        <f t="shared" si="36"/>
        <v>0.44235333461798199</v>
      </c>
      <c r="L154" s="8">
        <f t="shared" si="37"/>
        <v>379.60551410244722</v>
      </c>
      <c r="M154" s="8">
        <f t="shared" si="38"/>
        <v>3008.3248086902204</v>
      </c>
      <c r="N154" s="8">
        <f>$L154*'TABELA AUXILIAR'!$I$3*(B154-A154)</f>
        <v>856.3900398152548</v>
      </c>
      <c r="O154" s="8">
        <f>$L154*'TABELA AUXILIAR'!$I$4*(B154-A154)</f>
        <v>929.27429852293608</v>
      </c>
      <c r="P154" s="8">
        <f>$L154*'TABELA AUXILIAR'!$I$5*(B154-A154)</f>
        <v>1072.7651828536837</v>
      </c>
      <c r="Q154" s="8">
        <f>$M154*'TABELA AUXILIAR'!$J$3+SUM(N$2:N154)</f>
        <v>94784.911523148956</v>
      </c>
      <c r="R154" s="8">
        <f>$M154*'TABELA AUXILIAR'!$J$4+SUM(O$2:O154)</f>
        <v>103133.98298057282</v>
      </c>
      <c r="S154" s="8">
        <f>$M154*'TABELA AUXILIAR'!$J$5+SUM(P$2:P154)</f>
        <v>119769.57882944896</v>
      </c>
      <c r="T154" s="10">
        <f t="shared" si="39"/>
        <v>47392</v>
      </c>
      <c r="U154" s="10">
        <f t="shared" si="40"/>
        <v>51566</v>
      </c>
      <c r="V154" s="10">
        <f t="shared" si="41"/>
        <v>59884</v>
      </c>
    </row>
    <row r="155" spans="1:22" x14ac:dyDescent="0.25">
      <c r="A155" s="8">
        <v>91.8</v>
      </c>
      <c r="B155" s="8">
        <v>92.400000000000105</v>
      </c>
      <c r="C155" s="8">
        <f t="shared" si="42"/>
        <v>27</v>
      </c>
      <c r="D155" s="8" t="s">
        <v>18</v>
      </c>
      <c r="E155" s="8" t="s">
        <v>8</v>
      </c>
      <c r="F155" s="8" cm="1">
        <f t="array" ref="F155">_xlfn.XLOOKUP(D155,'TABELA AUXILIAR'!$A$2:$A$5,IF('SPT-01'!A155&lt;3,'TABELA AUXILIAR'!$B$2:$B$5,'TABELA AUXILIAR'!$C$2:$C$5),"",0,1)</f>
        <v>8.5</v>
      </c>
      <c r="G155" s="9">
        <f t="shared" si="32"/>
        <v>78.818349269945557</v>
      </c>
      <c r="H155" s="10">
        <f t="shared" si="33"/>
        <v>40.668546630262682</v>
      </c>
      <c r="I155" s="10">
        <f t="shared" si="34"/>
        <v>1566.7841565900524</v>
      </c>
      <c r="J155" s="8">
        <f t="shared" si="35"/>
        <v>863.25000000005957</v>
      </c>
      <c r="K155" s="8">
        <f t="shared" si="36"/>
        <v>0.44132963393675567</v>
      </c>
      <c r="L155" s="8">
        <f t="shared" si="37"/>
        <v>380.97780649593062</v>
      </c>
      <c r="M155" s="8">
        <f t="shared" si="38"/>
        <v>3019.0392088475237</v>
      </c>
      <c r="N155" s="8">
        <f>$L155*'TABELA AUXILIAR'!$I$3*(B155-A155)</f>
        <v>859.48593145497421</v>
      </c>
      <c r="O155" s="8">
        <f>$L155*'TABELA AUXILIAR'!$I$4*(B155-A155)</f>
        <v>932.63367030220604</v>
      </c>
      <c r="P155" s="8">
        <f>$L155*'TABELA AUXILIAR'!$I$5*(B155-A155)</f>
        <v>1076.6432811576938</v>
      </c>
      <c r="Q155" s="8">
        <f>$M155*'TABELA AUXILIAR'!$J$3+SUM(N$2:N155)</f>
        <v>95656.50472678167</v>
      </c>
      <c r="R155" s="8">
        <f>$M155*'TABELA AUXILIAR'!$J$4+SUM(O$2:O155)</f>
        <v>104080.75965908267</v>
      </c>
      <c r="S155" s="8">
        <f>$M155*'TABELA AUXILIAR'!$J$5+SUM(P$2:P155)</f>
        <v>120865.07945488351</v>
      </c>
      <c r="T155" s="10">
        <f t="shared" si="39"/>
        <v>47828</v>
      </c>
      <c r="U155" s="10">
        <f t="shared" si="40"/>
        <v>52040</v>
      </c>
      <c r="V155" s="10">
        <f t="shared" si="41"/>
        <v>60432</v>
      </c>
    </row>
    <row r="156" spans="1:22" x14ac:dyDescent="0.25">
      <c r="A156" s="8">
        <v>92.4</v>
      </c>
      <c r="B156" s="8">
        <v>93.000000000000099</v>
      </c>
      <c r="C156" s="8">
        <f t="shared" si="42"/>
        <v>27</v>
      </c>
      <c r="D156" s="8" t="s">
        <v>18</v>
      </c>
      <c r="E156" s="8" t="s">
        <v>8</v>
      </c>
      <c r="F156" s="8" cm="1">
        <f t="array" ref="F156">_xlfn.XLOOKUP(D156,'TABELA AUXILIAR'!$A$2:$A$5,IF('SPT-01'!A156&lt;3,'TABELA AUXILIAR'!$B$2:$B$5,'TABELA AUXILIAR'!$C$2:$C$5),"",0,1)</f>
        <v>8.5</v>
      </c>
      <c r="G156" s="9">
        <f t="shared" si="32"/>
        <v>79.05083210982734</v>
      </c>
      <c r="H156" s="10">
        <f t="shared" si="33"/>
        <v>40.668546630262682</v>
      </c>
      <c r="I156" s="10">
        <f t="shared" si="34"/>
        <v>1570.4801803786095</v>
      </c>
      <c r="J156" s="8">
        <f t="shared" si="35"/>
        <v>868.35000000006039</v>
      </c>
      <c r="K156" s="8">
        <f t="shared" si="36"/>
        <v>0.44031431158795853</v>
      </c>
      <c r="L156" s="8">
        <f t="shared" si="37"/>
        <v>382.34693246743041</v>
      </c>
      <c r="M156" s="8">
        <f t="shared" si="38"/>
        <v>3029.7283188541078</v>
      </c>
      <c r="N156" s="8">
        <f>$L156*'TABELA AUXILIAR'!$I$3*(B156-A156)</f>
        <v>862.57467964665784</v>
      </c>
      <c r="O156" s="8">
        <f>$L156*'TABELA AUXILIAR'!$I$4*(B156-A156)</f>
        <v>935.98529068041591</v>
      </c>
      <c r="P156" s="8">
        <f>$L156*'TABELA AUXILIAR'!$I$5*(B156-A156)</f>
        <v>1080.5124311531272</v>
      </c>
      <c r="Q156" s="8">
        <f>$M156*'TABELA AUXILIAR'!$J$3+SUM(N$2:N156)</f>
        <v>96531.158100735774</v>
      </c>
      <c r="R156" s="8">
        <f>$M156*'TABELA AUXILIAR'!$J$4+SUM(O$2:O156)</f>
        <v>105030.85457497179</v>
      </c>
      <c r="S156" s="8">
        <f>$M156*'TABELA AUXILIAR'!$J$5+SUM(P$2:P156)</f>
        <v>121964.40471964823</v>
      </c>
      <c r="T156" s="10">
        <f t="shared" si="39"/>
        <v>48265</v>
      </c>
      <c r="U156" s="10">
        <f t="shared" si="40"/>
        <v>52515</v>
      </c>
      <c r="V156" s="10">
        <f t="shared" si="41"/>
        <v>60982</v>
      </c>
    </row>
    <row r="157" spans="1:22" x14ac:dyDescent="0.25">
      <c r="A157" s="8">
        <v>93</v>
      </c>
      <c r="B157" s="8">
        <v>93.600000000000094</v>
      </c>
      <c r="C157" s="8">
        <f t="shared" si="42"/>
        <v>27</v>
      </c>
      <c r="D157" s="8" t="s">
        <v>18</v>
      </c>
      <c r="E157" s="8" t="s">
        <v>8</v>
      </c>
      <c r="F157" s="8" cm="1">
        <f t="array" ref="F157">_xlfn.XLOOKUP(D157,'TABELA AUXILIAR'!$A$2:$A$5,IF('SPT-01'!A157&lt;3,'TABELA AUXILIAR'!$B$2:$B$5,'TABELA AUXILIAR'!$C$2:$C$5),"",0,1)</f>
        <v>8.5</v>
      </c>
      <c r="G157" s="9">
        <f t="shared" ref="G157:G220" si="43">C157 / MIN(2, SQRT(101.3/J157))</f>
        <v>79.282633236245985</v>
      </c>
      <c r="H157" s="10">
        <f t="shared" ref="H157:H220" si="44">27.5+9.2*LOG10(C157)</f>
        <v>40.668546630262682</v>
      </c>
      <c r="I157" s="10">
        <f t="shared" ref="I157:I220" si="45">IF(D157="Areias",101.3*0.47*(G157)^0.8,101.3*0.15*(G157))</f>
        <v>1574.163202482463</v>
      </c>
      <c r="J157" s="8">
        <f t="shared" ref="J157:J220" si="46">J156+(B156-A156)/2*F156+(B157-A157)/2*F157</f>
        <v>873.45000000006121</v>
      </c>
      <c r="K157" s="8">
        <f t="shared" ref="K157:K220" si="47">(1-SIN(RADIANS(H157)))*(I157/J157)^SIN(RADIANS(H157))*TAN(RADIANS(H157))</f>
        <v>0.43930725039351032</v>
      </c>
      <c r="L157" s="8">
        <f t="shared" ref="L157:L220" si="48">K157*J157</f>
        <v>383.71291785623851</v>
      </c>
      <c r="M157" s="8">
        <f t="shared" ref="M157:M220" si="49">0.59*(G157*101.3/J157)^0.8*J157</f>
        <v>3040.3923464163263</v>
      </c>
      <c r="N157" s="8">
        <f>$L157*'TABELA AUXILIAR'!$I$3*(B157-A157)</f>
        <v>865.65634268380938</v>
      </c>
      <c r="O157" s="8">
        <f>$L157*'TABELA AUXILIAR'!$I$4*(B157-A157)</f>
        <v>939.32922291221871</v>
      </c>
      <c r="P157" s="8">
        <f>$L157*'TABELA AUXILIAR'!$I$5*(B157-A157)</f>
        <v>1084.3727058618995</v>
      </c>
      <c r="Q157" s="8">
        <f>$M157*'TABELA AUXILIAR'!$J$3+SUM(N$2:N157)</f>
        <v>97408.864794564885</v>
      </c>
      <c r="R157" s="8">
        <f>$M157*'TABELA AUXILIAR'!$J$4+SUM(O$2:O157)</f>
        <v>105984.26031426612</v>
      </c>
      <c r="S157" s="8">
        <f>$M157*'TABELA AUXILIAR'!$J$5+SUM(P$2:P157)</f>
        <v>123067.54611401963</v>
      </c>
      <c r="T157" s="10">
        <f t="shared" ref="T157:T220" si="50">ROUNDDOWN(Q157/2,0)</f>
        <v>48704</v>
      </c>
      <c r="U157" s="10">
        <f t="shared" ref="U157:U220" si="51">ROUNDDOWN(R157/2,0)</f>
        <v>52992</v>
      </c>
      <c r="V157" s="10">
        <f t="shared" ref="V157:V220" si="52">ROUNDDOWN(S157/2,0)</f>
        <v>61533</v>
      </c>
    </row>
    <row r="158" spans="1:22" x14ac:dyDescent="0.25">
      <c r="A158" s="8">
        <v>93.6</v>
      </c>
      <c r="B158" s="8">
        <v>94.200000000000102</v>
      </c>
      <c r="C158" s="8">
        <f t="shared" si="42"/>
        <v>27</v>
      </c>
      <c r="D158" s="8" t="s">
        <v>18</v>
      </c>
      <c r="E158" s="8" t="s">
        <v>8</v>
      </c>
      <c r="F158" s="8" cm="1">
        <f t="array" ref="F158">_xlfn.XLOOKUP(D158,'TABELA AUXILIAR'!$A$2:$A$5,IF('SPT-01'!A158&lt;3,'TABELA AUXILIAR'!$B$2:$B$5,'TABELA AUXILIAR'!$C$2:$C$5),"",0,1)</f>
        <v>8.5</v>
      </c>
      <c r="G158" s="9">
        <f t="shared" si="43"/>
        <v>79.513758611262247</v>
      </c>
      <c r="H158" s="10">
        <f t="shared" si="44"/>
        <v>40.668546630262682</v>
      </c>
      <c r="I158" s="10">
        <f t="shared" si="45"/>
        <v>1577.8333441556385</v>
      </c>
      <c r="J158" s="8">
        <f t="shared" si="46"/>
        <v>878.55000000006203</v>
      </c>
      <c r="K158" s="8">
        <f t="shared" si="47"/>
        <v>0.43830833548606879</v>
      </c>
      <c r="L158" s="8">
        <f t="shared" si="48"/>
        <v>385.0757881413129</v>
      </c>
      <c r="M158" s="8">
        <f t="shared" si="49"/>
        <v>3051.0314963332121</v>
      </c>
      <c r="N158" s="8">
        <f>$L158*'TABELA AUXILIAR'!$I$3*(B158-A158)</f>
        <v>868.73097804695828</v>
      </c>
      <c r="O158" s="8">
        <f>$L158*'TABELA AUXILIAR'!$I$4*(B158-A158)</f>
        <v>942.66552937010363</v>
      </c>
      <c r="P158" s="8">
        <f>$L158*'TABELA AUXILIAR'!$I$5*(B158-A158)</f>
        <v>1088.2241772875461</v>
      </c>
      <c r="Q158" s="8">
        <f>$M158*'TABELA AUXILIAR'!$J$3+SUM(N$2:N158)</f>
        <v>98289.61801201792</v>
      </c>
      <c r="R158" s="8">
        <f>$M158*'TABELA AUXILIAR'!$J$4+SUM(O$2:O158)</f>
        <v>106940.96952152652</v>
      </c>
      <c r="S158" s="8">
        <f>$M158*'TABELA AUXILIAR'!$J$5+SUM(P$2:P158)</f>
        <v>124174.49519516088</v>
      </c>
      <c r="T158" s="10">
        <f t="shared" si="50"/>
        <v>49144</v>
      </c>
      <c r="U158" s="10">
        <f t="shared" si="51"/>
        <v>53470</v>
      </c>
      <c r="V158" s="10">
        <f t="shared" si="52"/>
        <v>62087</v>
      </c>
    </row>
    <row r="159" spans="1:22" x14ac:dyDescent="0.25">
      <c r="A159" s="8">
        <v>94.2</v>
      </c>
      <c r="B159" s="8">
        <v>94.800000000000097</v>
      </c>
      <c r="C159" s="8">
        <f t="shared" si="42"/>
        <v>27</v>
      </c>
      <c r="D159" s="8" t="s">
        <v>18</v>
      </c>
      <c r="E159" s="8" t="s">
        <v>8</v>
      </c>
      <c r="F159" s="8" cm="1">
        <f t="array" ref="F159">_xlfn.XLOOKUP(D159,'TABELA AUXILIAR'!$A$2:$A$5,IF('SPT-01'!A159&lt;3,'TABELA AUXILIAR'!$B$2:$B$5,'TABELA AUXILIAR'!$C$2:$C$5),"",0,1)</f>
        <v>8.5</v>
      </c>
      <c r="G159" s="9">
        <f t="shared" si="43"/>
        <v>79.744214110536362</v>
      </c>
      <c r="H159" s="10">
        <f t="shared" si="44"/>
        <v>40.668546630262682</v>
      </c>
      <c r="I159" s="10">
        <f t="shared" si="45"/>
        <v>1581.4907248252193</v>
      </c>
      <c r="J159" s="8">
        <f t="shared" si="46"/>
        <v>883.65000000006285</v>
      </c>
      <c r="K159" s="8">
        <f t="shared" si="47"/>
        <v>0.43731745425036506</v>
      </c>
      <c r="L159" s="8">
        <f t="shared" si="48"/>
        <v>386.43556844836257</v>
      </c>
      <c r="M159" s="8">
        <f t="shared" si="49"/>
        <v>3061.6459705537936</v>
      </c>
      <c r="N159" s="8">
        <f>$L159*'TABELA AUXILIAR'!$I$3*(B159-A159)</f>
        <v>871.79864241964219</v>
      </c>
      <c r="O159" s="8">
        <f>$L159*'TABELA AUXILIAR'!$I$4*(B159-A159)</f>
        <v>945.99427156173942</v>
      </c>
      <c r="P159" s="8">
        <f>$L159*'TABELA AUXILIAR'!$I$5*(B159-A159)</f>
        <v>1092.0669164352432</v>
      </c>
      <c r="Q159" s="8">
        <f>$M159*'TABELA AUXILIAR'!$J$3+SUM(N$2:N159)</f>
        <v>99173.411010306823</v>
      </c>
      <c r="R159" s="8">
        <f>$M159*'TABELA AUXILIAR'!$J$4+SUM(O$2:O159)</f>
        <v>107900.97489905942</v>
      </c>
      <c r="S159" s="8">
        <f>$M159*'TABELA AUXILIAR'!$J$5+SUM(P$2:P159)</f>
        <v>125285.24358622436</v>
      </c>
      <c r="T159" s="10">
        <f t="shared" si="50"/>
        <v>49586</v>
      </c>
      <c r="U159" s="10">
        <f t="shared" si="51"/>
        <v>53950</v>
      </c>
      <c r="V159" s="10">
        <f t="shared" si="52"/>
        <v>62642</v>
      </c>
    </row>
    <row r="160" spans="1:22" x14ac:dyDescent="0.25">
      <c r="A160" s="8">
        <v>94.8</v>
      </c>
      <c r="B160" s="8">
        <v>95.400000000000105</v>
      </c>
      <c r="C160" s="8">
        <f t="shared" si="42"/>
        <v>27</v>
      </c>
      <c r="D160" s="8" t="s">
        <v>18</v>
      </c>
      <c r="E160" s="8" t="s">
        <v>8</v>
      </c>
      <c r="F160" s="8" cm="1">
        <f t="array" ref="F160">_xlfn.XLOOKUP(D160,'TABELA AUXILIAR'!$A$2:$A$5,IF('SPT-01'!A160&lt;3,'TABELA AUXILIAR'!$B$2:$B$5,'TABELA AUXILIAR'!$C$2:$C$5),"",0,1)</f>
        <v>8.5</v>
      </c>
      <c r="G160" s="9">
        <f t="shared" si="43"/>
        <v>79.97400552507078</v>
      </c>
      <c r="H160" s="10">
        <f t="shared" si="44"/>
        <v>40.668546630262682</v>
      </c>
      <c r="I160" s="10">
        <f t="shared" si="45"/>
        <v>1585.1354621292487</v>
      </c>
      <c r="J160" s="8">
        <f t="shared" si="46"/>
        <v>888.75000000006366</v>
      </c>
      <c r="K160" s="8">
        <f t="shared" si="47"/>
        <v>0.43633449626635784</v>
      </c>
      <c r="L160" s="8">
        <f t="shared" si="48"/>
        <v>387.79228355675332</v>
      </c>
      <c r="M160" s="8">
        <f t="shared" si="49"/>
        <v>3072.2359682329552</v>
      </c>
      <c r="N160" s="8">
        <f>$L160*'TABELA AUXILIAR'!$I$3*(B160-A160)</f>
        <v>874.85939170419294</v>
      </c>
      <c r="O160" s="8">
        <f>$L160*'TABELA AUXILIAR'!$I$4*(B160-A160)</f>
        <v>949.31551014710305</v>
      </c>
      <c r="P160" s="8">
        <f>$L160*'TABELA AUXILIAR'!$I$5*(B160-A160)</f>
        <v>1095.9009933315822</v>
      </c>
      <c r="Q160" s="8">
        <f>$M160*'TABELA AUXILIAR'!$J$3+SUM(N$2:N160)</f>
        <v>100060.23709938845</v>
      </c>
      <c r="R160" s="8">
        <f>$M160*'TABELA AUXILIAR'!$J$4+SUM(O$2:O160)</f>
        <v>108864.26920614303</v>
      </c>
      <c r="S160" s="8">
        <f>$M160*'TABELA AUXILIAR'!$J$5+SUM(P$2:P160)</f>
        <v>126399.78297547126</v>
      </c>
      <c r="T160" s="10">
        <f t="shared" si="50"/>
        <v>50030</v>
      </c>
      <c r="U160" s="10">
        <f t="shared" si="51"/>
        <v>54432</v>
      </c>
      <c r="V160" s="10">
        <f t="shared" si="52"/>
        <v>63199</v>
      </c>
    </row>
    <row r="161" spans="1:22" x14ac:dyDescent="0.25">
      <c r="A161" s="8">
        <v>95.4</v>
      </c>
      <c r="B161" s="8">
        <v>96.000000000000099</v>
      </c>
      <c r="C161" s="8">
        <f t="shared" si="42"/>
        <v>27</v>
      </c>
      <c r="D161" s="8" t="s">
        <v>18</v>
      </c>
      <c r="E161" s="8" t="s">
        <v>8</v>
      </c>
      <c r="F161" s="8" cm="1">
        <f t="array" ref="F161">_xlfn.XLOOKUP(D161,'TABELA AUXILIAR'!$A$2:$A$5,IF('SPT-01'!A161&lt;3,'TABELA AUXILIAR'!$B$2:$B$5,'TABELA AUXILIAR'!$C$2:$C$5),"",0,1)</f>
        <v>8.5</v>
      </c>
      <c r="G161" s="9">
        <f t="shared" si="43"/>
        <v>80.203138562908094</v>
      </c>
      <c r="H161" s="10">
        <f t="shared" si="44"/>
        <v>40.668546630262682</v>
      </c>
      <c r="I161" s="10">
        <f t="shared" si="45"/>
        <v>1588.7676719536216</v>
      </c>
      <c r="J161" s="8">
        <f t="shared" si="46"/>
        <v>893.85000000006448</v>
      </c>
      <c r="K161" s="8">
        <f t="shared" si="47"/>
        <v>0.43535935325413927</v>
      </c>
      <c r="L161" s="8">
        <f t="shared" si="48"/>
        <v>389.14595790624048</v>
      </c>
      <c r="M161" s="8">
        <f t="shared" si="49"/>
        <v>3082.8016857858956</v>
      </c>
      <c r="N161" s="8">
        <f>$L161*'TABELA AUXILIAR'!$I$3*(B161-A161)</f>
        <v>877.91328103661567</v>
      </c>
      <c r="O161" s="8">
        <f>$L161*'TABELA AUXILIAR'!$I$4*(B161-A161)</f>
        <v>952.62930495462558</v>
      </c>
      <c r="P161" s="8">
        <f>$L161*'TABELA AUXILIAR'!$I$5*(B161-A161)</f>
        <v>1099.7264770432075</v>
      </c>
      <c r="Q161" s="8">
        <f>$M161*'TABELA AUXILIAR'!$J$3+SUM(N$2:N161)</f>
        <v>100950.0896412599</v>
      </c>
      <c r="R161" s="8">
        <f>$M161*'TABELA AUXILIAR'!$J$4+SUM(O$2:O161)</f>
        <v>109830.84525826752</v>
      </c>
      <c r="S161" s="8">
        <f>$M161*'TABELA AUXILIAR'!$J$5+SUM(P$2:P161)</f>
        <v>127518.10511540764</v>
      </c>
      <c r="T161" s="10">
        <f t="shared" si="50"/>
        <v>50475</v>
      </c>
      <c r="U161" s="10">
        <f t="shared" si="51"/>
        <v>54915</v>
      </c>
      <c r="V161" s="10">
        <f t="shared" si="52"/>
        <v>63759</v>
      </c>
    </row>
    <row r="162" spans="1:22" x14ac:dyDescent="0.25">
      <c r="A162" s="8">
        <v>96</v>
      </c>
      <c r="B162" s="8">
        <v>96.600000000000094</v>
      </c>
      <c r="C162" s="8">
        <f t="shared" si="42"/>
        <v>27</v>
      </c>
      <c r="D162" s="8" t="s">
        <v>18</v>
      </c>
      <c r="E162" s="8" t="s">
        <v>8</v>
      </c>
      <c r="F162" s="8" cm="1">
        <f t="array" ref="F162">_xlfn.XLOOKUP(D162,'TABELA AUXILIAR'!$A$2:$A$5,IF('SPT-01'!A162&lt;3,'TABELA AUXILIAR'!$B$2:$B$5,'TABELA AUXILIAR'!$C$2:$C$5),"",0,1)</f>
        <v>8.5</v>
      </c>
      <c r="G162" s="9">
        <f t="shared" si="43"/>
        <v>80.431618850785426</v>
      </c>
      <c r="H162" s="10">
        <f t="shared" si="44"/>
        <v>40.668546630262682</v>
      </c>
      <c r="I162" s="10">
        <f t="shared" si="45"/>
        <v>1592.3874684680163</v>
      </c>
      <c r="J162" s="8">
        <f t="shared" si="46"/>
        <v>898.9500000000653</v>
      </c>
      <c r="K162" s="8">
        <f t="shared" si="47"/>
        <v>0.43439191902052821</v>
      </c>
      <c r="L162" s="8">
        <f t="shared" si="48"/>
        <v>390.49661560353218</v>
      </c>
      <c r="M162" s="8">
        <f t="shared" si="49"/>
        <v>3093.3433169412133</v>
      </c>
      <c r="N162" s="8">
        <f>$L162*'TABELA AUXILIAR'!$I$3*(B162-A162)</f>
        <v>880.96036480170619</v>
      </c>
      <c r="O162" s="8">
        <f>$L162*'TABELA AUXILIAR'!$I$4*(B162-A162)</f>
        <v>955.93571499759628</v>
      </c>
      <c r="P162" s="8">
        <f>$L162*'TABELA AUXILIAR'!$I$5*(B162-A162)</f>
        <v>1103.5434356957544</v>
      </c>
      <c r="Q162" s="8">
        <f>$M162*'TABELA AUXILIAR'!$J$3+SUM(N$2:N162)</f>
        <v>101842.96204926711</v>
      </c>
      <c r="R162" s="8">
        <f>$M162*'TABELA AUXILIAR'!$J$4+SUM(O$2:O162)</f>
        <v>110800.69592639015</v>
      </c>
      <c r="S162" s="8">
        <f>$M162*'TABELA AUXILIAR'!$J$5+SUM(P$2:P162)</f>
        <v>128640.20182193676</v>
      </c>
      <c r="T162" s="10">
        <f t="shared" si="50"/>
        <v>50921</v>
      </c>
      <c r="U162" s="10">
        <f t="shared" si="51"/>
        <v>55400</v>
      </c>
      <c r="V162" s="10">
        <f t="shared" si="52"/>
        <v>64320</v>
      </c>
    </row>
    <row r="163" spans="1:22" x14ac:dyDescent="0.25">
      <c r="A163" s="8">
        <v>96.6</v>
      </c>
      <c r="B163" s="8">
        <v>97.200000000000102</v>
      </c>
      <c r="C163" s="8">
        <f t="shared" si="42"/>
        <v>27</v>
      </c>
      <c r="D163" s="8" t="s">
        <v>18</v>
      </c>
      <c r="E163" s="8" t="s">
        <v>8</v>
      </c>
      <c r="F163" s="8" cm="1">
        <f t="array" ref="F163">_xlfn.XLOOKUP(D163,'TABELA AUXILIAR'!$A$2:$A$5,IF('SPT-01'!A163&lt;3,'TABELA AUXILIAR'!$B$2:$B$5,'TABELA AUXILIAR'!$C$2:$C$5),"",0,1)</f>
        <v>8.5</v>
      </c>
      <c r="G163" s="9">
        <f t="shared" si="43"/>
        <v>80.659451935746546</v>
      </c>
      <c r="H163" s="10">
        <f t="shared" si="44"/>
        <v>40.668546630262682</v>
      </c>
      <c r="I163" s="10">
        <f t="shared" si="45"/>
        <v>1595.9949641608812</v>
      </c>
      <c r="J163" s="8">
        <f t="shared" si="46"/>
        <v>904.05000000006612</v>
      </c>
      <c r="K163" s="8">
        <f t="shared" si="47"/>
        <v>0.43343208940729011</v>
      </c>
      <c r="L163" s="8">
        <f t="shared" si="48"/>
        <v>391.84428042868927</v>
      </c>
      <c r="M163" s="8">
        <f t="shared" si="49"/>
        <v>3103.8610527926708</v>
      </c>
      <c r="N163" s="8">
        <f>$L163*'TABELA AUXILIAR'!$I$3*(B163-A163)</f>
        <v>884.0006966472821</v>
      </c>
      <c r="O163" s="8">
        <f>$L163*'TABELA AUXILIAR'!$I$4*(B163-A163)</f>
        <v>959.23479848960392</v>
      </c>
      <c r="P163" s="8">
        <f>$L163*'TABELA AUXILIAR'!$I$5*(B163-A163)</f>
        <v>1107.3519364916751</v>
      </c>
      <c r="Q163" s="8">
        <f>$M163*'TABELA AUXILIAR'!$J$3+SUM(N$2:N163)</f>
        <v>102738.84778742655</v>
      </c>
      <c r="R163" s="8">
        <f>$M163*'TABELA AUXILIAR'!$J$4+SUM(O$2:O163)</f>
        <v>111773.81413620367</v>
      </c>
      <c r="S163" s="8">
        <f>$M163*'TABELA AUXILIAR'!$J$5+SUM(P$2:P163)</f>
        <v>129766.064973527</v>
      </c>
      <c r="T163" s="10">
        <f t="shared" si="50"/>
        <v>51369</v>
      </c>
      <c r="U163" s="10">
        <f t="shared" si="51"/>
        <v>55886</v>
      </c>
      <c r="V163" s="10">
        <f t="shared" si="52"/>
        <v>64883</v>
      </c>
    </row>
    <row r="164" spans="1:22" x14ac:dyDescent="0.25">
      <c r="A164" s="8">
        <v>97.2</v>
      </c>
      <c r="B164" s="8">
        <v>97.800000000000097</v>
      </c>
      <c r="C164" s="8">
        <f t="shared" si="42"/>
        <v>27</v>
      </c>
      <c r="D164" s="8" t="s">
        <v>18</v>
      </c>
      <c r="E164" s="8" t="s">
        <v>8</v>
      </c>
      <c r="F164" s="8" cm="1">
        <f t="array" ref="F164">_xlfn.XLOOKUP(D164,'TABELA AUXILIAR'!$A$2:$A$5,IF('SPT-01'!A164&lt;3,'TABELA AUXILIAR'!$B$2:$B$5,'TABELA AUXILIAR'!$C$2:$C$5),"",0,1)</f>
        <v>8.5</v>
      </c>
      <c r="G164" s="9">
        <f t="shared" si="43"/>
        <v>80.886643286713237</v>
      </c>
      <c r="H164" s="10">
        <f t="shared" si="44"/>
        <v>40.668546630262682</v>
      </c>
      <c r="I164" s="10">
        <f t="shared" si="45"/>
        <v>1599.5902698735263</v>
      </c>
      <c r="J164" s="8">
        <f t="shared" si="46"/>
        <v>909.15000000006694</v>
      </c>
      <c r="K164" s="8">
        <f t="shared" si="47"/>
        <v>0.43247976224092632</v>
      </c>
      <c r="L164" s="8">
        <f t="shared" si="48"/>
        <v>393.1889758413671</v>
      </c>
      <c r="M164" s="8">
        <f t="shared" si="49"/>
        <v>3114.3550818496742</v>
      </c>
      <c r="N164" s="8">
        <f>$L164*'TABELA AUXILIAR'!$I$3*(B164-A164)</f>
        <v>887.03432949826288</v>
      </c>
      <c r="O164" s="8">
        <f>$L164*'TABELA AUXILIAR'!$I$4*(B164-A164)</f>
        <v>962.52661285981708</v>
      </c>
      <c r="P164" s="8">
        <f>$L164*'TABELA AUXILIAR'!$I$5*(B164-A164)</f>
        <v>1111.1520457278771</v>
      </c>
      <c r="Q164" s="8">
        <f>$M164*'TABELA AUXILIAR'!$J$3+SUM(N$2:N164)</f>
        <v>103637.74036975922</v>
      </c>
      <c r="R164" s="8">
        <f>$M164*'TABELA AUXILIAR'!$J$4+SUM(O$2:O164)</f>
        <v>112750.19286741874</v>
      </c>
      <c r="S164" s="8">
        <f>$M164*'TABELA AUXILIAR'!$J$5+SUM(P$2:P164)</f>
        <v>130895.6865103952</v>
      </c>
      <c r="T164" s="10">
        <f t="shared" si="50"/>
        <v>51818</v>
      </c>
      <c r="U164" s="10">
        <f t="shared" si="51"/>
        <v>56375</v>
      </c>
      <c r="V164" s="10">
        <f t="shared" si="52"/>
        <v>65447</v>
      </c>
    </row>
    <row r="165" spans="1:22" x14ac:dyDescent="0.25">
      <c r="A165" s="8">
        <v>97.8</v>
      </c>
      <c r="B165" s="8">
        <v>98.400000000000105</v>
      </c>
      <c r="C165" s="8">
        <f t="shared" si="42"/>
        <v>27</v>
      </c>
      <c r="D165" s="8" t="s">
        <v>18</v>
      </c>
      <c r="E165" s="8" t="s">
        <v>8</v>
      </c>
      <c r="F165" s="8" cm="1">
        <f t="array" ref="F165">_xlfn.XLOOKUP(D165,'TABELA AUXILIAR'!$A$2:$A$5,IF('SPT-01'!A165&lt;3,'TABELA AUXILIAR'!$B$2:$B$5,'TABELA AUXILIAR'!$C$2:$C$5),"",0,1)</f>
        <v>8.5</v>
      </c>
      <c r="G165" s="9">
        <f t="shared" si="43"/>
        <v>81.113198296017018</v>
      </c>
      <c r="H165" s="10">
        <f t="shared" si="44"/>
        <v>40.668546630262682</v>
      </c>
      <c r="I165" s="10">
        <f t="shared" si="45"/>
        <v>1603.173494833331</v>
      </c>
      <c r="J165" s="8">
        <f t="shared" si="46"/>
        <v>914.25000000006776</v>
      </c>
      <c r="K165" s="8">
        <f t="shared" si="47"/>
        <v>0.43153483728397651</v>
      </c>
      <c r="L165" s="8">
        <f t="shared" si="48"/>
        <v>394.53072498690477</v>
      </c>
      <c r="M165" s="8">
        <f t="shared" si="49"/>
        <v>3124.8255900865156</v>
      </c>
      <c r="N165" s="8">
        <f>$L165*'TABELA AUXILIAR'!$I$3*(B165-A165)</f>
        <v>890.06131557061724</v>
      </c>
      <c r="O165" s="8">
        <f>$L165*'TABELA AUXILIAR'!$I$4*(B165-A165)</f>
        <v>965.81121476811677</v>
      </c>
      <c r="P165" s="8">
        <f>$L165*'TABELA AUXILIAR'!$I$5*(B165-A165)</f>
        <v>1114.9438288131937</v>
      </c>
      <c r="Q165" s="8">
        <f>$M165*'TABELA AUXILIAR'!$J$3+SUM(N$2:N165)</f>
        <v>104539.63335963748</v>
      </c>
      <c r="R165" s="8">
        <f>$M165*'TABELA AUXILIAR'!$J$4+SUM(O$2:O165)</f>
        <v>113729.82515305947</v>
      </c>
      <c r="S165" s="8">
        <f>$M165*'TABELA AUXILIAR'!$J$5+SUM(P$2:P165)</f>
        <v>132029.05843370524</v>
      </c>
      <c r="T165" s="10">
        <f t="shared" si="50"/>
        <v>52269</v>
      </c>
      <c r="U165" s="10">
        <f t="shared" si="51"/>
        <v>56864</v>
      </c>
      <c r="V165" s="10">
        <f t="shared" si="52"/>
        <v>66014</v>
      </c>
    </row>
    <row r="166" spans="1:22" x14ac:dyDescent="0.25">
      <c r="A166" s="8">
        <v>98.4</v>
      </c>
      <c r="B166" s="8">
        <v>99.000000000000099</v>
      </c>
      <c r="C166" s="8">
        <f t="shared" si="42"/>
        <v>27</v>
      </c>
      <c r="D166" s="8" t="s">
        <v>18</v>
      </c>
      <c r="E166" s="8" t="s">
        <v>8</v>
      </c>
      <c r="F166" s="8" cm="1">
        <f t="array" ref="F166">_xlfn.XLOOKUP(D166,'TABELA AUXILIAR'!$A$2:$A$5,IF('SPT-01'!A166&lt;3,'TABELA AUXILIAR'!$B$2:$B$5,'TABELA AUXILIAR'!$C$2:$C$5),"",0,1)</f>
        <v>8.5</v>
      </c>
      <c r="G166" s="9">
        <f t="shared" si="43"/>
        <v>81.339122280892369</v>
      </c>
      <c r="H166" s="10">
        <f t="shared" si="44"/>
        <v>40.668546630262682</v>
      </c>
      <c r="I166" s="10">
        <f t="shared" si="45"/>
        <v>1606.7447466860992</v>
      </c>
      <c r="J166" s="8">
        <f t="shared" si="46"/>
        <v>919.35000000006858</v>
      </c>
      <c r="K166" s="8">
        <f t="shared" si="47"/>
        <v>0.43059721618777802</v>
      </c>
      <c r="L166" s="8">
        <f t="shared" si="48"/>
        <v>395.86955070226327</v>
      </c>
      <c r="M166" s="8">
        <f t="shared" si="49"/>
        <v>3135.2727609903959</v>
      </c>
      <c r="N166" s="8">
        <f>$L166*'TABELA AUXILIAR'!$I$3*(B166-A166)</f>
        <v>893.0817063844454</v>
      </c>
      <c r="O166" s="8">
        <f>$L166*'TABELA AUXILIAR'!$I$4*(B166-A166)</f>
        <v>969.08866011929194</v>
      </c>
      <c r="P166" s="8">
        <f>$L166*'TABELA AUXILIAR'!$I$5*(B166-A166)</f>
        <v>1118.7273502847709</v>
      </c>
      <c r="Q166" s="8">
        <f>$M166*'TABELA AUXILIAR'!$J$3+SUM(N$2:N166)</f>
        <v>105444.5203691433</v>
      </c>
      <c r="R166" s="8">
        <f>$M166*'TABELA AUXILIAR'!$J$4+SUM(O$2:O166)</f>
        <v>114712.70407877189</v>
      </c>
      <c r="S166" s="8">
        <f>$M166*'TABELA AUXILIAR'!$J$5+SUM(P$2:P166)</f>
        <v>133166.17280478083</v>
      </c>
      <c r="T166" s="10">
        <f t="shared" si="50"/>
        <v>52722</v>
      </c>
      <c r="U166" s="10">
        <f t="shared" si="51"/>
        <v>57356</v>
      </c>
      <c r="V166" s="10">
        <f t="shared" si="52"/>
        <v>66583</v>
      </c>
    </row>
    <row r="167" spans="1:22" x14ac:dyDescent="0.25">
      <c r="A167" s="8">
        <v>99</v>
      </c>
      <c r="B167" s="8">
        <v>99.600000000000094</v>
      </c>
      <c r="C167" s="8">
        <f t="shared" si="42"/>
        <v>27</v>
      </c>
      <c r="D167" s="8" t="s">
        <v>18</v>
      </c>
      <c r="E167" s="8" t="s">
        <v>8</v>
      </c>
      <c r="F167" s="8" cm="1">
        <f t="array" ref="F167">_xlfn.XLOOKUP(D167,'TABELA AUXILIAR'!$A$2:$A$5,IF('SPT-01'!A167&lt;3,'TABELA AUXILIAR'!$B$2:$B$5,'TABELA AUXILIAR'!$C$2:$C$5),"",0,1)</f>
        <v>8.5</v>
      </c>
      <c r="G167" s="9">
        <f t="shared" si="43"/>
        <v>81.564420484932938</v>
      </c>
      <c r="H167" s="10">
        <f t="shared" si="44"/>
        <v>40.668546630262682</v>
      </c>
      <c r="I167" s="10">
        <f t="shared" si="45"/>
        <v>1610.3041315275939</v>
      </c>
      <c r="J167" s="8">
        <f t="shared" si="46"/>
        <v>924.45000000006939</v>
      </c>
      <c r="K167" s="8">
        <f t="shared" si="47"/>
        <v>0.42966680244663419</v>
      </c>
      <c r="L167" s="8">
        <f t="shared" si="48"/>
        <v>397.2054755218208</v>
      </c>
      <c r="M167" s="8">
        <f t="shared" si="49"/>
        <v>3145.6967756082868</v>
      </c>
      <c r="N167" s="8">
        <f>$L167*'TABELA AUXILIAR'!$I$3*(B167-A167)</f>
        <v>896.09555277736774</v>
      </c>
      <c r="O167" s="8">
        <f>$L167*'TABELA AUXILIAR'!$I$4*(B167-A167)</f>
        <v>972.35900407756935</v>
      </c>
      <c r="P167" s="8">
        <f>$L167*'TABELA AUXILIAR'!$I$5*(B167-A167)</f>
        <v>1122.5026738248412</v>
      </c>
      <c r="Q167" s="8">
        <f>$M167*'TABELA AUXILIAR'!$J$3+SUM(N$2:N167)</f>
        <v>106352.39505843888</v>
      </c>
      <c r="R167" s="8">
        <f>$M167*'TABELA AUXILIAR'!$J$4+SUM(O$2:O167)</f>
        <v>115698.82278214509</v>
      </c>
      <c r="S167" s="8">
        <f>$M167*'TABELA AUXILIAR'!$J$5+SUM(P$2:P167)</f>
        <v>134307.02174433315</v>
      </c>
      <c r="T167" s="10">
        <f t="shared" si="50"/>
        <v>53176</v>
      </c>
      <c r="U167" s="10">
        <f t="shared" si="51"/>
        <v>57849</v>
      </c>
      <c r="V167" s="10">
        <f t="shared" si="52"/>
        <v>67153</v>
      </c>
    </row>
    <row r="168" spans="1:22" x14ac:dyDescent="0.25">
      <c r="A168" s="8">
        <v>99.6</v>
      </c>
      <c r="B168" s="8">
        <v>100.2</v>
      </c>
      <c r="C168" s="8">
        <f t="shared" si="42"/>
        <v>27</v>
      </c>
      <c r="D168" s="8" t="s">
        <v>18</v>
      </c>
      <c r="E168" s="8" t="s">
        <v>8</v>
      </c>
      <c r="F168" s="8" cm="1">
        <f t="array" ref="F168">_xlfn.XLOOKUP(D168,'TABELA AUXILIAR'!$A$2:$A$5,IF('SPT-01'!A168&lt;3,'TABELA AUXILIAR'!$B$2:$B$5,'TABELA AUXILIAR'!$C$2:$C$5),"",0,1)</f>
        <v>8.5</v>
      </c>
      <c r="G168" s="9">
        <f t="shared" si="43"/>
        <v>81.789098079511362</v>
      </c>
      <c r="H168" s="10">
        <f t="shared" si="44"/>
        <v>40.668546630262682</v>
      </c>
      <c r="I168" s="10">
        <f t="shared" si="45"/>
        <v>1613.8517539342722</v>
      </c>
      <c r="J168" s="8">
        <f t="shared" si="46"/>
        <v>929.55000000006987</v>
      </c>
      <c r="K168" s="8">
        <f t="shared" si="47"/>
        <v>0.42874350135334077</v>
      </c>
      <c r="L168" s="8">
        <f t="shared" si="48"/>
        <v>398.53852168302785</v>
      </c>
      <c r="M168" s="8">
        <f t="shared" si="49"/>
        <v>3156.0978125926504</v>
      </c>
      <c r="N168" s="8">
        <f>$L168*'TABELA AUXILIAR'!$I$3*(B168-A168)</f>
        <v>899.10290491692353</v>
      </c>
      <c r="O168" s="8">
        <f>$L168*'TABELA AUXILIAR'!$I$4*(B168-A168)</f>
        <v>975.62230108006611</v>
      </c>
      <c r="P168" s="8">
        <f>$L168*'TABELA AUXILIAR'!$I$5*(B168-A168)</f>
        <v>1126.2698622762528</v>
      </c>
      <c r="Q168" s="8">
        <f>$M168*'TABELA AUXILIAR'!$J$3+SUM(N$2:N168)</f>
        <v>107263.25113514814</v>
      </c>
      <c r="R168" s="8">
        <f>$M168*'TABELA AUXILIAR'!$J$4+SUM(O$2:O168)</f>
        <v>116688.17445204451</v>
      </c>
      <c r="S168" s="8">
        <f>$M168*'TABELA AUXILIAR'!$J$5+SUM(P$2:P168)</f>
        <v>135451.5974317019</v>
      </c>
      <c r="T168" s="10">
        <f t="shared" si="50"/>
        <v>53631</v>
      </c>
      <c r="U168" s="10">
        <f t="shared" si="51"/>
        <v>58344</v>
      </c>
      <c r="V168" s="10">
        <f t="shared" si="52"/>
        <v>67725</v>
      </c>
    </row>
    <row r="169" spans="1:22" x14ac:dyDescent="0.25">
      <c r="A169" s="8">
        <v>100.2</v>
      </c>
      <c r="B169" s="8">
        <v>100.8</v>
      </c>
      <c r="C169" s="8">
        <f t="shared" si="42"/>
        <v>27</v>
      </c>
      <c r="D169" s="8" t="s">
        <v>18</v>
      </c>
      <c r="E169" s="8" t="s">
        <v>8</v>
      </c>
      <c r="F169" s="8" cm="1">
        <f t="array" ref="F169">_xlfn.XLOOKUP(D169,'TABELA AUXILIAR'!$A$2:$A$5,IF('SPT-01'!A169&lt;3,'TABELA AUXILIAR'!$B$2:$B$5,'TABELA AUXILIAR'!$C$2:$C$5),"",0,1)</f>
        <v>8.5</v>
      </c>
      <c r="G169" s="9">
        <f t="shared" si="43"/>
        <v>82.013160165164408</v>
      </c>
      <c r="H169" s="10">
        <f t="shared" si="44"/>
        <v>40.668546630262682</v>
      </c>
      <c r="I169" s="10">
        <f t="shared" si="45"/>
        <v>1617.3877169932421</v>
      </c>
      <c r="J169" s="8">
        <f t="shared" si="46"/>
        <v>934.65000000006989</v>
      </c>
      <c r="K169" s="8">
        <f t="shared" si="47"/>
        <v>0.42782721995602069</v>
      </c>
      <c r="L169" s="8">
        <f t="shared" si="48"/>
        <v>399.86871113192461</v>
      </c>
      <c r="M169" s="8">
        <f t="shared" si="49"/>
        <v>3166.4760482460611</v>
      </c>
      <c r="N169" s="8">
        <f>$L169*'TABELA AUXILIAR'!$I$3*(B169-A169)</f>
        <v>902.10381231361328</v>
      </c>
      <c r="O169" s="8">
        <f>$L169*'TABELA AUXILIAR'!$I$4*(B169-A169)</f>
        <v>978.87860485094211</v>
      </c>
      <c r="P169" s="8">
        <f>$L169*'TABELA AUXILIAR'!$I$5*(B169-A169)</f>
        <v>1130.0289776588083</v>
      </c>
      <c r="Q169" s="8">
        <f>$M169*'TABELA AUXILIAR'!$J$3+SUM(N$2:N169)</f>
        <v>108177.0823537501</v>
      </c>
      <c r="R169" s="8">
        <f>$M169*'TABELA AUXILIAR'!$J$4+SUM(O$2:O169)</f>
        <v>117680.75232795793</v>
      </c>
      <c r="S169" s="8">
        <f>$M169*'TABELA AUXILIAR'!$J$5+SUM(P$2:P169)</f>
        <v>136599.89210411071</v>
      </c>
      <c r="T169" s="10">
        <f t="shared" si="50"/>
        <v>54088</v>
      </c>
      <c r="U169" s="10">
        <f t="shared" si="51"/>
        <v>58840</v>
      </c>
      <c r="V169" s="10">
        <f t="shared" si="52"/>
        <v>68299</v>
      </c>
    </row>
    <row r="170" spans="1:22" x14ac:dyDescent="0.25">
      <c r="A170" s="8">
        <v>100.8</v>
      </c>
      <c r="B170" s="8">
        <v>101.4</v>
      </c>
      <c r="C170" s="8">
        <f t="shared" si="42"/>
        <v>27</v>
      </c>
      <c r="D170" s="8" t="s">
        <v>18</v>
      </c>
      <c r="E170" s="8" t="s">
        <v>8</v>
      </c>
      <c r="F170" s="8" cm="1">
        <f t="array" ref="F170">_xlfn.XLOOKUP(D170,'TABELA AUXILIAR'!$A$2:$A$5,IF('SPT-01'!A170&lt;3,'TABELA AUXILIAR'!$B$2:$B$5,'TABELA AUXILIAR'!$C$2:$C$5),"",0,1)</f>
        <v>8.5</v>
      </c>
      <c r="G170" s="9">
        <f t="shared" si="43"/>
        <v>82.23661177294386</v>
      </c>
      <c r="H170" s="10">
        <f t="shared" si="44"/>
        <v>40.668546630262682</v>
      </c>
      <c r="I170" s="10">
        <f t="shared" si="45"/>
        <v>1620.9121223314753</v>
      </c>
      <c r="J170" s="8">
        <f t="shared" si="46"/>
        <v>939.75000000006992</v>
      </c>
      <c r="K170" s="8">
        <f t="shared" si="47"/>
        <v>0.42691786701622614</v>
      </c>
      <c r="L170" s="8">
        <f t="shared" si="48"/>
        <v>401.19606552852838</v>
      </c>
      <c r="M170" s="8">
        <f t="shared" si="49"/>
        <v>3176.8316565647528</v>
      </c>
      <c r="N170" s="8">
        <f>$L170*'TABELA AUXILIAR'!$I$3*(B170-A170)</f>
        <v>905.0983238323729</v>
      </c>
      <c r="O170" s="8">
        <f>$L170*'TABELA AUXILIAR'!$I$4*(B170-A170)</f>
        <v>982.12796841385148</v>
      </c>
      <c r="P170" s="8">
        <f>$L170*'TABELA AUXILIAR'!$I$5*(B170-A170)</f>
        <v>1133.7800811836373</v>
      </c>
      <c r="Q170" s="8">
        <f>$M170*'TABELA AUXILIAR'!$J$3+SUM(N$2:N170)</f>
        <v>109093.8825149826</v>
      </c>
      <c r="R170" s="8">
        <f>$M170*'TABELA AUXILIAR'!$J$4+SUM(O$2:O170)</f>
        <v>118676.54969935247</v>
      </c>
      <c r="S170" s="8">
        <f>$M170*'TABELA AUXILIAR'!$J$5+SUM(P$2:P170)</f>
        <v>137751.89805593525</v>
      </c>
      <c r="T170" s="10">
        <f t="shared" si="50"/>
        <v>54546</v>
      </c>
      <c r="U170" s="10">
        <f t="shared" si="51"/>
        <v>59338</v>
      </c>
      <c r="V170" s="10">
        <f t="shared" si="52"/>
        <v>68875</v>
      </c>
    </row>
    <row r="171" spans="1:22" x14ac:dyDescent="0.25">
      <c r="A171" s="8">
        <v>101.4</v>
      </c>
      <c r="B171" s="8">
        <v>102</v>
      </c>
      <c r="C171" s="8">
        <f t="shared" si="42"/>
        <v>27</v>
      </c>
      <c r="D171" s="8" t="s">
        <v>18</v>
      </c>
      <c r="E171" s="8" t="s">
        <v>8</v>
      </c>
      <c r="F171" s="8" cm="1">
        <f t="array" ref="F171">_xlfn.XLOOKUP(D171,'TABELA AUXILIAR'!$A$2:$A$5,IF('SPT-01'!A171&lt;3,'TABELA AUXILIAR'!$B$2:$B$5,'TABELA AUXILIAR'!$C$2:$C$5),"",0,1)</f>
        <v>8.5</v>
      </c>
      <c r="G171" s="9">
        <f t="shared" si="43"/>
        <v>82.459457865734649</v>
      </c>
      <c r="H171" s="10">
        <f t="shared" si="44"/>
        <v>40.668546630262682</v>
      </c>
      <c r="I171" s="10">
        <f t="shared" si="45"/>
        <v>1624.425070144285</v>
      </c>
      <c r="J171" s="8">
        <f t="shared" si="46"/>
        <v>944.85000000006994</v>
      </c>
      <c r="K171" s="8">
        <f t="shared" si="47"/>
        <v>0.42601535296826082</v>
      </c>
      <c r="L171" s="8">
        <f t="shared" si="48"/>
        <v>402.52060625209106</v>
      </c>
      <c r="M171" s="8">
        <f t="shared" si="49"/>
        <v>3187.1648092811347</v>
      </c>
      <c r="N171" s="8">
        <f>$L171*'TABELA AUXILIAR'!$I$3*(B171-A171)</f>
        <v>908.0864877047087</v>
      </c>
      <c r="O171" s="8">
        <f>$L171*'TABELA AUXILIAR'!$I$4*(B171-A171)</f>
        <v>985.37044410510953</v>
      </c>
      <c r="P171" s="8">
        <f>$L171*'TABELA AUXILIAR'!$I$5*(B171-A171)</f>
        <v>1137.5232332683986</v>
      </c>
      <c r="Q171" s="8">
        <f>$M171*'TABELA AUXILIAR'!$J$3+SUM(N$2:N171)</f>
        <v>110013.64546525682</v>
      </c>
      <c r="R171" s="8">
        <f>$M171*'TABELA AUXILIAR'!$J$4+SUM(O$2:O171)</f>
        <v>119675.55990504319</v>
      </c>
      <c r="S171" s="8">
        <f>$M171*'TABELA AUXILIAR'!$J$5+SUM(P$2:P171)</f>
        <v>138907.6076379845</v>
      </c>
      <c r="T171" s="10">
        <f t="shared" si="50"/>
        <v>55006</v>
      </c>
      <c r="U171" s="10">
        <f t="shared" si="51"/>
        <v>59837</v>
      </c>
      <c r="V171" s="10">
        <f t="shared" si="52"/>
        <v>69453</v>
      </c>
    </row>
    <row r="172" spans="1:22" x14ac:dyDescent="0.25">
      <c r="A172" s="8">
        <v>102</v>
      </c>
      <c r="B172" s="8">
        <v>102.6</v>
      </c>
      <c r="C172" s="8">
        <f t="shared" si="42"/>
        <v>27</v>
      </c>
      <c r="D172" s="8" t="s">
        <v>18</v>
      </c>
      <c r="E172" s="8" t="s">
        <v>8</v>
      </c>
      <c r="F172" s="8" cm="1">
        <f t="array" ref="F172">_xlfn.XLOOKUP(D172,'TABELA AUXILIAR'!$A$2:$A$5,IF('SPT-01'!A172&lt;3,'TABELA AUXILIAR'!$B$2:$B$5,'TABELA AUXILIAR'!$C$2:$C$5),"",0,1)</f>
        <v>8.5</v>
      </c>
      <c r="G172" s="9">
        <f t="shared" si="43"/>
        <v>82.681703339540888</v>
      </c>
      <c r="H172" s="10">
        <f t="shared" si="44"/>
        <v>40.668546630262682</v>
      </c>
      <c r="I172" s="10">
        <f t="shared" si="45"/>
        <v>1627.9266592231027</v>
      </c>
      <c r="J172" s="8">
        <f t="shared" si="46"/>
        <v>949.95000000006985</v>
      </c>
      <c r="K172" s="8">
        <f t="shared" si="47"/>
        <v>0.42511958987968157</v>
      </c>
      <c r="L172" s="8">
        <f t="shared" si="48"/>
        <v>403.8423544062332</v>
      </c>
      <c r="M172" s="8">
        <f t="shared" si="49"/>
        <v>3197.4756759052793</v>
      </c>
      <c r="N172" s="8">
        <f>$L172*'TABELA AUXILIAR'!$I$3*(B172-A172)</f>
        <v>911.06835154045336</v>
      </c>
      <c r="O172" s="8">
        <f>$L172*'TABELA AUXILIAR'!$I$4*(B172-A172)</f>
        <v>988.60608358644959</v>
      </c>
      <c r="P172" s="8">
        <f>$L172*'TABELA AUXILIAR'!$I$5*(B172-A172)</f>
        <v>1141.2584935520042</v>
      </c>
      <c r="Q172" s="8">
        <f>$M172*'TABELA AUXILIAR'!$J$3+SUM(N$2:N172)</f>
        <v>110936.36509608256</v>
      </c>
      <c r="R172" s="8">
        <f>$M172*'TABELA AUXILIAR'!$J$4+SUM(O$2:O172)</f>
        <v>120677.77633257351</v>
      </c>
      <c r="S172" s="8">
        <f>$M172*'TABELA AUXILIAR'!$J$5+SUM(P$2:P172)</f>
        <v>140067.01325679501</v>
      </c>
      <c r="T172" s="10">
        <f t="shared" si="50"/>
        <v>55468</v>
      </c>
      <c r="U172" s="10">
        <f t="shared" si="51"/>
        <v>60338</v>
      </c>
      <c r="V172" s="10">
        <f t="shared" si="52"/>
        <v>70033</v>
      </c>
    </row>
    <row r="173" spans="1:22" x14ac:dyDescent="0.25">
      <c r="A173" s="8">
        <v>102.6</v>
      </c>
      <c r="B173" s="8">
        <v>103.2</v>
      </c>
      <c r="C173" s="8">
        <f t="shared" si="42"/>
        <v>27</v>
      </c>
      <c r="D173" s="8" t="s">
        <v>18</v>
      </c>
      <c r="E173" s="8" t="s">
        <v>8</v>
      </c>
      <c r="F173" s="8" cm="1">
        <f t="array" ref="F173">_xlfn.XLOOKUP(D173,'TABELA AUXILIAR'!$A$2:$A$5,IF('SPT-01'!A173&lt;3,'TABELA AUXILIAR'!$B$2:$B$5,'TABELA AUXILIAR'!$C$2:$C$5),"",0,1)</f>
        <v>8.5</v>
      </c>
      <c r="G173" s="9">
        <f t="shared" si="43"/>
        <v>82.903353024740966</v>
      </c>
      <c r="H173" s="10">
        <f t="shared" si="44"/>
        <v>40.668546630262682</v>
      </c>
      <c r="I173" s="10">
        <f t="shared" si="45"/>
        <v>1631.4169869825664</v>
      </c>
      <c r="J173" s="8">
        <f t="shared" si="46"/>
        <v>955.05000000006987</v>
      </c>
      <c r="K173" s="8">
        <f t="shared" si="47"/>
        <v>0.42423049141293845</v>
      </c>
      <c r="L173" s="8">
        <f t="shared" si="48"/>
        <v>405.16133082395652</v>
      </c>
      <c r="M173" s="8">
        <f t="shared" si="49"/>
        <v>3207.7644237654658</v>
      </c>
      <c r="N173" s="8">
        <f>$L173*'TABELA AUXILIAR'!$I$3*(B173-A173)</f>
        <v>914.04396233885882</v>
      </c>
      <c r="O173" s="8">
        <f>$L173*'TABELA AUXILIAR'!$I$4*(B173-A173)</f>
        <v>991.83493785705969</v>
      </c>
      <c r="P173" s="8">
        <f>$L173*'TABELA AUXILIAR'!$I$5*(B173-A173)</f>
        <v>1144.9859209085173</v>
      </c>
      <c r="Q173" s="8">
        <f>$M173*'TABELA AUXILIAR'!$J$3+SUM(N$2:N173)</f>
        <v>111862.03534350342</v>
      </c>
      <c r="R173" s="8">
        <f>$M173*'TABELA AUXILIAR'!$J$4+SUM(O$2:O173)</f>
        <v>121683.19241760603</v>
      </c>
      <c r="S173" s="8">
        <f>$M173*'TABELA AUXILIAR'!$J$5+SUM(P$2:P173)</f>
        <v>141230.10737393744</v>
      </c>
      <c r="T173" s="10">
        <f t="shared" si="50"/>
        <v>55931</v>
      </c>
      <c r="U173" s="10">
        <f t="shared" si="51"/>
        <v>60841</v>
      </c>
      <c r="V173" s="10">
        <f t="shared" si="52"/>
        <v>70615</v>
      </c>
    </row>
    <row r="174" spans="1:22" x14ac:dyDescent="0.25">
      <c r="A174" s="8">
        <v>103.2</v>
      </c>
      <c r="B174" s="8">
        <v>103.8</v>
      </c>
      <c r="C174" s="8">
        <f t="shared" si="42"/>
        <v>27</v>
      </c>
      <c r="D174" s="8" t="s">
        <v>18</v>
      </c>
      <c r="E174" s="8" t="s">
        <v>8</v>
      </c>
      <c r="F174" s="8" cm="1">
        <f t="array" ref="F174">_xlfn.XLOOKUP(D174,'TABELA AUXILIAR'!$A$2:$A$5,IF('SPT-01'!A174&lt;3,'TABELA AUXILIAR'!$B$2:$B$5,'TABELA AUXILIAR'!$C$2:$C$5),"",0,1)</f>
        <v>8.5</v>
      </c>
      <c r="G174" s="9">
        <f t="shared" si="43"/>
        <v>83.124411687312445</v>
      </c>
      <c r="H174" s="10">
        <f t="shared" si="44"/>
        <v>40.668546630262682</v>
      </c>
      <c r="I174" s="10">
        <f t="shared" si="45"/>
        <v>1634.8961494869495</v>
      </c>
      <c r="J174" s="8">
        <f t="shared" si="46"/>
        <v>960.15000000006989</v>
      </c>
      <c r="K174" s="8">
        <f t="shared" si="47"/>
        <v>0.42334797278811653</v>
      </c>
      <c r="L174" s="8">
        <f t="shared" si="48"/>
        <v>406.4775560725397</v>
      </c>
      <c r="M174" s="8">
        <f t="shared" si="49"/>
        <v>3218.0312180477326</v>
      </c>
      <c r="N174" s="8">
        <f>$L174*'TABELA AUXILIAR'!$I$3*(B174-A174)</f>
        <v>917.01336649964082</v>
      </c>
      <c r="O174" s="8">
        <f>$L174*'TABELA AUXILIAR'!$I$4*(B174-A174)</f>
        <v>995.05705726556778</v>
      </c>
      <c r="P174" s="8">
        <f>$L174*'TABELA AUXILIAR'!$I$5*(B174-A174)</f>
        <v>1148.7055734609864</v>
      </c>
      <c r="Q174" s="8">
        <f>$M174*'TABELA AUXILIAR'!$J$3+SUM(N$2:N174)</f>
        <v>112790.65018754202</v>
      </c>
      <c r="R174" s="8">
        <f>$M174*'TABELA AUXILIAR'!$J$4+SUM(O$2:O174)</f>
        <v>122691.80164332419</v>
      </c>
      <c r="S174" s="8">
        <f>$M174*'TABELA AUXILIAR'!$J$5+SUM(P$2:P174)</f>
        <v>142396.88250533523</v>
      </c>
      <c r="T174" s="10">
        <f t="shared" si="50"/>
        <v>56395</v>
      </c>
      <c r="U174" s="10">
        <f t="shared" si="51"/>
        <v>61345</v>
      </c>
      <c r="V174" s="10">
        <f t="shared" si="52"/>
        <v>71198</v>
      </c>
    </row>
    <row r="175" spans="1:22" x14ac:dyDescent="0.25">
      <c r="A175" s="8">
        <v>103.8</v>
      </c>
      <c r="B175" s="8">
        <v>104.4</v>
      </c>
      <c r="C175" s="8">
        <f t="shared" si="42"/>
        <v>27</v>
      </c>
      <c r="D175" s="8" t="s">
        <v>18</v>
      </c>
      <c r="E175" s="8" t="s">
        <v>8</v>
      </c>
      <c r="F175" s="8" cm="1">
        <f t="array" ref="F175">_xlfn.XLOOKUP(D175,'TABELA AUXILIAR'!$A$2:$A$5,IF('SPT-01'!A175&lt;3,'TABELA AUXILIAR'!$B$2:$B$5,'TABELA AUXILIAR'!$C$2:$C$5),"",0,1)</f>
        <v>8.5</v>
      </c>
      <c r="G175" s="9">
        <f t="shared" si="43"/>
        <v>83.344884030027814</v>
      </c>
      <c r="H175" s="10">
        <f t="shared" si="44"/>
        <v>40.668546630262682</v>
      </c>
      <c r="I175" s="10">
        <f t="shared" si="45"/>
        <v>1638.3642414759395</v>
      </c>
      <c r="J175" s="8">
        <f t="shared" si="46"/>
        <v>965.25000000006992</v>
      </c>
      <c r="K175" s="8">
        <f t="shared" si="47"/>
        <v>0.42247195074673882</v>
      </c>
      <c r="L175" s="8">
        <f t="shared" si="48"/>
        <v>407.79105045831921</v>
      </c>
      <c r="M175" s="8">
        <f t="shared" si="49"/>
        <v>3228.2762218345356</v>
      </c>
      <c r="N175" s="8">
        <f>$L175*'TABELA AUXILIAR'!$I$3*(B175-A175)</f>
        <v>919.97660983398123</v>
      </c>
      <c r="O175" s="8">
        <f>$L175*'TABELA AUXILIAR'!$I$4*(B175-A175)</f>
        <v>998.27249152197965</v>
      </c>
      <c r="P175" s="8">
        <f>$L175*'TABELA AUXILIAR'!$I$5*(B175-A175)</f>
        <v>1152.4175085952265</v>
      </c>
      <c r="Q175" s="8">
        <f>$M175*'TABELA AUXILIAR'!$J$3+SUM(N$2:N175)</f>
        <v>113722.20365165509</v>
      </c>
      <c r="R175" s="8">
        <f>$M175*'TABELA AUXILIAR'!$J$4+SUM(O$2:O175)</f>
        <v>123703.59753984473</v>
      </c>
      <c r="S175" s="8">
        <f>$M175*'TABELA AUXILIAR'!$J$5+SUM(P$2:P175)</f>
        <v>143567.33122059522</v>
      </c>
      <c r="T175" s="10">
        <f t="shared" si="50"/>
        <v>56861</v>
      </c>
      <c r="U175" s="10">
        <f t="shared" si="51"/>
        <v>61851</v>
      </c>
      <c r="V175" s="10">
        <f t="shared" si="52"/>
        <v>71783</v>
      </c>
    </row>
    <row r="176" spans="1:22" x14ac:dyDescent="0.25">
      <c r="A176" s="8">
        <v>104.4</v>
      </c>
      <c r="B176" s="8">
        <v>105</v>
      </c>
      <c r="C176" s="8">
        <f t="shared" si="42"/>
        <v>27</v>
      </c>
      <c r="D176" s="8" t="s">
        <v>18</v>
      </c>
      <c r="E176" s="8" t="s">
        <v>8</v>
      </c>
      <c r="F176" s="8" cm="1">
        <f t="array" ref="F176">_xlfn.XLOOKUP(D176,'TABELA AUXILIAR'!$A$2:$A$5,IF('SPT-01'!A176&lt;3,'TABELA AUXILIAR'!$B$2:$B$5,'TABELA AUXILIAR'!$C$2:$C$5),"",0,1)</f>
        <v>8.5</v>
      </c>
      <c r="G176" s="9">
        <f t="shared" si="43"/>
        <v>83.564774693621743</v>
      </c>
      <c r="H176" s="10">
        <f t="shared" si="44"/>
        <v>40.668546630262682</v>
      </c>
      <c r="I176" s="10">
        <f t="shared" si="45"/>
        <v>1641.8213563897898</v>
      </c>
      <c r="J176" s="8">
        <f t="shared" si="46"/>
        <v>970.35000000006994</v>
      </c>
      <c r="K176" s="8">
        <f t="shared" si="47"/>
        <v>0.4216023435165972</v>
      </c>
      <c r="L176" s="8">
        <f t="shared" si="48"/>
        <v>409.1018340313596</v>
      </c>
      <c r="M176" s="8">
        <f t="shared" si="49"/>
        <v>3238.4995961424952</v>
      </c>
      <c r="N176" s="8">
        <f>$L176*'TABELA AUXILIAR'!$I$3*(B176-A176)</f>
        <v>922.93373757473842</v>
      </c>
      <c r="O176" s="8">
        <f>$L176*'TABELA AUXILIAR'!$I$4*(B176-A176)</f>
        <v>1001.4812897087589</v>
      </c>
      <c r="P176" s="8">
        <f>$L176*'TABELA AUXILIAR'!$I$5*(B176-A176)</f>
        <v>1156.1217829726113</v>
      </c>
      <c r="Q176" s="8">
        <f>$M176*'TABELA AUXILIAR'!$J$3+SUM(N$2:N176)</f>
        <v>114656.68980219781</v>
      </c>
      <c r="R176" s="8">
        <f>$M176*'TABELA AUXILIAR'!$J$4+SUM(O$2:O176)</f>
        <v>124718.57368364</v>
      </c>
      <c r="S176" s="8">
        <f>$M176*'TABELA AUXILIAR'!$J$5+SUM(P$2:P176)</f>
        <v>144741.44614234983</v>
      </c>
      <c r="T176" s="10">
        <f t="shared" si="50"/>
        <v>57328</v>
      </c>
      <c r="U176" s="10">
        <f t="shared" si="51"/>
        <v>62359</v>
      </c>
      <c r="V176" s="10">
        <f t="shared" si="52"/>
        <v>72370</v>
      </c>
    </row>
    <row r="177" spans="1:22" x14ac:dyDescent="0.25">
      <c r="A177" s="8">
        <v>105</v>
      </c>
      <c r="B177" s="8">
        <v>105.6</v>
      </c>
      <c r="C177" s="8">
        <f t="shared" si="42"/>
        <v>27</v>
      </c>
      <c r="D177" s="8" t="s">
        <v>18</v>
      </c>
      <c r="E177" s="8" t="s">
        <v>8</v>
      </c>
      <c r="F177" s="8" cm="1">
        <f t="array" ref="F177">_xlfn.XLOOKUP(D177,'TABELA AUXILIAR'!$A$2:$A$5,IF('SPT-01'!A177&lt;3,'TABELA AUXILIAR'!$B$2:$B$5,'TABELA AUXILIAR'!$C$2:$C$5),"",0,1)</f>
        <v>8.5</v>
      </c>
      <c r="G177" s="9">
        <f t="shared" si="43"/>
        <v>83.784088257930833</v>
      </c>
      <c r="H177" s="10">
        <f t="shared" si="44"/>
        <v>40.668546630262682</v>
      </c>
      <c r="I177" s="10">
        <f t="shared" si="45"/>
        <v>1645.2675863938794</v>
      </c>
      <c r="J177" s="8">
        <f t="shared" si="46"/>
        <v>975.45000000006985</v>
      </c>
      <c r="K177" s="8">
        <f t="shared" si="47"/>
        <v>0.42073907077757783</v>
      </c>
      <c r="L177" s="8">
        <f t="shared" si="48"/>
        <v>410.40992659001768</v>
      </c>
      <c r="M177" s="8">
        <f t="shared" si="49"/>
        <v>3248.7014999592743</v>
      </c>
      <c r="N177" s="8">
        <f>$L177*'TABELA AUXILIAR'!$I$3*(B177-A177)</f>
        <v>925.884794387071</v>
      </c>
      <c r="O177" s="8">
        <f>$L177*'TABELA AUXILIAR'!$I$4*(B177-A177)</f>
        <v>1004.6835002923538</v>
      </c>
      <c r="P177" s="8">
        <f>$L177*'TABELA AUXILIAR'!$I$5*(B177-A177)</f>
        <v>1159.818452543379</v>
      </c>
      <c r="Q177" s="8">
        <f>$M177*'TABELA AUXILIAR'!$J$3+SUM(N$2:N177)</f>
        <v>115594.10274789784</v>
      </c>
      <c r="R177" s="8">
        <f>$M177*'TABELA AUXILIAR'!$J$4+SUM(O$2:O177)</f>
        <v>125736.7236969705</v>
      </c>
      <c r="S177" s="8">
        <f>$M177*'TABELA AUXILIAR'!$J$5+SUM(P$2:P177)</f>
        <v>145919.21994561073</v>
      </c>
      <c r="T177" s="10">
        <f t="shared" si="50"/>
        <v>57797</v>
      </c>
      <c r="U177" s="10">
        <f t="shared" si="51"/>
        <v>62868</v>
      </c>
      <c r="V177" s="10">
        <f t="shared" si="52"/>
        <v>72959</v>
      </c>
    </row>
    <row r="178" spans="1:22" x14ac:dyDescent="0.25">
      <c r="A178" s="8">
        <v>105.6</v>
      </c>
      <c r="B178" s="8">
        <v>106.2</v>
      </c>
      <c r="C178" s="8">
        <f t="shared" si="42"/>
        <v>27</v>
      </c>
      <c r="D178" s="8" t="s">
        <v>18</v>
      </c>
      <c r="E178" s="8" t="s">
        <v>8</v>
      </c>
      <c r="F178" s="8" cm="1">
        <f t="array" ref="F178">_xlfn.XLOOKUP(D178,'TABELA AUXILIAR'!$A$2:$A$5,IF('SPT-01'!A178&lt;3,'TABELA AUXILIAR'!$B$2:$B$5,'TABELA AUXILIAR'!$C$2:$C$5),"",0,1)</f>
        <v>8.5</v>
      </c>
      <c r="G178" s="9">
        <f t="shared" si="43"/>
        <v>84.002829243006587</v>
      </c>
      <c r="H178" s="10">
        <f t="shared" si="44"/>
        <v>40.668546630262682</v>
      </c>
      <c r="I178" s="10">
        <f t="shared" si="45"/>
        <v>1648.7030224026571</v>
      </c>
      <c r="J178" s="8">
        <f t="shared" si="46"/>
        <v>980.55000000006987</v>
      </c>
      <c r="K178" s="8">
        <f t="shared" si="47"/>
        <v>0.41988205362844266</v>
      </c>
      <c r="L178" s="8">
        <f t="shared" si="48"/>
        <v>411.7153476853988</v>
      </c>
      <c r="M178" s="8">
        <f t="shared" si="49"/>
        <v>3258.8820902796101</v>
      </c>
      <c r="N178" s="8">
        <f>$L178*'TABELA AUXILIAR'!$I$3*(B178-A178)</f>
        <v>928.82982437827275</v>
      </c>
      <c r="O178" s="8">
        <f>$L178*'TABELA AUXILIAR'!$I$4*(B178-A178)</f>
        <v>1007.8791711338706</v>
      </c>
      <c r="P178" s="8">
        <f>$L178*'TABELA AUXILIAR'!$I$5*(B178-A178)</f>
        <v>1163.5075725589536</v>
      </c>
      <c r="Q178" s="8">
        <f>$M178*'TABELA AUXILIAR'!$J$3+SUM(N$2:N178)</f>
        <v>116534.43663933809</v>
      </c>
      <c r="R178" s="8">
        <f>$M178*'TABELA AUXILIAR'!$J$4+SUM(O$2:O178)</f>
        <v>126758.0412473272</v>
      </c>
      <c r="S178" s="8">
        <f>$M178*'TABELA AUXILIAR'!$J$5+SUM(P$2:P178)</f>
        <v>147100.64535713347</v>
      </c>
      <c r="T178" s="10">
        <f t="shared" si="50"/>
        <v>58267</v>
      </c>
      <c r="U178" s="10">
        <f t="shared" si="51"/>
        <v>63379</v>
      </c>
      <c r="V178" s="10">
        <f t="shared" si="52"/>
        <v>73550</v>
      </c>
    </row>
    <row r="179" spans="1:22" x14ac:dyDescent="0.25">
      <c r="A179" s="8">
        <v>106.2</v>
      </c>
      <c r="B179" s="8">
        <v>106.8</v>
      </c>
      <c r="C179" s="8">
        <f t="shared" si="42"/>
        <v>27</v>
      </c>
      <c r="D179" s="8" t="s">
        <v>18</v>
      </c>
      <c r="E179" s="8" t="s">
        <v>8</v>
      </c>
      <c r="F179" s="8" cm="1">
        <f t="array" ref="F179">_xlfn.XLOOKUP(D179,'TABELA AUXILIAR'!$A$2:$A$5,IF('SPT-01'!A179&lt;3,'TABELA AUXILIAR'!$B$2:$B$5,'TABELA AUXILIAR'!$C$2:$C$5),"",0,1)</f>
        <v>8.5</v>
      </c>
      <c r="G179" s="9">
        <f t="shared" si="43"/>
        <v>84.221002110202306</v>
      </c>
      <c r="H179" s="10">
        <f t="shared" si="44"/>
        <v>40.668546630262682</v>
      </c>
      <c r="I179" s="10">
        <f t="shared" si="45"/>
        <v>1652.1277541030393</v>
      </c>
      <c r="J179" s="8">
        <f t="shared" si="46"/>
        <v>985.65000000006989</v>
      </c>
      <c r="K179" s="8">
        <f t="shared" si="47"/>
        <v>0.41903121455454312</v>
      </c>
      <c r="L179" s="8">
        <f t="shared" si="48"/>
        <v>413.0181166257147</v>
      </c>
      <c r="M179" s="8">
        <f t="shared" si="49"/>
        <v>3269.0415221405183</v>
      </c>
      <c r="N179" s="8">
        <f>$L179*'TABELA AUXILIAR'!$I$3*(B179-A179)</f>
        <v>931.76887110760345</v>
      </c>
      <c r="O179" s="8">
        <f>$L179*'TABELA AUXILIAR'!$I$4*(B179-A179)</f>
        <v>1011.0683494997401</v>
      </c>
      <c r="P179" s="8">
        <f>$L179*'TABELA AUXILIAR'!$I$5*(B179-A179)</f>
        <v>1167.1891975842586</v>
      </c>
      <c r="Q179" s="8">
        <f>$M179*'TABELA AUXILIAR'!$J$3+SUM(N$2:N179)</f>
        <v>117477.68566844852</v>
      </c>
      <c r="R179" s="8">
        <f>$M179*'TABELA AUXILIAR'!$J$4+SUM(O$2:O179)</f>
        <v>127782.52004688335</v>
      </c>
      <c r="S179" s="8">
        <f>$M179*'TABELA AUXILIAR'!$J$5+SUM(P$2:P179)</f>
        <v>148285.71515479294</v>
      </c>
      <c r="T179" s="10">
        <f t="shared" si="50"/>
        <v>58738</v>
      </c>
      <c r="U179" s="10">
        <f t="shared" si="51"/>
        <v>63891</v>
      </c>
      <c r="V179" s="10">
        <f t="shared" si="52"/>
        <v>74142</v>
      </c>
    </row>
    <row r="180" spans="1:22" x14ac:dyDescent="0.25">
      <c r="A180" s="8">
        <v>106.8</v>
      </c>
      <c r="B180" s="8">
        <v>107.4</v>
      </c>
      <c r="C180" s="8">
        <f t="shared" si="42"/>
        <v>27</v>
      </c>
      <c r="D180" s="8" t="s">
        <v>18</v>
      </c>
      <c r="E180" s="8" t="s">
        <v>8</v>
      </c>
      <c r="F180" s="8" cm="1">
        <f t="array" ref="F180">_xlfn.XLOOKUP(D180,'TABELA AUXILIAR'!$A$2:$A$5,IF('SPT-01'!A180&lt;3,'TABELA AUXILIAR'!$B$2:$B$5,'TABELA AUXILIAR'!$C$2:$C$5),"",0,1)</f>
        <v>8.5</v>
      </c>
      <c r="G180" s="9">
        <f t="shared" si="43"/>
        <v>84.43861126323479</v>
      </c>
      <c r="H180" s="10">
        <f t="shared" si="44"/>
        <v>40.668546630262682</v>
      </c>
      <c r="I180" s="10">
        <f t="shared" si="45"/>
        <v>1655.5418699772326</v>
      </c>
      <c r="J180" s="8">
        <f t="shared" si="46"/>
        <v>990.75000000006992</v>
      </c>
      <c r="K180" s="8">
        <f t="shared" si="47"/>
        <v>0.41818647739642789</v>
      </c>
      <c r="L180" s="8">
        <f t="shared" si="48"/>
        <v>414.3182524805402</v>
      </c>
      <c r="M180" s="8">
        <f t="shared" si="49"/>
        <v>3279.1799486556997</v>
      </c>
      <c r="N180" s="8">
        <f>$L180*'TABELA AUXILIAR'!$I$3*(B180-A180)</f>
        <v>934.70197759611199</v>
      </c>
      <c r="O180" s="8">
        <f>$L180*'TABELA AUXILIAR'!$I$4*(B180-A180)</f>
        <v>1014.2510820723769</v>
      </c>
      <c r="P180" s="8">
        <f>$L180*'TABELA AUXILIAR'!$I$5*(B180-A180)</f>
        <v>1170.8633815100234</v>
      </c>
      <c r="Q180" s="8">
        <f>$M180*'TABELA AUXILIAR'!$J$3+SUM(N$2:N180)</f>
        <v>118423.84406800679</v>
      </c>
      <c r="R180" s="8">
        <f>$M180*'TABELA AUXILIAR'!$J$4+SUM(O$2:O180)</f>
        <v>128810.15385195577</v>
      </c>
      <c r="S180" s="8">
        <f>$M180*'TABELA AUXILIAR'!$J$5+SUM(P$2:P180)</f>
        <v>149474.42216696969</v>
      </c>
      <c r="T180" s="10">
        <f t="shared" si="50"/>
        <v>59211</v>
      </c>
      <c r="U180" s="10">
        <f t="shared" si="51"/>
        <v>64405</v>
      </c>
      <c r="V180" s="10">
        <f t="shared" si="52"/>
        <v>74737</v>
      </c>
    </row>
    <row r="181" spans="1:22" x14ac:dyDescent="0.25">
      <c r="A181" s="8">
        <v>107.4</v>
      </c>
      <c r="B181" s="8">
        <v>108</v>
      </c>
      <c r="C181" s="8">
        <f t="shared" si="42"/>
        <v>27</v>
      </c>
      <c r="D181" s="8" t="s">
        <v>18</v>
      </c>
      <c r="E181" s="8" t="s">
        <v>8</v>
      </c>
      <c r="F181" s="8" cm="1">
        <f t="array" ref="F181">_xlfn.XLOOKUP(D181,'TABELA AUXILIAR'!$A$2:$A$5,IF('SPT-01'!A181&lt;3,'TABELA AUXILIAR'!$B$2:$B$5,'TABELA AUXILIAR'!$C$2:$C$5),"",0,1)</f>
        <v>8.5</v>
      </c>
      <c r="G181" s="9">
        <f t="shared" si="43"/>
        <v>84.655661049221393</v>
      </c>
      <c r="H181" s="10">
        <f t="shared" si="44"/>
        <v>40.668546630262682</v>
      </c>
      <c r="I181" s="10">
        <f t="shared" si="45"/>
        <v>1658.9454573250337</v>
      </c>
      <c r="J181" s="8">
        <f t="shared" si="46"/>
        <v>995.85000000006994</v>
      </c>
      <c r="K181" s="8">
        <f t="shared" si="47"/>
        <v>0.41734776731932155</v>
      </c>
      <c r="L181" s="8">
        <f t="shared" si="48"/>
        <v>415.61577408497556</v>
      </c>
      <c r="M181" s="8">
        <f t="shared" si="49"/>
        <v>3289.2975210491722</v>
      </c>
      <c r="N181" s="8">
        <f>$L181*'TABELA AUXILIAR'!$I$3*(B181-A181)</f>
        <v>937.62918633569586</v>
      </c>
      <c r="O181" s="8">
        <f>$L181*'TABELA AUXILIAR'!$I$4*(B181-A181)</f>
        <v>1017.4274149600105</v>
      </c>
      <c r="P181" s="8">
        <f>$L181*'TABELA AUXILIAR'!$I$5*(B181-A181)</f>
        <v>1174.5301775641299</v>
      </c>
      <c r="Q181" s="8">
        <f>$M181*'TABELA AUXILIAR'!$J$3+SUM(N$2:N181)</f>
        <v>119372.90611114711</v>
      </c>
      <c r="R181" s="8">
        <f>$M181*'TABELA AUXILIAR'!$J$4+SUM(O$2:O181)</f>
        <v>129840.93646247516</v>
      </c>
      <c r="S181" s="8">
        <f>$M181*'TABELA AUXILIAR'!$J$5+SUM(P$2:P181)</f>
        <v>150666.75927194633</v>
      </c>
      <c r="T181" s="10">
        <f t="shared" si="50"/>
        <v>59686</v>
      </c>
      <c r="U181" s="10">
        <f t="shared" si="51"/>
        <v>64920</v>
      </c>
      <c r="V181" s="10">
        <f t="shared" si="52"/>
        <v>75333</v>
      </c>
    </row>
    <row r="182" spans="1:22" x14ac:dyDescent="0.25">
      <c r="A182" s="8">
        <v>108</v>
      </c>
      <c r="B182" s="8">
        <v>108.6</v>
      </c>
      <c r="C182" s="8">
        <f t="shared" si="42"/>
        <v>27</v>
      </c>
      <c r="D182" s="8" t="s">
        <v>18</v>
      </c>
      <c r="E182" s="8" t="s">
        <v>8</v>
      </c>
      <c r="F182" s="8" cm="1">
        <f t="array" ref="F182">_xlfn.XLOOKUP(D182,'TABELA AUXILIAR'!$A$2:$A$5,IF('SPT-01'!A182&lt;3,'TABELA AUXILIAR'!$B$2:$B$5,'TABELA AUXILIAR'!$C$2:$C$5),"",0,1)</f>
        <v>8.5</v>
      </c>
      <c r="G182" s="9">
        <f t="shared" si="43"/>
        <v>84.8721557596933</v>
      </c>
      <c r="H182" s="10">
        <f t="shared" si="44"/>
        <v>40.668546630262682</v>
      </c>
      <c r="I182" s="10">
        <f t="shared" si="45"/>
        <v>1662.3386022855827</v>
      </c>
      <c r="J182" s="8">
        <f t="shared" si="46"/>
        <v>1000.9500000000698</v>
      </c>
      <c r="K182" s="8">
        <f t="shared" si="47"/>
        <v>0.41651501078343961</v>
      </c>
      <c r="L182" s="8">
        <f t="shared" si="48"/>
        <v>416.91070004371295</v>
      </c>
      <c r="M182" s="8">
        <f t="shared" si="49"/>
        <v>3299.3943886881343</v>
      </c>
      <c r="N182" s="8">
        <f>$L182*'TABELA AUXILIAR'!$I$3*(B182-A182)</f>
        <v>940.55053929860742</v>
      </c>
      <c r="O182" s="8">
        <f>$L182*'TABELA AUXILIAR'!$I$4*(B182-A182)</f>
        <v>1020.5973937069996</v>
      </c>
      <c r="P182" s="8">
        <f>$L182*'TABELA AUXILIAR'!$I$5*(B182-A182)</f>
        <v>1178.1896383235216</v>
      </c>
      <c r="Q182" s="8">
        <f>$M182*'TABELA AUXILIAR'!$J$3+SUM(N$2:N182)</f>
        <v>120324.86611087775</v>
      </c>
      <c r="R182" s="8">
        <f>$M182*'TABELA AUXILIAR'!$J$4+SUM(O$2:O182)</f>
        <v>130874.86172146558</v>
      </c>
      <c r="S182" s="8">
        <f>$M182*'TABELA AUXILIAR'!$J$5+SUM(P$2:P182)</f>
        <v>151862.71939731442</v>
      </c>
      <c r="T182" s="10">
        <f t="shared" si="50"/>
        <v>60162</v>
      </c>
      <c r="U182" s="10">
        <f t="shared" si="51"/>
        <v>65437</v>
      </c>
      <c r="V182" s="10">
        <f t="shared" si="52"/>
        <v>75931</v>
      </c>
    </row>
    <row r="183" spans="1:22" x14ac:dyDescent="0.25">
      <c r="A183" s="8">
        <v>108.6</v>
      </c>
      <c r="B183" s="8">
        <v>109.2</v>
      </c>
      <c r="C183" s="8">
        <f t="shared" si="42"/>
        <v>27</v>
      </c>
      <c r="D183" s="8" t="s">
        <v>18</v>
      </c>
      <c r="E183" s="8" t="s">
        <v>8</v>
      </c>
      <c r="F183" s="8" cm="1">
        <f t="array" ref="F183">_xlfn.XLOOKUP(D183,'TABELA AUXILIAR'!$A$2:$A$5,IF('SPT-01'!A183&lt;3,'TABELA AUXILIAR'!$B$2:$B$5,'TABELA AUXILIAR'!$C$2:$C$5),"",0,1)</f>
        <v>8.5</v>
      </c>
      <c r="G183" s="9">
        <f t="shared" si="43"/>
        <v>85.088099631585493</v>
      </c>
      <c r="H183" s="10">
        <f t="shared" si="44"/>
        <v>40.668546630262682</v>
      </c>
      <c r="I183" s="10">
        <f t="shared" si="45"/>
        <v>1665.7213898586338</v>
      </c>
      <c r="J183" s="8">
        <f t="shared" si="46"/>
        <v>1006.0500000000699</v>
      </c>
      <c r="K183" s="8">
        <f t="shared" si="47"/>
        <v>0.41568813551511957</v>
      </c>
      <c r="L183" s="8">
        <f t="shared" si="48"/>
        <v>418.2030487350151</v>
      </c>
      <c r="M183" s="8">
        <f t="shared" si="49"/>
        <v>3309.4706991151074</v>
      </c>
      <c r="N183" s="8">
        <f>$L183*'TABELA AUXILIAR'!$I$3*(B183-A183)</f>
        <v>943.46607794620741</v>
      </c>
      <c r="O183" s="8">
        <f>$L183*'TABELA AUXILIAR'!$I$4*(B183-A183)</f>
        <v>1023.7610633033315</v>
      </c>
      <c r="P183" s="8">
        <f>$L183*'TABELA AUXILIAR'!$I$5*(B183-A183)</f>
        <v>1181.8418157251695</v>
      </c>
      <c r="Q183" s="8">
        <f>$M183*'TABELA AUXILIAR'!$J$3+SUM(N$2:N183)</f>
        <v>121279.71841960643</v>
      </c>
      <c r="R183" s="8">
        <f>$M183*'TABELA AUXILIAR'!$J$4+SUM(O$2:O183)</f>
        <v>131911.92351453251</v>
      </c>
      <c r="S183" s="8">
        <f>$M183*'TABELA AUXILIAR'!$J$5+SUM(P$2:P183)</f>
        <v>153062.29551939107</v>
      </c>
      <c r="T183" s="10">
        <f t="shared" si="50"/>
        <v>60639</v>
      </c>
      <c r="U183" s="10">
        <f t="shared" si="51"/>
        <v>65955</v>
      </c>
      <c r="V183" s="10">
        <f t="shared" si="52"/>
        <v>76531</v>
      </c>
    </row>
    <row r="184" spans="1:22" x14ac:dyDescent="0.25">
      <c r="A184" s="8">
        <v>109.2</v>
      </c>
      <c r="B184" s="8">
        <v>109.8</v>
      </c>
      <c r="C184" s="8">
        <f t="shared" si="42"/>
        <v>27</v>
      </c>
      <c r="D184" s="8" t="s">
        <v>18</v>
      </c>
      <c r="E184" s="8" t="s">
        <v>8</v>
      </c>
      <c r="F184" s="8" cm="1">
        <f t="array" ref="F184">_xlfn.XLOOKUP(D184,'TABELA AUXILIAR'!$A$2:$A$5,IF('SPT-01'!A184&lt;3,'TABELA AUXILIAR'!$B$2:$B$5,'TABELA AUXILIAR'!$C$2:$C$5),"",0,1)</f>
        <v>8.5</v>
      </c>
      <c r="G184" s="9">
        <f t="shared" si="43"/>
        <v>85.303496848204276</v>
      </c>
      <c r="H184" s="10">
        <f t="shared" si="44"/>
        <v>40.668546630262682</v>
      </c>
      <c r="I184" s="10">
        <f t="shared" si="45"/>
        <v>1669.0939039253096</v>
      </c>
      <c r="J184" s="8">
        <f t="shared" si="46"/>
        <v>1011.1500000000699</v>
      </c>
      <c r="K184" s="8">
        <f t="shared" si="47"/>
        <v>0.41486707047873628</v>
      </c>
      <c r="L184" s="8">
        <f t="shared" si="48"/>
        <v>419.4928383146032</v>
      </c>
      <c r="M184" s="8">
        <f t="shared" si="49"/>
        <v>3319.5265980793411</v>
      </c>
      <c r="N184" s="8">
        <f>$L184*'TABELA AUXILIAR'!$I$3*(B184-A184)</f>
        <v>946.37584323773581</v>
      </c>
      <c r="O184" s="8">
        <f>$L184*'TABELA AUXILIAR'!$I$4*(B184-A184)</f>
        <v>1026.918468194139</v>
      </c>
      <c r="P184" s="8">
        <f>$L184*'TABELA AUXILIAR'!$I$5*(B184-A184)</f>
        <v>1185.4867610770575</v>
      </c>
      <c r="Q184" s="8">
        <f>$M184*'TABELA AUXILIAR'!$J$3+SUM(N$2:N184)</f>
        <v>122237.45742867376</v>
      </c>
      <c r="R184" s="8">
        <f>$M184*'TABELA AUXILIAR'!$J$4+SUM(O$2:O184)</f>
        <v>132952.11576935946</v>
      </c>
      <c r="S184" s="8">
        <f>$M184*'TABELA AUXILIAR'!$J$5+SUM(P$2:P184)</f>
        <v>154265.48066264516</v>
      </c>
      <c r="T184" s="10">
        <f t="shared" si="50"/>
        <v>61118</v>
      </c>
      <c r="U184" s="10">
        <f t="shared" si="51"/>
        <v>66476</v>
      </c>
      <c r="V184" s="10">
        <f t="shared" si="52"/>
        <v>77132</v>
      </c>
    </row>
    <row r="185" spans="1:22" x14ac:dyDescent="0.25">
      <c r="A185" s="8">
        <v>109.8</v>
      </c>
      <c r="B185" s="8">
        <v>110.4</v>
      </c>
      <c r="C185" s="8">
        <f t="shared" si="42"/>
        <v>27</v>
      </c>
      <c r="D185" s="8" t="s">
        <v>18</v>
      </c>
      <c r="E185" s="8" t="s">
        <v>8</v>
      </c>
      <c r="F185" s="8" cm="1">
        <f t="array" ref="F185">_xlfn.XLOOKUP(D185,'TABELA AUXILIAR'!$A$2:$A$5,IF('SPT-01'!A185&lt;3,'TABELA AUXILIAR'!$B$2:$B$5,'TABELA AUXILIAR'!$C$2:$C$5),"",0,1)</f>
        <v>8.5</v>
      </c>
      <c r="G185" s="9">
        <f t="shared" si="43"/>
        <v>85.518351540172802</v>
      </c>
      <c r="H185" s="10">
        <f t="shared" si="44"/>
        <v>40.668546630262682</v>
      </c>
      <c r="I185" s="10">
        <f t="shared" si="45"/>
        <v>1672.4562272683829</v>
      </c>
      <c r="J185" s="8">
        <f t="shared" si="46"/>
        <v>1016.2500000000699</v>
      </c>
      <c r="K185" s="8">
        <f t="shared" si="47"/>
        <v>0.41405174584937732</v>
      </c>
      <c r="L185" s="8">
        <f t="shared" si="48"/>
        <v>420.78008671945867</v>
      </c>
      <c r="M185" s="8">
        <f t="shared" si="49"/>
        <v>3329.5622295675553</v>
      </c>
      <c r="N185" s="8">
        <f>$L185*'TABELA AUXILIAR'!$I$3*(B185-A185)</f>
        <v>949.27987563911222</v>
      </c>
      <c r="O185" s="8">
        <f>$L185*'TABELA AUXILIAR'!$I$4*(B185-A185)</f>
        <v>1030.0696522892495</v>
      </c>
      <c r="P185" s="8">
        <f>$L185*'TABELA AUXILIAR'!$I$5*(B185-A185)</f>
        <v>1189.124525069207</v>
      </c>
      <c r="Q185" s="8">
        <f>$M185*'TABELA AUXILIAR'!$J$3+SUM(N$2:N185)</f>
        <v>123198.07756789455</v>
      </c>
      <c r="R185" s="8">
        <f>$M185*'TABELA AUXILIAR'!$J$4+SUM(O$2:O185)</f>
        <v>133995.43245521316</v>
      </c>
      <c r="S185" s="8">
        <f>$M185*'TABELA AUXILIAR'!$J$5+SUM(P$2:P185)</f>
        <v>155472.26789913361</v>
      </c>
      <c r="T185" s="10">
        <f t="shared" si="50"/>
        <v>61599</v>
      </c>
      <c r="U185" s="10">
        <f t="shared" si="51"/>
        <v>66997</v>
      </c>
      <c r="V185" s="10">
        <f t="shared" si="52"/>
        <v>77736</v>
      </c>
    </row>
    <row r="186" spans="1:22" x14ac:dyDescent="0.25">
      <c r="A186" s="8">
        <v>110.4</v>
      </c>
      <c r="B186" s="8">
        <v>111</v>
      </c>
      <c r="C186" s="8">
        <f t="shared" si="42"/>
        <v>27</v>
      </c>
      <c r="D186" s="8" t="s">
        <v>18</v>
      </c>
      <c r="E186" s="8" t="s">
        <v>8</v>
      </c>
      <c r="F186" s="8" cm="1">
        <f t="array" ref="F186">_xlfn.XLOOKUP(D186,'TABELA AUXILIAR'!$A$2:$A$5,IF('SPT-01'!A186&lt;3,'TABELA AUXILIAR'!$B$2:$B$5,'TABELA AUXILIAR'!$C$2:$C$5),"",0,1)</f>
        <v>8.5</v>
      </c>
      <c r="G186" s="9">
        <f t="shared" si="43"/>
        <v>85.732667786355265</v>
      </c>
      <c r="H186" s="10">
        <f t="shared" si="44"/>
        <v>40.668546630262682</v>
      </c>
      <c r="I186" s="10">
        <f t="shared" si="45"/>
        <v>1675.8084415920955</v>
      </c>
      <c r="J186" s="8">
        <f t="shared" si="46"/>
        <v>1021.3500000000699</v>
      </c>
      <c r="K186" s="8">
        <f t="shared" si="47"/>
        <v>0.41324209298625803</v>
      </c>
      <c r="L186" s="8">
        <f t="shared" si="48"/>
        <v>422.06481167154351</v>
      </c>
      <c r="M186" s="8">
        <f t="shared" si="49"/>
        <v>3339.5777358339633</v>
      </c>
      <c r="N186" s="8">
        <f>$L186*'TABELA AUXILIAR'!$I$3*(B186-A186)</f>
        <v>952.17821513099307</v>
      </c>
      <c r="O186" s="8">
        <f>$L186*'TABELA AUXILIAR'!$I$4*(B186-A186)</f>
        <v>1033.2146589719287</v>
      </c>
      <c r="P186" s="8">
        <f>$L186*'TABELA AUXILIAR'!$I$5*(B186-A186)</f>
        <v>1192.7551577837708</v>
      </c>
      <c r="Q186" s="8">
        <f>$M186*'TABELA AUXILIAR'!$J$3+SUM(N$2:N186)</f>
        <v>124161.57330510658</v>
      </c>
      <c r="R186" s="8">
        <f>$M186*'TABELA AUXILIAR'!$J$4+SUM(O$2:O186)</f>
        <v>135041.86758245673</v>
      </c>
      <c r="S186" s="8">
        <f>$M186*'TABELA AUXILIAR'!$J$5+SUM(P$2:P186)</f>
        <v>156682.65034794627</v>
      </c>
      <c r="T186" s="10">
        <f t="shared" si="50"/>
        <v>62080</v>
      </c>
      <c r="U186" s="10">
        <f t="shared" si="51"/>
        <v>67520</v>
      </c>
      <c r="V186" s="10">
        <f t="shared" si="52"/>
        <v>78341</v>
      </c>
    </row>
    <row r="187" spans="1:22" x14ac:dyDescent="0.25">
      <c r="A187" s="8">
        <v>111</v>
      </c>
      <c r="B187" s="8">
        <v>111.6</v>
      </c>
      <c r="C187" s="8">
        <f t="shared" si="42"/>
        <v>27</v>
      </c>
      <c r="D187" s="8" t="s">
        <v>18</v>
      </c>
      <c r="E187" s="8" t="s">
        <v>8</v>
      </c>
      <c r="F187" s="8" cm="1">
        <f t="array" ref="F187">_xlfn.XLOOKUP(D187,'TABELA AUXILIAR'!$A$2:$A$5,IF('SPT-01'!A187&lt;3,'TABELA AUXILIAR'!$B$2:$B$5,'TABELA AUXILIAR'!$C$2:$C$5),"",0,1)</f>
        <v>8.5</v>
      </c>
      <c r="G187" s="9">
        <f t="shared" si="43"/>
        <v>85.946449614760326</v>
      </c>
      <c r="H187" s="10">
        <f t="shared" si="44"/>
        <v>40.668546630262682</v>
      </c>
      <c r="I187" s="10">
        <f t="shared" si="45"/>
        <v>1679.1506275415079</v>
      </c>
      <c r="J187" s="8">
        <f t="shared" si="46"/>
        <v>1026.4500000000698</v>
      </c>
      <c r="K187" s="8">
        <f t="shared" si="47"/>
        <v>0.41243804440684628</v>
      </c>
      <c r="L187" s="8">
        <f t="shared" si="48"/>
        <v>423.34703068143619</v>
      </c>
      <c r="M187" s="8">
        <f t="shared" si="49"/>
        <v>3349.5732574296699</v>
      </c>
      <c r="N187" s="8">
        <f>$L187*'TABELA AUXILIAR'!$I$3*(B187-A187)</f>
        <v>955.07090121731096</v>
      </c>
      <c r="O187" s="8">
        <f>$L187*'TABELA AUXILIAR'!$I$4*(B187-A187)</f>
        <v>1036.3535311081459</v>
      </c>
      <c r="P187" s="8">
        <f>$L187*'TABELA AUXILIAR'!$I$5*(B187-A187)</f>
        <v>1196.3787087057274</v>
      </c>
      <c r="Q187" s="8">
        <f>$M187*'TABELA AUXILIAR'!$J$3+SUM(N$2:N187)</f>
        <v>125127.93914572705</v>
      </c>
      <c r="R187" s="8">
        <f>$M187*'TABELA AUXILIAR'!$J$4+SUM(O$2:O187)</f>
        <v>136091.41520207122</v>
      </c>
      <c r="S187" s="8">
        <f>$M187*'TABELA AUXILIAR'!$J$5+SUM(P$2:P187)</f>
        <v>157896.62117466042</v>
      </c>
      <c r="T187" s="10">
        <f t="shared" si="50"/>
        <v>62563</v>
      </c>
      <c r="U187" s="10">
        <f t="shared" si="51"/>
        <v>68045</v>
      </c>
      <c r="V187" s="10">
        <f t="shared" si="52"/>
        <v>78948</v>
      </c>
    </row>
    <row r="188" spans="1:22" x14ac:dyDescent="0.25">
      <c r="A188" s="8">
        <v>111.6</v>
      </c>
      <c r="B188" s="8">
        <v>112.2</v>
      </c>
      <c r="C188" s="8">
        <f t="shared" si="42"/>
        <v>27</v>
      </c>
      <c r="D188" s="8" t="s">
        <v>18</v>
      </c>
      <c r="E188" s="8" t="s">
        <v>8</v>
      </c>
      <c r="F188" s="8" cm="1">
        <f t="array" ref="F188">_xlfn.XLOOKUP(D188,'TABELA AUXILIAR'!$A$2:$A$5,IF('SPT-01'!A188&lt;3,'TABELA AUXILIAR'!$B$2:$B$5,'TABELA AUXILIAR'!$C$2:$C$5),"",0,1)</f>
        <v>8.5</v>
      </c>
      <c r="G188" s="9">
        <f t="shared" si="43"/>
        <v>86.159701003424544</v>
      </c>
      <c r="H188" s="10">
        <f t="shared" si="44"/>
        <v>40.668546630262682</v>
      </c>
      <c r="I188" s="10">
        <f t="shared" si="45"/>
        <v>1682.4828647214274</v>
      </c>
      <c r="J188" s="8">
        <f t="shared" si="46"/>
        <v>1031.5500000000698</v>
      </c>
      <c r="K188" s="8">
        <f t="shared" si="47"/>
        <v>0.41163953376168111</v>
      </c>
      <c r="L188" s="8">
        <f t="shared" si="48"/>
        <v>424.62676105189087</v>
      </c>
      <c r="M188" s="8">
        <f t="shared" si="49"/>
        <v>3359.5489332314087</v>
      </c>
      <c r="N188" s="8">
        <f>$L188*'TABELA AUXILIAR'!$I$3*(B188-A188)</f>
        <v>957.9579729330793</v>
      </c>
      <c r="O188" s="8">
        <f>$L188*'TABELA AUXILIAR'!$I$4*(B188-A188)</f>
        <v>1039.4863110550436</v>
      </c>
      <c r="P188" s="8">
        <f>$L188*'TABELA AUXILIAR'!$I$5*(B188-A188)</f>
        <v>1199.9952267326607</v>
      </c>
      <c r="Q188" s="8">
        <f>$M188*'TABELA AUXILIAR'!$J$3+SUM(N$2:N188)</f>
        <v>126097.16963231609</v>
      </c>
      <c r="R188" s="8">
        <f>$M188*'TABELA AUXILIAR'!$J$4+SUM(O$2:O188)</f>
        <v>137144.06940518456</v>
      </c>
      <c r="S188" s="8">
        <f>$M188*'TABELA AUXILIAR'!$J$5+SUM(P$2:P188)</f>
        <v>159114.17359080413</v>
      </c>
      <c r="T188" s="10">
        <f t="shared" si="50"/>
        <v>63048</v>
      </c>
      <c r="U188" s="10">
        <f t="shared" si="51"/>
        <v>68572</v>
      </c>
      <c r="V188" s="10">
        <f t="shared" si="52"/>
        <v>79557</v>
      </c>
    </row>
    <row r="189" spans="1:22" x14ac:dyDescent="0.25">
      <c r="A189" s="8">
        <v>112.2</v>
      </c>
      <c r="B189" s="8">
        <v>112.8</v>
      </c>
      <c r="C189" s="8">
        <f t="shared" si="42"/>
        <v>27</v>
      </c>
      <c r="D189" s="8" t="s">
        <v>18</v>
      </c>
      <c r="E189" s="8" t="s">
        <v>8</v>
      </c>
      <c r="F189" s="8" cm="1">
        <f t="array" ref="F189">_xlfn.XLOOKUP(D189,'TABELA AUXILIAR'!$A$2:$A$5,IF('SPT-01'!A189&lt;3,'TABELA AUXILIAR'!$B$2:$B$5,'TABELA AUXILIAR'!$C$2:$C$5),"",0,1)</f>
        <v>8.5</v>
      </c>
      <c r="G189" s="9">
        <f t="shared" si="43"/>
        <v>86.372425881275873</v>
      </c>
      <c r="H189" s="10">
        <f t="shared" si="44"/>
        <v>40.668546630262682</v>
      </c>
      <c r="I189" s="10">
        <f t="shared" si="45"/>
        <v>1685.8052317148874</v>
      </c>
      <c r="J189" s="8">
        <f t="shared" si="46"/>
        <v>1036.6500000000697</v>
      </c>
      <c r="K189" s="8">
        <f t="shared" si="47"/>
        <v>0.41084649580985738</v>
      </c>
      <c r="L189" s="8">
        <f t="shared" si="48"/>
        <v>425.90401988131725</v>
      </c>
      <c r="M189" s="8">
        <f t="shared" si="49"/>
        <v>3369.5049004696616</v>
      </c>
      <c r="N189" s="8">
        <f>$L189*'TABELA AUXILIAR'!$I$3*(B189-A189)</f>
        <v>960.83946885224259</v>
      </c>
      <c r="O189" s="8">
        <f>$L189*'TABELA AUXILIAR'!$I$4*(B189-A189)</f>
        <v>1042.6130406694549</v>
      </c>
      <c r="P189" s="8">
        <f>$L189*'TABELA AUXILIAR'!$I$5*(B189-A189)</f>
        <v>1203.6047601845912</v>
      </c>
      <c r="Q189" s="8">
        <f>$M189*'TABELA AUXILIAR'!$J$3+SUM(N$2:N189)</f>
        <v>127069.25934414755</v>
      </c>
      <c r="R189" s="8">
        <f>$M189*'TABELA AUXILIAR'!$J$4+SUM(O$2:O189)</f>
        <v>138199.8243226085</v>
      </c>
      <c r="S189" s="8">
        <f>$M189*'TABELA AUXILIAR'!$J$5+SUM(P$2:P189)</f>
        <v>160335.30085332805</v>
      </c>
      <c r="T189" s="10">
        <f t="shared" si="50"/>
        <v>63534</v>
      </c>
      <c r="U189" s="10">
        <f t="shared" si="51"/>
        <v>69099</v>
      </c>
      <c r="V189" s="10">
        <f t="shared" si="52"/>
        <v>80167</v>
      </c>
    </row>
    <row r="190" spans="1:22" x14ac:dyDescent="0.25">
      <c r="A190" s="8">
        <v>112.8</v>
      </c>
      <c r="B190" s="8">
        <v>113.4</v>
      </c>
      <c r="C190" s="8">
        <f t="shared" si="42"/>
        <v>27</v>
      </c>
      <c r="D190" s="8" t="s">
        <v>18</v>
      </c>
      <c r="E190" s="8" t="s">
        <v>8</v>
      </c>
      <c r="F190" s="8" cm="1">
        <f t="array" ref="F190">_xlfn.XLOOKUP(D190,'TABELA AUXILIAR'!$A$2:$A$5,IF('SPT-01'!A190&lt;3,'TABELA AUXILIAR'!$B$2:$B$5,'TABELA AUXILIAR'!$C$2:$C$5),"",0,1)</f>
        <v>8.5</v>
      </c>
      <c r="G190" s="9">
        <f t="shared" si="43"/>
        <v>86.58462812897838</v>
      </c>
      <c r="H190" s="10">
        <f t="shared" si="44"/>
        <v>40.668546630262682</v>
      </c>
      <c r="I190" s="10">
        <f t="shared" si="45"/>
        <v>1689.1178061012236</v>
      </c>
      <c r="J190" s="8">
        <f t="shared" si="46"/>
        <v>1041.7500000000696</v>
      </c>
      <c r="K190" s="8">
        <f t="shared" si="47"/>
        <v>0.41005886639516109</v>
      </c>
      <c r="L190" s="8">
        <f t="shared" si="48"/>
        <v>427.17882406718758</v>
      </c>
      <c r="M190" s="8">
        <f t="shared" si="49"/>
        <v>3379.4412947561686</v>
      </c>
      <c r="N190" s="8">
        <f>$L190*'TABELA AUXILIAR'!$I$3*(B190-A190)</f>
        <v>963.71542709558889</v>
      </c>
      <c r="O190" s="8">
        <f>$L190*'TABELA AUXILIAR'!$I$4*(B190-A190)</f>
        <v>1045.73376131649</v>
      </c>
      <c r="P190" s="8">
        <f>$L190*'TABELA AUXILIAR'!$I$5*(B190-A190)</f>
        <v>1207.2073568138892</v>
      </c>
      <c r="Q190" s="8">
        <f>$M190*'TABELA AUXILIAR'!$J$3+SUM(N$2:N190)</f>
        <v>128044.2028967869</v>
      </c>
      <c r="R190" s="8">
        <f>$M190*'TABELA AUXILIAR'!$J$4+SUM(O$2:O190)</f>
        <v>139258.67412438316</v>
      </c>
      <c r="S190" s="8">
        <f>$M190*'TABELA AUXILIAR'!$J$5+SUM(P$2:P190)</f>
        <v>161559.99626408619</v>
      </c>
      <c r="T190" s="10">
        <f t="shared" si="50"/>
        <v>64022</v>
      </c>
      <c r="U190" s="10">
        <f t="shared" si="51"/>
        <v>69629</v>
      </c>
      <c r="V190" s="10">
        <f t="shared" si="52"/>
        <v>80779</v>
      </c>
    </row>
    <row r="191" spans="1:22" x14ac:dyDescent="0.25">
      <c r="A191" s="8">
        <v>113.4</v>
      </c>
      <c r="B191" s="8">
        <v>114</v>
      </c>
      <c r="C191" s="8">
        <f t="shared" si="42"/>
        <v>27</v>
      </c>
      <c r="D191" s="8" t="s">
        <v>18</v>
      </c>
      <c r="E191" s="8" t="s">
        <v>8</v>
      </c>
      <c r="F191" s="8" cm="1">
        <f t="array" ref="F191">_xlfn.XLOOKUP(D191,'TABELA AUXILIAR'!$A$2:$A$5,IF('SPT-01'!A191&lt;3,'TABELA AUXILIAR'!$B$2:$B$5,'TABELA AUXILIAR'!$C$2:$C$5),"",0,1)</f>
        <v>8.5</v>
      </c>
      <c r="G191" s="9">
        <f t="shared" si="43"/>
        <v>86.796311579758111</v>
      </c>
      <c r="H191" s="10">
        <f t="shared" si="44"/>
        <v>40.668546630262682</v>
      </c>
      <c r="I191" s="10">
        <f t="shared" si="45"/>
        <v>1692.4206644737324</v>
      </c>
      <c r="J191" s="8">
        <f t="shared" si="46"/>
        <v>1046.8500000000695</v>
      </c>
      <c r="K191" s="8">
        <f t="shared" si="47"/>
        <v>0.40927658242283016</v>
      </c>
      <c r="L191" s="8">
        <f t="shared" si="48"/>
        <v>428.4511903093682</v>
      </c>
      <c r="M191" s="8">
        <f t="shared" si="49"/>
        <v>3389.3582501108472</v>
      </c>
      <c r="N191" s="8">
        <f>$L191*'TABELA AUXILIAR'!$I$3*(B191-A191)</f>
        <v>966.58588533792545</v>
      </c>
      <c r="O191" s="8">
        <f>$L191*'TABELA AUXILIAR'!$I$4*(B191-A191)</f>
        <v>1048.8485138773235</v>
      </c>
      <c r="P191" s="8">
        <f>$L191*'TABELA AUXILIAR'!$I$5*(B191-A191)</f>
        <v>1210.8030638142632</v>
      </c>
      <c r="Q191" s="8">
        <f>$M191*'TABELA AUXILIAR'!$J$3+SUM(N$2:N191)</f>
        <v>129021.99494167561</v>
      </c>
      <c r="R191" s="8">
        <f>$M191*'TABELA AUXILIAR'!$J$4+SUM(O$2:O191)</f>
        <v>140320.61301932865</v>
      </c>
      <c r="S191" s="8">
        <f>$M191*'TABELA AUXILIAR'!$J$5+SUM(P$2:P191)</f>
        <v>162788.25316932471</v>
      </c>
      <c r="T191" s="10">
        <f t="shared" si="50"/>
        <v>64510</v>
      </c>
      <c r="U191" s="10">
        <f t="shared" si="51"/>
        <v>70160</v>
      </c>
      <c r="V191" s="10">
        <f t="shared" si="52"/>
        <v>81394</v>
      </c>
    </row>
    <row r="192" spans="1:22" x14ac:dyDescent="0.25">
      <c r="A192" s="8">
        <v>114</v>
      </c>
      <c r="B192" s="8">
        <v>114.6</v>
      </c>
      <c r="C192" s="8">
        <f t="shared" si="42"/>
        <v>27</v>
      </c>
      <c r="D192" s="8" t="s">
        <v>18</v>
      </c>
      <c r="E192" s="8" t="s">
        <v>8</v>
      </c>
      <c r="F192" s="8" cm="1">
        <f t="array" ref="F192">_xlfn.XLOOKUP(D192,'TABELA AUXILIAR'!$A$2:$A$5,IF('SPT-01'!A192&lt;3,'TABELA AUXILIAR'!$B$2:$B$5,'TABELA AUXILIAR'!$C$2:$C$5),"",0,1)</f>
        <v>8.5</v>
      </c>
      <c r="G192" s="9">
        <f t="shared" si="43"/>
        <v>87.007480020211077</v>
      </c>
      <c r="H192" s="10">
        <f t="shared" si="44"/>
        <v>40.668546630262682</v>
      </c>
      <c r="I192" s="10">
        <f t="shared" si="45"/>
        <v>1695.7138824569449</v>
      </c>
      <c r="J192" s="8">
        <f t="shared" si="46"/>
        <v>1051.9500000000694</v>
      </c>
      <c r="K192" s="8">
        <f t="shared" si="47"/>
        <v>0.40849958183692509</v>
      </c>
      <c r="L192" s="8">
        <f t="shared" si="48"/>
        <v>429.72113511338171</v>
      </c>
      <c r="M192" s="8">
        <f t="shared" si="49"/>
        <v>3399.2558989881327</v>
      </c>
      <c r="N192" s="8">
        <f>$L192*'TABELA AUXILIAR'!$I$3*(B192-A192)</f>
        <v>969.45088081577978</v>
      </c>
      <c r="O192" s="8">
        <f>$L192*'TABELA AUXILIAR'!$I$4*(B192-A192)</f>
        <v>1051.9573387575485</v>
      </c>
      <c r="P192" s="8">
        <f>$L192*'TABELA AUXILIAR'!$I$5*(B192-A192)</f>
        <v>1214.3919278304052</v>
      </c>
      <c r="Q192" s="8">
        <f>$M192*'TABELA AUXILIAR'!$J$3+SUM(N$2:N192)</f>
        <v>130002.63016572273</v>
      </c>
      <c r="R192" s="8">
        <f>$M192*'TABELA AUXILIAR'!$J$4+SUM(O$2:O192)</f>
        <v>141385.63525460422</v>
      </c>
      <c r="S192" s="8">
        <f>$M192*'TABELA AUXILIAR'!$J$5+SUM(P$2:P192)</f>
        <v>164020.06495917914</v>
      </c>
      <c r="T192" s="10">
        <f t="shared" si="50"/>
        <v>65001</v>
      </c>
      <c r="U192" s="10">
        <f t="shared" si="51"/>
        <v>70692</v>
      </c>
      <c r="V192" s="10">
        <f t="shared" si="52"/>
        <v>82010</v>
      </c>
    </row>
    <row r="193" spans="1:22" x14ac:dyDescent="0.25">
      <c r="A193" s="8">
        <v>114.6</v>
      </c>
      <c r="B193" s="8">
        <v>115.2</v>
      </c>
      <c r="C193" s="8">
        <f t="shared" si="42"/>
        <v>27</v>
      </c>
      <c r="D193" s="8" t="s">
        <v>18</v>
      </c>
      <c r="E193" s="8" t="s">
        <v>8</v>
      </c>
      <c r="F193" s="8" cm="1">
        <f t="array" ref="F193">_xlfn.XLOOKUP(D193,'TABELA AUXILIAR'!$A$2:$A$5,IF('SPT-01'!A193&lt;3,'TABELA AUXILIAR'!$B$2:$B$5,'TABELA AUXILIAR'!$C$2:$C$5),"",0,1)</f>
        <v>8.5</v>
      </c>
      <c r="G193" s="9">
        <f t="shared" si="43"/>
        <v>87.218137191093504</v>
      </c>
      <c r="H193" s="10">
        <f t="shared" si="44"/>
        <v>40.668546630262682</v>
      </c>
      <c r="I193" s="10">
        <f t="shared" si="45"/>
        <v>1698.9975347235043</v>
      </c>
      <c r="J193" s="8">
        <f t="shared" si="46"/>
        <v>1057.0500000000693</v>
      </c>
      <c r="K193" s="8">
        <f t="shared" si="47"/>
        <v>0.4077278035982877</v>
      </c>
      <c r="L193" s="8">
        <f t="shared" si="48"/>
        <v>430.98867479359825</v>
      </c>
      <c r="M193" s="8">
        <f t="shared" si="49"/>
        <v>3409.1343723027599</v>
      </c>
      <c r="N193" s="8">
        <f>$L193*'TABELA AUXILIAR'!$I$3*(B193-A193)</f>
        <v>972.31045033437135</v>
      </c>
      <c r="O193" s="8">
        <f>$L193*'TABELA AUXILIAR'!$I$4*(B193-A193)</f>
        <v>1055.0602758947437</v>
      </c>
      <c r="P193" s="8">
        <f>$L193*'TABELA AUXILIAR'!$I$5*(B193-A193)</f>
        <v>1217.973994966726</v>
      </c>
      <c r="Q193" s="8">
        <f>$M193*'TABELA AUXILIAR'!$J$3+SUM(N$2:N193)</f>
        <v>130986.10329090264</v>
      </c>
      <c r="R193" s="8">
        <f>$M193*'TABELA AUXILIAR'!$J$4+SUM(O$2:O193)</f>
        <v>142453.73511527426</v>
      </c>
      <c r="S193" s="8">
        <f>$M193*'TABELA AUXILIAR'!$J$5+SUM(P$2:P193)</f>
        <v>165255.4250671796</v>
      </c>
      <c r="T193" s="10">
        <f t="shared" si="50"/>
        <v>65493</v>
      </c>
      <c r="U193" s="10">
        <f t="shared" si="51"/>
        <v>71226</v>
      </c>
      <c r="V193" s="10">
        <f t="shared" si="52"/>
        <v>82627</v>
      </c>
    </row>
    <row r="194" spans="1:22" x14ac:dyDescent="0.25">
      <c r="A194" s="8">
        <v>115.2</v>
      </c>
      <c r="B194" s="8">
        <v>115.8</v>
      </c>
      <c r="C194" s="8">
        <f t="shared" si="42"/>
        <v>27</v>
      </c>
      <c r="D194" s="8" t="s">
        <v>18</v>
      </c>
      <c r="E194" s="8" t="s">
        <v>8</v>
      </c>
      <c r="F194" s="8" cm="1">
        <f t="array" ref="F194">_xlfn.XLOOKUP(D194,'TABELA AUXILIAR'!$A$2:$A$5,IF('SPT-01'!A194&lt;3,'TABELA AUXILIAR'!$B$2:$B$5,'TABELA AUXILIAR'!$C$2:$C$5),"",0,1)</f>
        <v>8.5</v>
      </c>
      <c r="G194" s="9">
        <f t="shared" si="43"/>
        <v>87.428286788095008</v>
      </c>
      <c r="H194" s="10">
        <f t="shared" si="44"/>
        <v>40.668546630262682</v>
      </c>
      <c r="I194" s="10">
        <f t="shared" si="45"/>
        <v>1702.2716950106833</v>
      </c>
      <c r="J194" s="8">
        <f t="shared" si="46"/>
        <v>1062.1500000000692</v>
      </c>
      <c r="K194" s="8">
        <f t="shared" si="47"/>
        <v>0.4069611876630731</v>
      </c>
      <c r="L194" s="8">
        <f t="shared" si="48"/>
        <v>432.25382547636127</v>
      </c>
      <c r="M194" s="8">
        <f t="shared" si="49"/>
        <v>3418.9937994549919</v>
      </c>
      <c r="N194" s="8">
        <f>$L194*'TABELA AUXILIAR'!$I$3*(B194-A194)</f>
        <v>975.1646302746617</v>
      </c>
      <c r="O194" s="8">
        <f>$L194*'TABELA AUXILIAR'!$I$4*(B194-A194)</f>
        <v>1058.1573647661226</v>
      </c>
      <c r="P194" s="8">
        <f>$L194*'TABELA AUXILIAR'!$I$5*(B194-A194)</f>
        <v>1221.5493107961854</v>
      </c>
      <c r="Q194" s="8">
        <f>$M194*'TABELA AUXILIAR'!$J$3+SUM(N$2:N194)</f>
        <v>131972.40907385934</v>
      </c>
      <c r="R194" s="8">
        <f>$M194*'TABELA AUXILIAR'!$J$4+SUM(O$2:O194)</f>
        <v>143524.90692388132</v>
      </c>
      <c r="S194" s="8">
        <f>$M194*'TABELA AUXILIAR'!$J$5+SUM(P$2:P194)</f>
        <v>166494.32696976373</v>
      </c>
      <c r="T194" s="10">
        <f t="shared" si="50"/>
        <v>65986</v>
      </c>
      <c r="U194" s="10">
        <f t="shared" si="51"/>
        <v>71762</v>
      </c>
      <c r="V194" s="10">
        <f t="shared" si="52"/>
        <v>83247</v>
      </c>
    </row>
    <row r="195" spans="1:22" x14ac:dyDescent="0.25">
      <c r="A195" s="8">
        <v>115.8</v>
      </c>
      <c r="B195" s="8">
        <v>116.4</v>
      </c>
      <c r="C195" s="8">
        <f t="shared" si="42"/>
        <v>27</v>
      </c>
      <c r="D195" s="8" t="s">
        <v>18</v>
      </c>
      <c r="E195" s="8" t="s">
        <v>8</v>
      </c>
      <c r="F195" s="8" cm="1">
        <f t="array" ref="F195">_xlfn.XLOOKUP(D195,'TABELA AUXILIAR'!$A$2:$A$5,IF('SPT-01'!A195&lt;3,'TABELA AUXILIAR'!$B$2:$B$5,'TABELA AUXILIAR'!$C$2:$C$5),"",0,1)</f>
        <v>8.5</v>
      </c>
      <c r="G195" s="9">
        <f t="shared" si="43"/>
        <v>87.637932462595018</v>
      </c>
      <c r="H195" s="10">
        <f t="shared" si="44"/>
        <v>40.668546630262682</v>
      </c>
      <c r="I195" s="10">
        <f t="shared" si="45"/>
        <v>1705.5364361365187</v>
      </c>
      <c r="J195" s="8">
        <f t="shared" si="46"/>
        <v>1067.2500000000691</v>
      </c>
      <c r="K195" s="8">
        <f t="shared" si="47"/>
        <v>0.40619967496183268</v>
      </c>
      <c r="L195" s="8">
        <f t="shared" si="48"/>
        <v>433.51660310304402</v>
      </c>
      <c r="M195" s="8">
        <f t="shared" si="49"/>
        <v>3428.8343083553264</v>
      </c>
      <c r="N195" s="8">
        <f>$L195*'TABELA AUXILIAR'!$I$3*(B195-A195)</f>
        <v>978.01345660048116</v>
      </c>
      <c r="O195" s="8">
        <f>$L195*'TABELA AUXILIAR'!$I$4*(B195-A195)</f>
        <v>1061.2486443962669</v>
      </c>
      <c r="P195" s="8">
        <f>$L195*'TABELA AUXILIAR'!$I$5*(B195-A195)</f>
        <v>1225.1179203692197</v>
      </c>
      <c r="Q195" s="8">
        <f>$M195*'TABELA AUXILIAR'!$J$3+SUM(N$2:N195)</f>
        <v>132961.54230551719</v>
      </c>
      <c r="R195" s="8">
        <f>$M195*'TABELA AUXILIAR'!$J$4+SUM(O$2:O195)</f>
        <v>144599.14504002602</v>
      </c>
      <c r="S195" s="8">
        <f>$M195*'TABELA AUXILIAR'!$J$5+SUM(P$2:P195)</f>
        <v>167736.76418579754</v>
      </c>
      <c r="T195" s="10">
        <f t="shared" si="50"/>
        <v>66480</v>
      </c>
      <c r="U195" s="10">
        <f t="shared" si="51"/>
        <v>72299</v>
      </c>
      <c r="V195" s="10">
        <f t="shared" si="52"/>
        <v>83868</v>
      </c>
    </row>
    <row r="196" spans="1:22" x14ac:dyDescent="0.25">
      <c r="A196" s="8">
        <v>116.4</v>
      </c>
      <c r="B196" s="8">
        <v>117</v>
      </c>
      <c r="C196" s="8">
        <f t="shared" si="42"/>
        <v>27</v>
      </c>
      <c r="D196" s="8" t="s">
        <v>18</v>
      </c>
      <c r="E196" s="8" t="s">
        <v>8</v>
      </c>
      <c r="F196" s="8" cm="1">
        <f t="array" ref="F196">_xlfn.XLOOKUP(D196,'TABELA AUXILIAR'!$A$2:$A$5,IF('SPT-01'!A196&lt;3,'TABELA AUXILIAR'!$B$2:$B$5,'TABELA AUXILIAR'!$C$2:$C$5),"",0,1)</f>
        <v>8.5</v>
      </c>
      <c r="G196" s="9">
        <f t="shared" si="43"/>
        <v>87.847077822403094</v>
      </c>
      <c r="H196" s="10">
        <f t="shared" si="44"/>
        <v>40.668546630262682</v>
      </c>
      <c r="I196" s="10">
        <f t="shared" si="45"/>
        <v>1708.7918300156189</v>
      </c>
      <c r="J196" s="8">
        <f t="shared" si="46"/>
        <v>1072.350000000069</v>
      </c>
      <c r="K196" s="8">
        <f t="shared" si="47"/>
        <v>0.40544320737913858</v>
      </c>
      <c r="L196" s="8">
        <f t="shared" si="48"/>
        <v>434.77702343304725</v>
      </c>
      <c r="M196" s="8">
        <f t="shared" si="49"/>
        <v>3438.6560254486803</v>
      </c>
      <c r="N196" s="8">
        <f>$L196*'TABELA AUXILIAR'!$I$3*(B196-A196)</f>
        <v>980.85696486494533</v>
      </c>
      <c r="O196" s="8">
        <f>$L196*'TABELA AUXILIAR'!$I$4*(B196-A196)</f>
        <v>1064.3341533640896</v>
      </c>
      <c r="P196" s="8">
        <f>$L196*'TABELA AUXILIAR'!$I$5*(B196-A196)</f>
        <v>1228.67986822178</v>
      </c>
      <c r="Q196" s="8">
        <f>$M196*'TABELA AUXILIAR'!$J$3+SUM(N$2:N196)</f>
        <v>133953.49781069762</v>
      </c>
      <c r="R196" s="8">
        <f>$M196*'TABELA AUXILIAR'!$J$4+SUM(O$2:O196)</f>
        <v>145676.44385995335</v>
      </c>
      <c r="S196" s="8">
        <f>$M196*'TABELA AUXILIAR'!$J$5+SUM(P$2:P196)</f>
        <v>168982.73027610363</v>
      </c>
      <c r="T196" s="10">
        <f t="shared" si="50"/>
        <v>66976</v>
      </c>
      <c r="U196" s="10">
        <f t="shared" si="51"/>
        <v>72838</v>
      </c>
      <c r="V196" s="10">
        <f t="shared" si="52"/>
        <v>84491</v>
      </c>
    </row>
    <row r="197" spans="1:22" x14ac:dyDescent="0.25">
      <c r="A197" s="8">
        <v>117</v>
      </c>
      <c r="B197" s="8">
        <v>117.6</v>
      </c>
      <c r="C197" s="8">
        <f t="shared" si="42"/>
        <v>27</v>
      </c>
      <c r="D197" s="8" t="s">
        <v>18</v>
      </c>
      <c r="E197" s="8" t="s">
        <v>8</v>
      </c>
      <c r="F197" s="8" cm="1">
        <f t="array" ref="F197">_xlfn.XLOOKUP(D197,'TABELA AUXILIAR'!$A$2:$A$5,IF('SPT-01'!A197&lt;3,'TABELA AUXILIAR'!$B$2:$B$5,'TABELA AUXILIAR'!$C$2:$C$5),"",0,1)</f>
        <v>8.5</v>
      </c>
      <c r="G197" s="9">
        <f t="shared" si="43"/>
        <v>88.055726432483212</v>
      </c>
      <c r="H197" s="10">
        <f t="shared" si="44"/>
        <v>40.668546630262682</v>
      </c>
      <c r="I197" s="10">
        <f t="shared" si="45"/>
        <v>1712.0379476745914</v>
      </c>
      <c r="J197" s="8">
        <f t="shared" si="46"/>
        <v>1077.4500000000689</v>
      </c>
      <c r="K197" s="8">
        <f t="shared" si="47"/>
        <v>0.40469172773372336</v>
      </c>
      <c r="L197" s="8">
        <f t="shared" si="48"/>
        <v>436.03510204672813</v>
      </c>
      <c r="M197" s="8">
        <f t="shared" si="49"/>
        <v>3448.4590757380529</v>
      </c>
      <c r="N197" s="8">
        <f>$L197*'TABELA AUXILIAR'!$I$3*(B197-A197)</f>
        <v>983.69519021740928</v>
      </c>
      <c r="O197" s="8">
        <f>$L197*'TABELA AUXILIAR'!$I$4*(B197-A197)</f>
        <v>1067.4139298103803</v>
      </c>
      <c r="P197" s="8">
        <f>$L197*'TABELA AUXILIAR'!$I$5*(B197-A197)</f>
        <v>1232.235198384042</v>
      </c>
      <c r="Q197" s="8">
        <f>$M197*'TABELA AUXILIAR'!$J$3+SUM(N$2:N197)</f>
        <v>134948.27044774202</v>
      </c>
      <c r="R197" s="8">
        <f>$M197*'TABELA AUXILIAR'!$J$4+SUM(O$2:O197)</f>
        <v>146756.79781614567</v>
      </c>
      <c r="S197" s="8">
        <f>$M197*'TABELA AUXILIAR'!$J$5+SUM(P$2:P197)</f>
        <v>170232.21884299695</v>
      </c>
      <c r="T197" s="10">
        <f t="shared" si="50"/>
        <v>67474</v>
      </c>
      <c r="U197" s="10">
        <f t="shared" si="51"/>
        <v>73378</v>
      </c>
      <c r="V197" s="10">
        <f t="shared" si="52"/>
        <v>85116</v>
      </c>
    </row>
    <row r="198" spans="1:22" x14ac:dyDescent="0.25">
      <c r="A198" s="8">
        <v>117.6</v>
      </c>
      <c r="B198" s="8">
        <v>118.2</v>
      </c>
      <c r="C198" s="8">
        <f t="shared" si="42"/>
        <v>27</v>
      </c>
      <c r="D198" s="8" t="s">
        <v>18</v>
      </c>
      <c r="E198" s="8" t="s">
        <v>8</v>
      </c>
      <c r="F198" s="8" cm="1">
        <f t="array" ref="F198">_xlfn.XLOOKUP(D198,'TABELA AUXILIAR'!$A$2:$A$5,IF('SPT-01'!A198&lt;3,'TABELA AUXILIAR'!$B$2:$B$5,'TABELA AUXILIAR'!$C$2:$C$5),"",0,1)</f>
        <v>8.5</v>
      </c>
      <c r="G198" s="9">
        <f t="shared" si="43"/>
        <v>88.263881815662856</v>
      </c>
      <c r="H198" s="10">
        <f t="shared" si="44"/>
        <v>40.668546630262682</v>
      </c>
      <c r="I198" s="10">
        <f t="shared" si="45"/>
        <v>1715.2748592671662</v>
      </c>
      <c r="J198" s="8">
        <f t="shared" si="46"/>
        <v>1082.5500000000688</v>
      </c>
      <c r="K198" s="8">
        <f t="shared" si="47"/>
        <v>0.40394517975912919</v>
      </c>
      <c r="L198" s="8">
        <f t="shared" si="48"/>
        <v>437.29085434827311</v>
      </c>
      <c r="M198" s="8">
        <f t="shared" si="49"/>
        <v>3458.2435828077264</v>
      </c>
      <c r="N198" s="8">
        <f>$L198*'TABELA AUXILIAR'!$I$3*(B198-A198)</f>
        <v>986.52816740971809</v>
      </c>
      <c r="O198" s="8">
        <f>$L198*'TABELA AUXILIAR'!$I$4*(B198-A198)</f>
        <v>1070.4880114445878</v>
      </c>
      <c r="P198" s="8">
        <f>$L198*'TABELA AUXILIAR'!$I$5*(B198-A198)</f>
        <v>1235.7839543882374</v>
      </c>
      <c r="Q198" s="8">
        <f>$M198*'TABELA AUXILIAR'!$J$3+SUM(N$2:N198)</f>
        <v>135945.85510814047</v>
      </c>
      <c r="R198" s="8">
        <f>$M198*'TABELA AUXILIAR'!$J$4+SUM(O$2:O198)</f>
        <v>147840.20137692225</v>
      </c>
      <c r="S198" s="8">
        <f>$M198*'TABELA AUXILIAR'!$J$5+SUM(P$2:P198)</f>
        <v>171485.22352982781</v>
      </c>
      <c r="T198" s="10">
        <f t="shared" si="50"/>
        <v>67972</v>
      </c>
      <c r="U198" s="10">
        <f t="shared" si="51"/>
        <v>73920</v>
      </c>
      <c r="V198" s="10">
        <f t="shared" si="52"/>
        <v>85742</v>
      </c>
    </row>
    <row r="199" spans="1:22" x14ac:dyDescent="0.25">
      <c r="A199" s="8">
        <v>118.2</v>
      </c>
      <c r="B199" s="8">
        <v>118.8</v>
      </c>
      <c r="C199" s="8">
        <f t="shared" si="42"/>
        <v>27</v>
      </c>
      <c r="D199" s="8" t="s">
        <v>18</v>
      </c>
      <c r="E199" s="8" t="s">
        <v>8</v>
      </c>
      <c r="F199" s="8" cm="1">
        <f t="array" ref="F199">_xlfn.XLOOKUP(D199,'TABELA AUXILIAR'!$A$2:$A$5,IF('SPT-01'!A199&lt;3,'TABELA AUXILIAR'!$B$2:$B$5,'TABELA AUXILIAR'!$C$2:$C$5),"",0,1)</f>
        <v>8.5</v>
      </c>
      <c r="G199" s="9">
        <f t="shared" si="43"/>
        <v>88.471547453326934</v>
      </c>
      <c r="H199" s="10">
        <f t="shared" si="44"/>
        <v>40.668546630262682</v>
      </c>
      <c r="I199" s="10">
        <f t="shared" si="45"/>
        <v>1718.502634088976</v>
      </c>
      <c r="J199" s="8">
        <f t="shared" si="46"/>
        <v>1087.6500000000688</v>
      </c>
      <c r="K199" s="8">
        <f t="shared" si="47"/>
        <v>0.40320350808484556</v>
      </c>
      <c r="L199" s="8">
        <f t="shared" si="48"/>
        <v>438.54429556850999</v>
      </c>
      <c r="M199" s="8">
        <f t="shared" si="49"/>
        <v>3468.0096688459571</v>
      </c>
      <c r="N199" s="8">
        <f>$L199*'TABELA AUXILIAR'!$I$3*(B199-A199)</f>
        <v>989.3559308025491</v>
      </c>
      <c r="O199" s="8">
        <f>$L199*'TABELA AUXILIAR'!$I$4*(B199-A199)</f>
        <v>1073.5564355517024</v>
      </c>
      <c r="P199" s="8">
        <f>$L199*'TABELA AUXILIAR'!$I$5*(B199-A199)</f>
        <v>1239.3261792765975</v>
      </c>
      <c r="Q199" s="8">
        <f>$M199*'TABELA AUXILIAR'!$J$3+SUM(N$2:N199)</f>
        <v>136946.24671616624</v>
      </c>
      <c r="R199" s="8">
        <f>$M199*'TABELA AUXILIAR'!$J$4+SUM(O$2:O199)</f>
        <v>148926.64904604442</v>
      </c>
      <c r="S199" s="8">
        <f>$M199*'TABELA AUXILIAR'!$J$5+SUM(P$2:P199)</f>
        <v>172741.73802053169</v>
      </c>
      <c r="T199" s="10">
        <f t="shared" si="50"/>
        <v>68473</v>
      </c>
      <c r="U199" s="10">
        <f t="shared" si="51"/>
        <v>74463</v>
      </c>
      <c r="V199" s="10">
        <f t="shared" si="52"/>
        <v>86370</v>
      </c>
    </row>
    <row r="200" spans="1:22" x14ac:dyDescent="0.25">
      <c r="A200" s="8">
        <v>118.8</v>
      </c>
      <c r="B200" s="8">
        <v>119.4</v>
      </c>
      <c r="C200" s="8">
        <f t="shared" si="42"/>
        <v>27</v>
      </c>
      <c r="D200" s="8" t="s">
        <v>18</v>
      </c>
      <c r="E200" s="8" t="s">
        <v>8</v>
      </c>
      <c r="F200" s="8" cm="1">
        <f t="array" ref="F200">_xlfn.XLOOKUP(D200,'TABELA AUXILIAR'!$A$2:$A$5,IF('SPT-01'!A200&lt;3,'TABELA AUXILIAR'!$B$2:$B$5,'TABELA AUXILIAR'!$C$2:$C$5),"",0,1)</f>
        <v>8.5</v>
      </c>
      <c r="G200" s="9">
        <f t="shared" si="43"/>
        <v>88.67872678609713</v>
      </c>
      <c r="H200" s="10">
        <f t="shared" si="44"/>
        <v>40.668546630262682</v>
      </c>
      <c r="I200" s="10">
        <f t="shared" si="45"/>
        <v>1721.7213405920184</v>
      </c>
      <c r="J200" s="8">
        <f t="shared" si="46"/>
        <v>1092.7500000000687</v>
      </c>
      <c r="K200" s="8">
        <f t="shared" si="47"/>
        <v>0.4024666582179211</v>
      </c>
      <c r="L200" s="8">
        <f t="shared" si="48"/>
        <v>439.79544076766092</v>
      </c>
      <c r="M200" s="8">
        <f t="shared" si="49"/>
        <v>3477.7574546672172</v>
      </c>
      <c r="N200" s="8">
        <f>$L200*'TABELA AUXILIAR'!$I$3*(B200-A200)</f>
        <v>992.17851437185709</v>
      </c>
      <c r="O200" s="8">
        <f>$L200*'TABELA AUXILIAR'!$I$4*(B200-A200)</f>
        <v>1076.6192389992493</v>
      </c>
      <c r="P200" s="8">
        <f>$L200*'TABELA AUXILIAR'!$I$5*(B200-A200)</f>
        <v>1242.8619156094273</v>
      </c>
      <c r="Q200" s="8">
        <f>$M200*'TABELA AUXILIAR'!$J$3+SUM(N$2:N200)</f>
        <v>137949.44022851612</v>
      </c>
      <c r="R200" s="8">
        <f>$M200*'TABELA AUXILIAR'!$J$4+SUM(O$2:O200)</f>
        <v>150016.13536232771</v>
      </c>
      <c r="S200" s="8">
        <f>$M200*'TABELA AUXILIAR'!$J$5+SUM(P$2:P200)</f>
        <v>174001.75603918653</v>
      </c>
      <c r="T200" s="10">
        <f t="shared" si="50"/>
        <v>68974</v>
      </c>
      <c r="U200" s="10">
        <f t="shared" si="51"/>
        <v>75008</v>
      </c>
      <c r="V200" s="10">
        <f t="shared" si="52"/>
        <v>87000</v>
      </c>
    </row>
    <row r="201" spans="1:22" x14ac:dyDescent="0.25">
      <c r="A201" s="8">
        <v>119.4</v>
      </c>
      <c r="B201" s="8">
        <v>120</v>
      </c>
      <c r="C201" s="8">
        <f t="shared" si="42"/>
        <v>27</v>
      </c>
      <c r="D201" s="8" t="s">
        <v>18</v>
      </c>
      <c r="E201" s="8" t="s">
        <v>8</v>
      </c>
      <c r="F201" s="8" cm="1">
        <f t="array" ref="F201">_xlfn.XLOOKUP(D201,'TABELA AUXILIAR'!$A$2:$A$5,IF('SPT-01'!A201&lt;3,'TABELA AUXILIAR'!$B$2:$B$5,'TABELA AUXILIAR'!$C$2:$C$5),"",0,1)</f>
        <v>8.5</v>
      </c>
      <c r="G201" s="9">
        <f t="shared" si="43"/>
        <v>88.885423214496967</v>
      </c>
      <c r="H201" s="10">
        <f t="shared" si="44"/>
        <v>40.668546630262682</v>
      </c>
      <c r="I201" s="10">
        <f t="shared" si="45"/>
        <v>1724.9310463988118</v>
      </c>
      <c r="J201" s="8">
        <f t="shared" si="46"/>
        <v>1097.8500000000686</v>
      </c>
      <c r="K201" s="8">
        <f t="shared" si="47"/>
        <v>0.40173457652503797</v>
      </c>
      <c r="L201" s="8">
        <f t="shared" si="48"/>
        <v>441.04430483804049</v>
      </c>
      <c r="M201" s="8">
        <f t="shared" si="49"/>
        <v>3487.48705973397</v>
      </c>
      <c r="N201" s="8">
        <f>$L201*'TABELA AUXILIAR'!$I$3*(B201-A201)</f>
        <v>994.99595171460987</v>
      </c>
      <c r="O201" s="8">
        <f>$L201*'TABELA AUXILIAR'!$I$4*(B201-A201)</f>
        <v>1079.676458243513</v>
      </c>
      <c r="P201" s="8">
        <f>$L201*'TABELA AUXILIAR'!$I$5*(B201-A201)</f>
        <v>1246.3912054722907</v>
      </c>
      <c r="Q201" s="8">
        <f>$M201*'TABELA AUXILIAR'!$J$3+SUM(N$2:N201)</f>
        <v>138955.43063395616</v>
      </c>
      <c r="R201" s="8">
        <f>$M201*'TABELA AUXILIAR'!$J$4+SUM(O$2:O201)</f>
        <v>151108.65489925933</v>
      </c>
      <c r="S201" s="8">
        <f>$M201*'TABELA AUXILIAR'!$J$5+SUM(P$2:P201)</f>
        <v>175265.2713495763</v>
      </c>
      <c r="T201" s="10">
        <f t="shared" si="50"/>
        <v>69477</v>
      </c>
      <c r="U201" s="10">
        <f t="shared" si="51"/>
        <v>75554</v>
      </c>
      <c r="V201" s="10">
        <f t="shared" si="52"/>
        <v>87632</v>
      </c>
    </row>
    <row r="202" spans="1:22" x14ac:dyDescent="0.25">
      <c r="A202" s="8">
        <v>120</v>
      </c>
      <c r="B202" s="8">
        <v>120.6</v>
      </c>
      <c r="C202" s="8">
        <f t="shared" si="42"/>
        <v>27</v>
      </c>
      <c r="D202" s="8" t="s">
        <v>18</v>
      </c>
      <c r="E202" s="8" t="s">
        <v>8</v>
      </c>
      <c r="F202" s="8" cm="1">
        <f t="array" ref="F202">_xlfn.XLOOKUP(D202,'TABELA AUXILIAR'!$A$2:$A$5,IF('SPT-01'!A202&lt;3,'TABELA AUXILIAR'!$B$2:$B$5,'TABELA AUXILIAR'!$C$2:$C$5),"",0,1)</f>
        <v>8.5</v>
      </c>
      <c r="G202" s="9">
        <f t="shared" si="43"/>
        <v>89.091640099603154</v>
      </c>
      <c r="H202" s="10">
        <f t="shared" si="44"/>
        <v>40.668546630262682</v>
      </c>
      <c r="I202" s="10">
        <f t="shared" si="45"/>
        <v>1728.1318183162514</v>
      </c>
      <c r="J202" s="8">
        <f t="shared" si="46"/>
        <v>1102.9500000000685</v>
      </c>
      <c r="K202" s="8">
        <f t="shared" si="47"/>
        <v>0.40100721021503355</v>
      </c>
      <c r="L202" s="8">
        <f t="shared" si="48"/>
        <v>442.29090250669873</v>
      </c>
      <c r="M202" s="8">
        <f t="shared" si="49"/>
        <v>3497.1986021780149</v>
      </c>
      <c r="N202" s="8">
        <f>$L202*'TABELA AUXILIAR'!$I$3*(B202-A202)</f>
        <v>997.80827605510274</v>
      </c>
      <c r="O202" s="8">
        <f>$L202*'TABELA AUXILIAR'!$I$4*(B202-A202)</f>
        <v>1082.7281293363883</v>
      </c>
      <c r="P202" s="8">
        <f>$L202*'TABELA AUXILIAR'!$I$5*(B202-A202)</f>
        <v>1249.9140904839189</v>
      </c>
      <c r="Q202" s="8">
        <f>$M202*'TABELA AUXILIAR'!$J$3+SUM(N$2:N202)</f>
        <v>139964.212952973</v>
      </c>
      <c r="R202" s="8">
        <f>$M202*'TABELA AUXILIAR'!$J$4+SUM(O$2:O202)</f>
        <v>152204.20226462185</v>
      </c>
      <c r="S202" s="8">
        <f>$M202*'TABELA AUXILIAR'!$J$5+SUM(P$2:P202)</f>
        <v>176532.27775476174</v>
      </c>
      <c r="T202" s="10">
        <f t="shared" si="50"/>
        <v>69982</v>
      </c>
      <c r="U202" s="10">
        <f t="shared" si="51"/>
        <v>76102</v>
      </c>
      <c r="V202" s="10">
        <f t="shared" si="52"/>
        <v>88266</v>
      </c>
    </row>
    <row r="203" spans="1:22" x14ac:dyDescent="0.25">
      <c r="A203" s="8">
        <v>120.6</v>
      </c>
      <c r="B203" s="8">
        <v>121.2</v>
      </c>
      <c r="C203" s="8">
        <f t="shared" si="42"/>
        <v>27</v>
      </c>
      <c r="D203" s="8" t="s">
        <v>18</v>
      </c>
      <c r="E203" s="8" t="s">
        <v>8</v>
      </c>
      <c r="F203" s="8" cm="1">
        <f t="array" ref="F203">_xlfn.XLOOKUP(D203,'TABELA AUXILIAR'!$A$2:$A$5,IF('SPT-01'!A203&lt;3,'TABELA AUXILIAR'!$B$2:$B$5,'TABELA AUXILIAR'!$C$2:$C$5),"",0,1)</f>
        <v>8.5</v>
      </c>
      <c r="G203" s="9">
        <f t="shared" si="43"/>
        <v>89.297380763683066</v>
      </c>
      <c r="H203" s="10">
        <f t="shared" si="44"/>
        <v>40.668546630262682</v>
      </c>
      <c r="I203" s="10">
        <f t="shared" si="45"/>
        <v>1731.3237223491617</v>
      </c>
      <c r="J203" s="8">
        <f t="shared" si="46"/>
        <v>1108.0500000000684</v>
      </c>
      <c r="K203" s="8">
        <f t="shared" si="47"/>
        <v>0.40028450732185555</v>
      </c>
      <c r="L203" s="8">
        <f t="shared" si="48"/>
        <v>443.53524833800941</v>
      </c>
      <c r="M203" s="8">
        <f t="shared" si="49"/>
        <v>3506.8921988213733</v>
      </c>
      <c r="N203" s="8">
        <f>$L203*'TABELA AUXILIAR'!$I$3*(B203-A203)</f>
        <v>1000.6155202505635</v>
      </c>
      <c r="O203" s="8">
        <f>$L203*'TABELA AUXILIAR'!$I$4*(B203-A203)</f>
        <v>1085.7742879314624</v>
      </c>
      <c r="P203" s="8">
        <f>$L203*'TABELA AUXILIAR'!$I$5*(B203-A203)</f>
        <v>1253.4306118032323</v>
      </c>
      <c r="Q203" s="8">
        <f>$M203*'TABELA AUXILIAR'!$J$3+SUM(N$2:N203)</f>
        <v>140975.78223743057</v>
      </c>
      <c r="R203" s="8">
        <f>$M203*'TABELA AUXILIAR'!$J$4+SUM(O$2:O203)</f>
        <v>153302.77210012256</v>
      </c>
      <c r="S203" s="8">
        <f>$M203*'TABELA AUXILIAR'!$J$5+SUM(P$2:P203)</f>
        <v>177802.76909665726</v>
      </c>
      <c r="T203" s="10">
        <f t="shared" si="50"/>
        <v>70487</v>
      </c>
      <c r="U203" s="10">
        <f t="shared" si="51"/>
        <v>76651</v>
      </c>
      <c r="V203" s="10">
        <f t="shared" si="52"/>
        <v>88901</v>
      </c>
    </row>
    <row r="204" spans="1:22" x14ac:dyDescent="0.25">
      <c r="A204" s="8">
        <v>121.2</v>
      </c>
      <c r="B204" s="8">
        <v>121.8</v>
      </c>
      <c r="C204" s="8">
        <f t="shared" si="42"/>
        <v>27</v>
      </c>
      <c r="D204" s="8" t="s">
        <v>18</v>
      </c>
      <c r="E204" s="8" t="s">
        <v>8</v>
      </c>
      <c r="F204" s="8" cm="1">
        <f t="array" ref="F204">_xlfn.XLOOKUP(D204,'TABELA AUXILIAR'!$A$2:$A$5,IF('SPT-01'!A204&lt;3,'TABELA AUXILIAR'!$B$2:$B$5,'TABELA AUXILIAR'!$C$2:$C$5),"",0,1)</f>
        <v>8.5</v>
      </c>
      <c r="G204" s="9">
        <f t="shared" si="43"/>
        <v>89.502648490819368</v>
      </c>
      <c r="H204" s="10">
        <f t="shared" si="44"/>
        <v>40.668546630262682</v>
      </c>
      <c r="I204" s="10">
        <f t="shared" si="45"/>
        <v>1734.5068237135745</v>
      </c>
      <c r="J204" s="8">
        <f t="shared" si="46"/>
        <v>1113.1500000000683</v>
      </c>
      <c r="K204" s="8">
        <f t="shared" si="47"/>
        <v>0.39956641668793974</v>
      </c>
      <c r="L204" s="8">
        <f t="shared" si="48"/>
        <v>444.77735673620742</v>
      </c>
      <c r="M204" s="8">
        <f t="shared" si="49"/>
        <v>3516.5679651967762</v>
      </c>
      <c r="N204" s="8">
        <f>$L204*'TABELA AUXILIAR'!$I$3*(B204-A204)</f>
        <v>1003.4177167968744</v>
      </c>
      <c r="O204" s="8">
        <f>$L204*'TABELA AUXILIAR'!$I$4*(B204-A204)</f>
        <v>1088.8149692902255</v>
      </c>
      <c r="P204" s="8">
        <f>$L204*'TABELA AUXILIAR'!$I$5*(B204-A204)</f>
        <v>1256.9408101365102</v>
      </c>
      <c r="Q204" s="8">
        <f>$M204*'TABELA AUXILIAR'!$J$3+SUM(N$2:N204)</f>
        <v>141990.13357023167</v>
      </c>
      <c r="R204" s="8">
        <f>$M204*'TABELA AUXILIAR'!$J$4+SUM(O$2:O204)</f>
        <v>154404.35908102832</v>
      </c>
      <c r="S204" s="8">
        <f>$M204*'TABELA AUXILIAR'!$J$5+SUM(P$2:P204)</f>
        <v>179076.73925561446</v>
      </c>
      <c r="T204" s="10">
        <f t="shared" si="50"/>
        <v>70995</v>
      </c>
      <c r="U204" s="10">
        <f t="shared" si="51"/>
        <v>77202</v>
      </c>
      <c r="V204" s="10">
        <f t="shared" si="52"/>
        <v>89538</v>
      </c>
    </row>
    <row r="205" spans="1:22" x14ac:dyDescent="0.25">
      <c r="A205" s="8">
        <v>121.8</v>
      </c>
      <c r="B205" s="8">
        <v>122.4</v>
      </c>
      <c r="C205" s="8">
        <f t="shared" ref="C205:C222" si="53">ROUNDDOWN(_xlfn.PERCENTILE.INC($C$1:$C$75,0.15),0)</f>
        <v>27</v>
      </c>
      <c r="D205" s="8" t="s">
        <v>18</v>
      </c>
      <c r="E205" s="8" t="s">
        <v>8</v>
      </c>
      <c r="F205" s="8" cm="1">
        <f t="array" ref="F205">_xlfn.XLOOKUP(D205,'TABELA AUXILIAR'!$A$2:$A$5,IF('SPT-01'!A205&lt;3,'TABELA AUXILIAR'!$B$2:$B$5,'TABELA AUXILIAR'!$C$2:$C$5),"",0,1)</f>
        <v>8.5</v>
      </c>
      <c r="G205" s="9">
        <f t="shared" si="43"/>
        <v>89.707446527521626</v>
      </c>
      <c r="H205" s="10">
        <f t="shared" si="44"/>
        <v>40.668546630262682</v>
      </c>
      <c r="I205" s="10">
        <f t="shared" si="45"/>
        <v>1737.6811868497161</v>
      </c>
      <c r="J205" s="8">
        <f t="shared" si="46"/>
        <v>1118.2500000000682</v>
      </c>
      <c r="K205" s="8">
        <f t="shared" si="47"/>
        <v>0.39885288794799617</v>
      </c>
      <c r="L205" s="8">
        <f t="shared" si="48"/>
        <v>446.01724194787391</v>
      </c>
      <c r="M205" s="8">
        <f t="shared" si="49"/>
        <v>3526.2260155677291</v>
      </c>
      <c r="N205" s="8">
        <f>$L205*'TABELA AUXILIAR'!$I$3*(B205-A205)</f>
        <v>1006.2148978344177</v>
      </c>
      <c r="O205" s="8">
        <f>$L205*'TABELA AUXILIAR'!$I$4*(B205-A205)</f>
        <v>1091.8502082884108</v>
      </c>
      <c r="P205" s="8">
        <f>$L205*'TABELA AUXILIAR'!$I$5*(B205-A205)</f>
        <v>1260.4447257447096</v>
      </c>
      <c r="Q205" s="8">
        <f>$M205*'TABELA AUXILIAR'!$J$3+SUM(N$2:N205)</f>
        <v>143007.26206498526</v>
      </c>
      <c r="R205" s="8">
        <f>$M205*'TABELA AUXILIAR'!$J$4+SUM(O$2:O205)</f>
        <v>155508.95791580639</v>
      </c>
      <c r="S205" s="8">
        <f>$M205*'TABELA AUXILIAR'!$J$5+SUM(P$2:P205)</f>
        <v>180354.18215001206</v>
      </c>
      <c r="T205" s="10">
        <f t="shared" si="50"/>
        <v>71503</v>
      </c>
      <c r="U205" s="10">
        <f t="shared" si="51"/>
        <v>77754</v>
      </c>
      <c r="V205" s="10">
        <f t="shared" si="52"/>
        <v>90177</v>
      </c>
    </row>
    <row r="206" spans="1:22" x14ac:dyDescent="0.25">
      <c r="A206" s="8">
        <v>122.4</v>
      </c>
      <c r="B206" s="8">
        <v>123</v>
      </c>
      <c r="C206" s="8">
        <f t="shared" si="53"/>
        <v>27</v>
      </c>
      <c r="D206" s="8" t="s">
        <v>18</v>
      </c>
      <c r="E206" s="8" t="s">
        <v>8</v>
      </c>
      <c r="F206" s="8" cm="1">
        <f t="array" ref="F206">_xlfn.XLOOKUP(D206,'TABELA AUXILIAR'!$A$2:$A$5,IF('SPT-01'!A206&lt;3,'TABELA AUXILIAR'!$B$2:$B$5,'TABELA AUXILIAR'!$C$2:$C$5),"",0,1)</f>
        <v>8.5</v>
      </c>
      <c r="G206" s="9">
        <f t="shared" si="43"/>
        <v>89.91177808332526</v>
      </c>
      <c r="H206" s="10">
        <f t="shared" si="44"/>
        <v>40.668546630262682</v>
      </c>
      <c r="I206" s="10">
        <f t="shared" si="45"/>
        <v>1740.8468754347318</v>
      </c>
      <c r="J206" s="8">
        <f t="shared" si="46"/>
        <v>1123.3500000000681</v>
      </c>
      <c r="K206" s="8">
        <f t="shared" si="47"/>
        <v>0.39814387151319369</v>
      </c>
      <c r="L206" s="8">
        <f t="shared" si="48"/>
        <v>447.25491806437327</v>
      </c>
      <c r="M206" s="8">
        <f t="shared" si="49"/>
        <v>3535.8664629481746</v>
      </c>
      <c r="N206" s="8">
        <f>$L206*'TABELA AUXILIAR'!$I$3*(B206-A206)</f>
        <v>1009.0070951532165</v>
      </c>
      <c r="O206" s="8">
        <f>$L206*'TABELA AUXILIAR'!$I$4*(B206-A206)</f>
        <v>1094.8800394215755</v>
      </c>
      <c r="P206" s="8">
        <f>$L206*'TABELA AUXILIAR'!$I$5*(B206-A206)</f>
        <v>1263.9423984499069</v>
      </c>
      <c r="Q206" s="8">
        <f>$M206*'TABELA AUXILIAR'!$J$3+SUM(N$2:N206)</f>
        <v>144027.16286567837</v>
      </c>
      <c r="R206" s="8">
        <f>$M206*'TABELA AUXILIAR'!$J$4+SUM(O$2:O206)</f>
        <v>156616.56334577015</v>
      </c>
      <c r="S206" s="8">
        <f>$M206*'TABELA AUXILIAR'!$J$5+SUM(P$2:P206)</f>
        <v>181635.09173585154</v>
      </c>
      <c r="T206" s="10">
        <f t="shared" si="50"/>
        <v>72013</v>
      </c>
      <c r="U206" s="10">
        <f t="shared" si="51"/>
        <v>78308</v>
      </c>
      <c r="V206" s="10">
        <f t="shared" si="52"/>
        <v>90817</v>
      </c>
    </row>
    <row r="207" spans="1:22" x14ac:dyDescent="0.25">
      <c r="A207" s="8">
        <v>123</v>
      </c>
      <c r="B207" s="8">
        <v>123.6</v>
      </c>
      <c r="C207" s="8">
        <f t="shared" si="53"/>
        <v>27</v>
      </c>
      <c r="D207" s="8" t="s">
        <v>18</v>
      </c>
      <c r="E207" s="8" t="s">
        <v>8</v>
      </c>
      <c r="F207" s="8" cm="1">
        <f t="array" ref="F207">_xlfn.XLOOKUP(D207,'TABELA AUXILIAR'!$A$2:$A$5,IF('SPT-01'!A207&lt;3,'TABELA AUXILIAR'!$B$2:$B$5,'TABELA AUXILIAR'!$C$2:$C$5),"",0,1)</f>
        <v>8.5</v>
      </c>
      <c r="G207" s="9">
        <f t="shared" si="43"/>
        <v>90.115646331378599</v>
      </c>
      <c r="H207" s="10">
        <f t="shared" si="44"/>
        <v>40.668546630262682</v>
      </c>
      <c r="I207" s="10">
        <f t="shared" si="45"/>
        <v>1744.0039523951398</v>
      </c>
      <c r="J207" s="8">
        <f t="shared" si="46"/>
        <v>1128.450000000068</v>
      </c>
      <c r="K207" s="8">
        <f t="shared" si="47"/>
        <v>0.39743931855572928</v>
      </c>
      <c r="L207" s="8">
        <f t="shared" si="48"/>
        <v>448.49039902423976</v>
      </c>
      <c r="M207" s="8">
        <f t="shared" si="49"/>
        <v>3545.4894191217641</v>
      </c>
      <c r="N207" s="8">
        <f>$L207*'TABELA AUXILIAR'!$I$3*(B207-A207)</f>
        <v>1011.7943401986753</v>
      </c>
      <c r="O207" s="8">
        <f>$L207*'TABELA AUXILIAR'!$I$4*(B207-A207)</f>
        <v>1097.9044968113285</v>
      </c>
      <c r="P207" s="8">
        <f>$L207*'TABELA AUXILIAR'!$I$5*(B207-A207)</f>
        <v>1267.4338676424895</v>
      </c>
      <c r="Q207" s="8">
        <f>$M207*'TABELA AUXILIAR'!$J$3+SUM(N$2:N207)</f>
        <v>145049.83114635322</v>
      </c>
      <c r="R207" s="8">
        <f>$M207*'TABELA AUXILIAR'!$J$4+SUM(O$2:O207)</f>
        <v>157727.17014473063</v>
      </c>
      <c r="S207" s="8">
        <f>$M207*'TABELA AUXILIAR'!$J$5+SUM(P$2:P207)</f>
        <v>182919.46200635956</v>
      </c>
      <c r="T207" s="10">
        <f t="shared" si="50"/>
        <v>72524</v>
      </c>
      <c r="U207" s="10">
        <f t="shared" si="51"/>
        <v>78863</v>
      </c>
      <c r="V207" s="10">
        <f t="shared" si="52"/>
        <v>91459</v>
      </c>
    </row>
    <row r="208" spans="1:22" x14ac:dyDescent="0.25">
      <c r="A208" s="8">
        <v>123.6</v>
      </c>
      <c r="B208" s="8">
        <v>124.2</v>
      </c>
      <c r="C208" s="8">
        <f t="shared" si="53"/>
        <v>27</v>
      </c>
      <c r="D208" s="8" t="s">
        <v>18</v>
      </c>
      <c r="E208" s="8" t="s">
        <v>8</v>
      </c>
      <c r="F208" s="8" cm="1">
        <f t="array" ref="F208">_xlfn.XLOOKUP(D208,'TABELA AUXILIAR'!$A$2:$A$5,IF('SPT-01'!A208&lt;3,'TABELA AUXILIAR'!$B$2:$B$5,'TABELA AUXILIAR'!$C$2:$C$5),"",0,1)</f>
        <v>8.5</v>
      </c>
      <c r="G208" s="9">
        <f t="shared" si="43"/>
        <v>90.319054409017639</v>
      </c>
      <c r="H208" s="10">
        <f t="shared" si="44"/>
        <v>40.668546630262682</v>
      </c>
      <c r="I208" s="10">
        <f t="shared" si="45"/>
        <v>1747.1524799190222</v>
      </c>
      <c r="J208" s="8">
        <f t="shared" si="46"/>
        <v>1133.5500000000679</v>
      </c>
      <c r="K208" s="8">
        <f t="shared" si="47"/>
        <v>0.39673918099377226</v>
      </c>
      <c r="L208" s="8">
        <f t="shared" si="48"/>
        <v>449.72369861551749</v>
      </c>
      <c r="M208" s="8">
        <f t="shared" si="49"/>
        <v>3555.0949946607388</v>
      </c>
      <c r="N208" s="8">
        <f>$L208*'TABELA AUXILIAR'!$I$3*(B208-A208)</f>
        <v>1014.5766640766218</v>
      </c>
      <c r="O208" s="8">
        <f>$L208*'TABELA AUXILIAR'!$I$4*(B208-A208)</f>
        <v>1100.9236142108025</v>
      </c>
      <c r="P208" s="8">
        <f>$L208*'TABELA AUXILIAR'!$I$5*(B208-A208)</f>
        <v>1270.9191722874705</v>
      </c>
      <c r="Q208" s="8">
        <f>$M208*'TABELA AUXILIAR'!$J$3+SUM(N$2:N208)</f>
        <v>146075.26211078887</v>
      </c>
      <c r="R208" s="8">
        <f>$M208*'TABELA AUXILIAR'!$J$4+SUM(O$2:O208)</f>
        <v>158840.77311865287</v>
      </c>
      <c r="S208" s="8">
        <f>$M208*'TABELA AUXILIAR'!$J$5+SUM(P$2:P208)</f>
        <v>184207.28699159564</v>
      </c>
      <c r="T208" s="10">
        <f t="shared" si="50"/>
        <v>73037</v>
      </c>
      <c r="U208" s="10">
        <f t="shared" si="51"/>
        <v>79420</v>
      </c>
      <c r="V208" s="10">
        <f t="shared" si="52"/>
        <v>92103</v>
      </c>
    </row>
    <row r="209" spans="1:22" x14ac:dyDescent="0.25">
      <c r="A209" s="8">
        <v>124.2</v>
      </c>
      <c r="B209" s="8">
        <v>124.8</v>
      </c>
      <c r="C209" s="8">
        <f t="shared" si="53"/>
        <v>27</v>
      </c>
      <c r="D209" s="8" t="s">
        <v>18</v>
      </c>
      <c r="E209" s="8" t="s">
        <v>8</v>
      </c>
      <c r="F209" s="8" cm="1">
        <f t="array" ref="F209">_xlfn.XLOOKUP(D209,'TABELA AUXILIAR'!$A$2:$A$5,IF('SPT-01'!A209&lt;3,'TABELA AUXILIAR'!$B$2:$B$5,'TABELA AUXILIAR'!$C$2:$C$5),"",0,1)</f>
        <v>8.5</v>
      </c>
      <c r="G209" s="9">
        <f t="shared" si="43"/>
        <v>90.522005418329442</v>
      </c>
      <c r="H209" s="10">
        <f t="shared" si="44"/>
        <v>40.668546630262682</v>
      </c>
      <c r="I209" s="10">
        <f t="shared" si="45"/>
        <v>1750.2925194679785</v>
      </c>
      <c r="J209" s="8">
        <f t="shared" si="46"/>
        <v>1138.6500000000678</v>
      </c>
      <c r="K209" s="8">
        <f t="shared" si="47"/>
        <v>0.39604341147677397</v>
      </c>
      <c r="L209" s="8">
        <f t="shared" si="48"/>
        <v>450.95483047805556</v>
      </c>
      <c r="M209" s="8">
        <f t="shared" si="49"/>
        <v>3564.6832989444579</v>
      </c>
      <c r="N209" s="8">
        <f>$L209*'TABELA AUXILIAR'!$I$3*(B209-A209)</f>
        <v>1017.3540975584837</v>
      </c>
      <c r="O209" s="8">
        <f>$L209*'TABELA AUXILIAR'!$I$4*(B209-A209)</f>
        <v>1103.9374250102696</v>
      </c>
      <c r="P209" s="8">
        <f>$L209*'TABELA AUXILIAR'!$I$5*(B209-A209)</f>
        <v>1274.3983509309728</v>
      </c>
      <c r="Q209" s="8">
        <f>$M209*'TABELA AUXILIAR'!$J$3+SUM(N$2:N209)</f>
        <v>147103.45099218795</v>
      </c>
      <c r="R209" s="8">
        <f>$M209*'TABELA AUXILIAR'!$J$4+SUM(O$2:O209)</f>
        <v>159957.36710531762</v>
      </c>
      <c r="S209" s="8">
        <f>$M209*'TABELA AUXILIAR'!$J$5+SUM(P$2:P209)</f>
        <v>185498.56075806596</v>
      </c>
      <c r="T209" s="10">
        <f t="shared" si="50"/>
        <v>73551</v>
      </c>
      <c r="U209" s="10">
        <f t="shared" si="51"/>
        <v>79978</v>
      </c>
      <c r="V209" s="10">
        <f t="shared" si="52"/>
        <v>92749</v>
      </c>
    </row>
    <row r="210" spans="1:22" x14ac:dyDescent="0.25">
      <c r="A210" s="8">
        <v>124.8</v>
      </c>
      <c r="B210" s="8">
        <v>125.4</v>
      </c>
      <c r="C210" s="8">
        <f t="shared" si="53"/>
        <v>27</v>
      </c>
      <c r="D210" s="8" t="s">
        <v>18</v>
      </c>
      <c r="E210" s="8" t="s">
        <v>8</v>
      </c>
      <c r="F210" s="8" cm="1">
        <f t="array" ref="F210">_xlfn.XLOOKUP(D210,'TABELA AUXILIAR'!$A$2:$A$5,IF('SPT-01'!A210&lt;3,'TABELA AUXILIAR'!$B$2:$B$5,'TABELA AUXILIAR'!$C$2:$C$5),"",0,1)</f>
        <v>8.5</v>
      </c>
      <c r="G210" s="9">
        <f t="shared" si="43"/>
        <v>90.724502426704134</v>
      </c>
      <c r="H210" s="10">
        <f t="shared" si="44"/>
        <v>40.668546630262682</v>
      </c>
      <c r="I210" s="10">
        <f t="shared" si="45"/>
        <v>1753.4241317888197</v>
      </c>
      <c r="J210" s="8">
        <f t="shared" si="46"/>
        <v>1143.7500000000678</v>
      </c>
      <c r="K210" s="8">
        <f t="shared" si="47"/>
        <v>0.39535196337112949</v>
      </c>
      <c r="L210" s="8">
        <f t="shared" si="48"/>
        <v>452.18380810575616</v>
      </c>
      <c r="M210" s="8">
        <f t="shared" si="49"/>
        <v>3574.2544401775381</v>
      </c>
      <c r="N210" s="8">
        <f>$L210*'TABELA AUXILIAR'!$I$3*(B210-A210)</f>
        <v>1020.1266710866004</v>
      </c>
      <c r="O210" s="8">
        <f>$L210*'TABELA AUXILIAR'!$I$4*(B210-A210)</f>
        <v>1106.9459622429067</v>
      </c>
      <c r="P210" s="8">
        <f>$L210*'TABELA AUXILIAR'!$I$5*(B210-A210)</f>
        <v>1277.8714417068852</v>
      </c>
      <c r="Q210" s="8">
        <f>$M210*'TABELA AUXILIAR'!$J$3+SUM(N$2:N210)</f>
        <v>148134.39305286793</v>
      </c>
      <c r="R210" s="8">
        <f>$M210*'TABELA AUXILIAR'!$J$4+SUM(O$2:O210)</f>
        <v>161076.9469739882</v>
      </c>
      <c r="S210" s="8">
        <f>$M210*'TABELA AUXILIAR'!$J$5+SUM(P$2:P210)</f>
        <v>186793.27740834307</v>
      </c>
      <c r="T210" s="10">
        <f t="shared" si="50"/>
        <v>74067</v>
      </c>
      <c r="U210" s="10">
        <f t="shared" si="51"/>
        <v>80538</v>
      </c>
      <c r="V210" s="10">
        <f t="shared" si="52"/>
        <v>93396</v>
      </c>
    </row>
    <row r="211" spans="1:22" x14ac:dyDescent="0.25">
      <c r="A211" s="8">
        <v>125.4</v>
      </c>
      <c r="B211" s="8">
        <v>126</v>
      </c>
      <c r="C211" s="8">
        <f t="shared" si="53"/>
        <v>27</v>
      </c>
      <c r="D211" s="8" t="s">
        <v>18</v>
      </c>
      <c r="E211" s="8" t="s">
        <v>8</v>
      </c>
      <c r="F211" s="8" cm="1">
        <f t="array" ref="F211">_xlfn.XLOOKUP(D211,'TABELA AUXILIAR'!$A$2:$A$5,IF('SPT-01'!A211&lt;3,'TABELA AUXILIAR'!$B$2:$B$5,'TABELA AUXILIAR'!$C$2:$C$5),"",0,1)</f>
        <v>8.5</v>
      </c>
      <c r="G211" s="9">
        <f t="shared" si="43"/>
        <v>90.92654846737571</v>
      </c>
      <c r="H211" s="10">
        <f t="shared" si="44"/>
        <v>40.668546630262682</v>
      </c>
      <c r="I211" s="10">
        <f t="shared" si="45"/>
        <v>1756.5473769250239</v>
      </c>
      <c r="J211" s="8">
        <f t="shared" si="46"/>
        <v>1148.8500000000677</v>
      </c>
      <c r="K211" s="8">
        <f t="shared" si="47"/>
        <v>0.39466479074618316</v>
      </c>
      <c r="L211" s="8">
        <f t="shared" si="48"/>
        <v>453.41064484877921</v>
      </c>
      <c r="M211" s="8">
        <f t="shared" si="49"/>
        <v>3583.8085254076514</v>
      </c>
      <c r="N211" s="8">
        <f>$L211*'TABELA AUXILIAR'!$I$3*(B211-A211)</f>
        <v>1022.8944147788361</v>
      </c>
      <c r="O211" s="8">
        <f>$L211*'TABELA AUXILIAR'!$I$4*(B211-A211)</f>
        <v>1109.949258589801</v>
      </c>
      <c r="P211" s="8">
        <f>$L211*'TABELA AUXILIAR'!$I$5*(B211-A211)</f>
        <v>1281.3384823426379</v>
      </c>
      <c r="Q211" s="8">
        <f>$M211*'TABELA AUXILIAR'!$J$3+SUM(N$2:N211)</f>
        <v>149168.08358395679</v>
      </c>
      <c r="R211" s="8">
        <f>$M211*'TABELA AUXILIAR'!$J$4+SUM(O$2:O211)</f>
        <v>162199.50762508175</v>
      </c>
      <c r="S211" s="8">
        <f>$M211*'TABELA AUXILIAR'!$J$5+SUM(P$2:P211)</f>
        <v>188091.4310806907</v>
      </c>
      <c r="T211" s="10">
        <f t="shared" si="50"/>
        <v>74584</v>
      </c>
      <c r="U211" s="10">
        <f t="shared" si="51"/>
        <v>81099</v>
      </c>
      <c r="V211" s="10">
        <f t="shared" si="52"/>
        <v>94045</v>
      </c>
    </row>
    <row r="212" spans="1:22" x14ac:dyDescent="0.25">
      <c r="A212" s="8">
        <v>126</v>
      </c>
      <c r="B212" s="8">
        <v>126.6</v>
      </c>
      <c r="C212" s="8">
        <f t="shared" si="53"/>
        <v>27</v>
      </c>
      <c r="D212" s="8" t="s">
        <v>18</v>
      </c>
      <c r="E212" s="8" t="s">
        <v>8</v>
      </c>
      <c r="F212" s="8" cm="1">
        <f t="array" ref="F212">_xlfn.XLOOKUP(D212,'TABELA AUXILIAR'!$A$2:$A$5,IF('SPT-01'!A212&lt;3,'TABELA AUXILIAR'!$B$2:$B$5,'TABELA AUXILIAR'!$C$2:$C$5),"",0,1)</f>
        <v>8.5</v>
      </c>
      <c r="G212" s="9">
        <f t="shared" si="43"/>
        <v>91.128146539952198</v>
      </c>
      <c r="H212" s="10">
        <f t="shared" si="44"/>
        <v>40.668546630262682</v>
      </c>
      <c r="I212" s="10">
        <f t="shared" si="45"/>
        <v>1759.6623142279673</v>
      </c>
      <c r="J212" s="8">
        <f t="shared" si="46"/>
        <v>1153.9500000000676</v>
      </c>
      <c r="K212" s="8">
        <f t="shared" si="47"/>
        <v>0.39398184836056893</v>
      </c>
      <c r="L212" s="8">
        <f t="shared" si="48"/>
        <v>454.63535391570514</v>
      </c>
      <c r="M212" s="8">
        <f t="shared" si="49"/>
        <v>3593.3456605429647</v>
      </c>
      <c r="N212" s="8">
        <f>$L212*'TABELA AUXILIAR'!$I$3*(B212-A212)</f>
        <v>1025.6573584338209</v>
      </c>
      <c r="O212" s="8">
        <f>$L212*'TABELA AUXILIAR'!$I$4*(B212-A212)</f>
        <v>1112.9473463856357</v>
      </c>
      <c r="P212" s="8">
        <f>$L212*'TABELA AUXILIAR'!$I$5*(B212-A212)</f>
        <v>1284.7995101657707</v>
      </c>
      <c r="Q212" s="8">
        <f>$M212*'TABELA AUXILIAR'!$J$3+SUM(N$2:N212)</f>
        <v>150204.5179050935</v>
      </c>
      <c r="R212" s="8">
        <f>$M212*'TABELA AUXILIAR'!$J$4+SUM(O$2:O212)</f>
        <v>163325.04398984599</v>
      </c>
      <c r="S212" s="8">
        <f>$M212*'TABELA AUXILIAR'!$J$5+SUM(P$2:P212)</f>
        <v>189393.01594869461</v>
      </c>
      <c r="T212" s="10">
        <f t="shared" si="50"/>
        <v>75102</v>
      </c>
      <c r="U212" s="10">
        <f t="shared" si="51"/>
        <v>81662</v>
      </c>
      <c r="V212" s="10">
        <f t="shared" si="52"/>
        <v>94696</v>
      </c>
    </row>
    <row r="213" spans="1:22" x14ac:dyDescent="0.25">
      <c r="A213" s="8">
        <v>126.6</v>
      </c>
      <c r="B213" s="8">
        <v>127.2</v>
      </c>
      <c r="C213" s="8">
        <f t="shared" si="53"/>
        <v>27</v>
      </c>
      <c r="D213" s="8" t="s">
        <v>18</v>
      </c>
      <c r="E213" s="8" t="s">
        <v>8</v>
      </c>
      <c r="F213" s="8" cm="1">
        <f t="array" ref="F213">_xlfn.XLOOKUP(D213,'TABELA AUXILIAR'!$A$2:$A$5,IF('SPT-01'!A213&lt;3,'TABELA AUXILIAR'!$B$2:$B$5,'TABELA AUXILIAR'!$C$2:$C$5),"",0,1)</f>
        <v>8.5</v>
      </c>
      <c r="G213" s="9">
        <f t="shared" si="43"/>
        <v>91.329299610935266</v>
      </c>
      <c r="H213" s="10">
        <f t="shared" si="44"/>
        <v>40.668546630262682</v>
      </c>
      <c r="I213" s="10">
        <f t="shared" si="45"/>
        <v>1762.7690023679168</v>
      </c>
      <c r="J213" s="8">
        <f t="shared" si="46"/>
        <v>1159.0500000000675</v>
      </c>
      <c r="K213" s="8">
        <f t="shared" si="47"/>
        <v>0.393303091648874</v>
      </c>
      <c r="L213" s="8">
        <f t="shared" si="48"/>
        <v>455.85794837565396</v>
      </c>
      <c r="M213" s="8">
        <f t="shared" si="49"/>
        <v>3602.8659503692666</v>
      </c>
      <c r="N213" s="8">
        <f>$L213*'TABELA AUXILIAR'!$I$3*(B213-A213)</f>
        <v>1028.4155315354899</v>
      </c>
      <c r="O213" s="8">
        <f>$L213*'TABELA AUXILIAR'!$I$4*(B213-A213)</f>
        <v>1115.9402576236168</v>
      </c>
      <c r="P213" s="8">
        <f>$L213*'TABELA AUXILIAR'!$I$5*(B213-A213)</f>
        <v>1288.2545621096165</v>
      </c>
      <c r="Q213" s="8">
        <f>$M213*'TABELA AUXILIAR'!$J$3+SUM(N$2:N213)</f>
        <v>151243.69136413271</v>
      </c>
      <c r="R213" s="8">
        <f>$M213*'TABELA AUXILIAR'!$J$4+SUM(O$2:O213)</f>
        <v>164453.55103004031</v>
      </c>
      <c r="S213" s="8">
        <f>$M213*'TABELA AUXILIAR'!$J$5+SUM(P$2:P213)</f>
        <v>190698.02622089852</v>
      </c>
      <c r="T213" s="10">
        <f t="shared" si="50"/>
        <v>75621</v>
      </c>
      <c r="U213" s="10">
        <f t="shared" si="51"/>
        <v>82226</v>
      </c>
      <c r="V213" s="10">
        <f t="shared" si="52"/>
        <v>95349</v>
      </c>
    </row>
    <row r="214" spans="1:22" x14ac:dyDescent="0.25">
      <c r="A214" s="8">
        <v>127.2</v>
      </c>
      <c r="B214" s="8">
        <v>127.8</v>
      </c>
      <c r="C214" s="8">
        <f t="shared" si="53"/>
        <v>27</v>
      </c>
      <c r="D214" s="8" t="s">
        <v>18</v>
      </c>
      <c r="E214" s="8" t="s">
        <v>8</v>
      </c>
      <c r="F214" s="8" cm="1">
        <f t="array" ref="F214">_xlfn.XLOOKUP(D214,'TABELA AUXILIAR'!$A$2:$A$5,IF('SPT-01'!A214&lt;3,'TABELA AUXILIAR'!$B$2:$B$5,'TABELA AUXILIAR'!$C$2:$C$5),"",0,1)</f>
        <v>8.5</v>
      </c>
      <c r="G214" s="9">
        <f t="shared" si="43"/>
        <v>91.530010614229468</v>
      </c>
      <c r="H214" s="10">
        <f t="shared" si="44"/>
        <v>40.668546630262682</v>
      </c>
      <c r="I214" s="10">
        <f t="shared" si="45"/>
        <v>1765.8674993448096</v>
      </c>
      <c r="J214" s="8">
        <f t="shared" si="46"/>
        <v>1164.1500000000674</v>
      </c>
      <c r="K214" s="8">
        <f t="shared" si="47"/>
        <v>0.39262847670861906</v>
      </c>
      <c r="L214" s="8">
        <f t="shared" si="48"/>
        <v>457.07844116036534</v>
      </c>
      <c r="M214" s="8">
        <f t="shared" si="49"/>
        <v>3612.3694985667203</v>
      </c>
      <c r="N214" s="8">
        <f>$L214*'TABELA AUXILIAR'!$I$3*(B214-A214)</f>
        <v>1031.1689632577745</v>
      </c>
      <c r="O214" s="8">
        <f>$L214*'TABELA AUXILIAR'!$I$4*(B214-A214)</f>
        <v>1118.9280239605637</v>
      </c>
      <c r="P214" s="8">
        <f>$L214*'TABELA AUXILIAR'!$I$5*(B214-A214)</f>
        <v>1291.7036747191801</v>
      </c>
      <c r="Q214" s="8">
        <f>$M214*'TABELA AUXILIAR'!$J$3+SUM(N$2:N214)</f>
        <v>152285.5993368536</v>
      </c>
      <c r="R214" s="8">
        <f>$M214*'TABELA AUXILIAR'!$J$4+SUM(O$2:O214)</f>
        <v>165585.02373762152</v>
      </c>
      <c r="S214" s="8">
        <f>$M214*'TABELA AUXILIAR'!$J$5+SUM(P$2:P214)</f>
        <v>192006.45614044523</v>
      </c>
      <c r="T214" s="10">
        <f t="shared" si="50"/>
        <v>76142</v>
      </c>
      <c r="U214" s="10">
        <f t="shared" si="51"/>
        <v>82792</v>
      </c>
      <c r="V214" s="10">
        <f t="shared" si="52"/>
        <v>96003</v>
      </c>
    </row>
    <row r="215" spans="1:22" x14ac:dyDescent="0.25">
      <c r="A215" s="8">
        <v>127.8</v>
      </c>
      <c r="B215" s="8">
        <v>128.4</v>
      </c>
      <c r="C215" s="8">
        <f t="shared" si="53"/>
        <v>27</v>
      </c>
      <c r="D215" s="8" t="s">
        <v>18</v>
      </c>
      <c r="E215" s="8" t="s">
        <v>8</v>
      </c>
      <c r="F215" s="8" cm="1">
        <f t="array" ref="F215">_xlfn.XLOOKUP(D215,'TABELA AUXILIAR'!$A$2:$A$5,IF('SPT-01'!A215&lt;3,'TABELA AUXILIAR'!$B$2:$B$5,'TABELA AUXILIAR'!$C$2:$C$5),"",0,1)</f>
        <v>8.5</v>
      </c>
      <c r="G215" s="9">
        <f t="shared" si="43"/>
        <v>91.730282451641543</v>
      </c>
      <c r="H215" s="10">
        <f t="shared" si="44"/>
        <v>40.668546630262682</v>
      </c>
      <c r="I215" s="10">
        <f t="shared" si="45"/>
        <v>1768.9578624988062</v>
      </c>
      <c r="J215" s="8">
        <f t="shared" si="46"/>
        <v>1169.2500000000673</v>
      </c>
      <c r="K215" s="8">
        <f t="shared" si="47"/>
        <v>0.39195796028754382</v>
      </c>
      <c r="L215" s="8">
        <f t="shared" si="48"/>
        <v>458.29684506623698</v>
      </c>
      <c r="M215" s="8">
        <f t="shared" si="49"/>
        <v>3621.8564077263372</v>
      </c>
      <c r="N215" s="8">
        <f>$L215*'TABELA AUXILIAR'!$I$3*(B215-A215)</f>
        <v>1033.9176824694453</v>
      </c>
      <c r="O215" s="8">
        <f>$L215*'TABELA AUXILIAR'!$I$4*(B215-A215)</f>
        <v>1121.9106767221642</v>
      </c>
      <c r="P215" s="8">
        <f>$L215*'TABELA AUXILIAR'!$I$5*(B215-A215)</f>
        <v>1295.1468841572043</v>
      </c>
      <c r="Q215" s="8">
        <f>$M215*'TABELA AUXILIAR'!$J$3+SUM(N$2:N215)</f>
        <v>153330.23722667343</v>
      </c>
      <c r="R215" s="8">
        <f>$M215*'TABELA AUXILIAR'!$J$4+SUM(O$2:O215)</f>
        <v>166719.45713443437</v>
      </c>
      <c r="S215" s="8">
        <f>$M215*'TABELA AUXILIAR'!$J$5+SUM(P$2:P215)</f>
        <v>193318.29998472336</v>
      </c>
      <c r="T215" s="10">
        <f t="shared" si="50"/>
        <v>76665</v>
      </c>
      <c r="U215" s="10">
        <f t="shared" si="51"/>
        <v>83359</v>
      </c>
      <c r="V215" s="10">
        <f t="shared" si="52"/>
        <v>96659</v>
      </c>
    </row>
    <row r="216" spans="1:22" x14ac:dyDescent="0.25">
      <c r="A216" s="8">
        <v>128.4</v>
      </c>
      <c r="B216" s="8">
        <v>129</v>
      </c>
      <c r="C216" s="8">
        <f t="shared" si="53"/>
        <v>27</v>
      </c>
      <c r="D216" s="8" t="s">
        <v>18</v>
      </c>
      <c r="E216" s="8" t="s">
        <v>8</v>
      </c>
      <c r="F216" s="8" cm="1">
        <f t="array" ref="F216">_xlfn.XLOOKUP(D216,'TABELA AUXILIAR'!$A$2:$A$5,IF('SPT-01'!A216&lt;3,'TABELA AUXILIAR'!$B$2:$B$5,'TABELA AUXILIAR'!$C$2:$C$5),"",0,1)</f>
        <v>8.5</v>
      </c>
      <c r="G216" s="9">
        <f t="shared" si="43"/>
        <v>91.930117993369919</v>
      </c>
      <c r="H216" s="10">
        <f t="shared" si="44"/>
        <v>40.668546630262682</v>
      </c>
      <c r="I216" s="10">
        <f t="shared" si="45"/>
        <v>1772.0401485206442</v>
      </c>
      <c r="J216" s="8">
        <f t="shared" si="46"/>
        <v>1174.3500000000672</v>
      </c>
      <c r="K216" s="8">
        <f t="shared" si="47"/>
        <v>0.39129149977119215</v>
      </c>
      <c r="L216" s="8">
        <f t="shared" si="48"/>
        <v>459.51317275632579</v>
      </c>
      <c r="M216" s="8">
        <f t="shared" si="49"/>
        <v>3631.3267793661012</v>
      </c>
      <c r="N216" s="8">
        <f>$L216*'TABELA AUXILIAR'!$I$3*(B216-A216)</f>
        <v>1036.6617177382611</v>
      </c>
      <c r="O216" s="8">
        <f>$L216*'TABELA AUXILIAR'!$I$4*(B216-A216)</f>
        <v>1124.8882469074749</v>
      </c>
      <c r="P216" s="8">
        <f>$L216*'TABELA AUXILIAR'!$I$5*(B216-A216)</f>
        <v>1298.5842262093645</v>
      </c>
      <c r="Q216" s="8">
        <f>$M216*'TABELA AUXILIAR'!$J$3+SUM(N$2:N216)</f>
        <v>154377.6004643646</v>
      </c>
      <c r="R216" s="8">
        <f>$M216*'TABELA AUXILIAR'!$J$4+SUM(O$2:O216)</f>
        <v>167856.84627190631</v>
      </c>
      <c r="S216" s="8">
        <f>$M216*'TABELA AUXILIAR'!$J$5+SUM(P$2:P216)</f>
        <v>194633.55206501868</v>
      </c>
      <c r="T216" s="10">
        <f t="shared" si="50"/>
        <v>77188</v>
      </c>
      <c r="U216" s="10">
        <f t="shared" si="51"/>
        <v>83928</v>
      </c>
      <c r="V216" s="10">
        <f t="shared" si="52"/>
        <v>97316</v>
      </c>
    </row>
    <row r="217" spans="1:22" x14ac:dyDescent="0.25">
      <c r="A217" s="8">
        <v>129</v>
      </c>
      <c r="B217" s="8">
        <v>129.6</v>
      </c>
      <c r="C217" s="8">
        <f t="shared" si="53"/>
        <v>27</v>
      </c>
      <c r="D217" s="8" t="s">
        <v>18</v>
      </c>
      <c r="E217" s="8" t="s">
        <v>8</v>
      </c>
      <c r="F217" s="8" cm="1">
        <f t="array" ref="F217">_xlfn.XLOOKUP(D217,'TABELA AUXILIAR'!$A$2:$A$5,IF('SPT-01'!A217&lt;3,'TABELA AUXILIAR'!$B$2:$B$5,'TABELA AUXILIAR'!$C$2:$C$5),"",0,1)</f>
        <v>8.5</v>
      </c>
      <c r="G217" s="9">
        <f t="shared" si="43"/>
        <v>92.129520078484589</v>
      </c>
      <c r="H217" s="10">
        <f t="shared" si="44"/>
        <v>40.668546630262682</v>
      </c>
      <c r="I217" s="10">
        <f t="shared" si="45"/>
        <v>1775.1144134617678</v>
      </c>
      <c r="J217" s="8">
        <f t="shared" si="46"/>
        <v>1179.4500000000671</v>
      </c>
      <c r="K217" s="8">
        <f t="shared" si="47"/>
        <v>0.39062905317078445</v>
      </c>
      <c r="L217" s="8">
        <f t="shared" si="48"/>
        <v>460.72743676230795</v>
      </c>
      <c r="M217" s="8">
        <f t="shared" si="49"/>
        <v>3640.7807139468114</v>
      </c>
      <c r="N217" s="8">
        <f>$L217*'TABELA AUXILIAR'!$I$3*(B217-A217)</f>
        <v>1039.4010973357567</v>
      </c>
      <c r="O217" s="8">
        <f>$L217*'TABELA AUXILIAR'!$I$4*(B217-A217)</f>
        <v>1127.8607651941193</v>
      </c>
      <c r="P217" s="8">
        <f>$L217*'TABELA AUXILIAR'!$I$5*(B217-A217)</f>
        <v>1302.0157362902698</v>
      </c>
      <c r="Q217" s="8">
        <f>$M217*'TABELA AUXILIAR'!$J$3+SUM(N$2:N217)</f>
        <v>155427.68450777658</v>
      </c>
      <c r="R217" s="8">
        <f>$M217*'TABELA AUXILIAR'!$J$4+SUM(O$2:O217)</f>
        <v>168997.18623074697</v>
      </c>
      <c r="S217" s="8">
        <f>$M217*'TABELA AUXILIAR'!$J$5+SUM(P$2:P217)</f>
        <v>195952.20672617102</v>
      </c>
      <c r="T217" s="10">
        <f t="shared" si="50"/>
        <v>77713</v>
      </c>
      <c r="U217" s="10">
        <f t="shared" si="51"/>
        <v>84498</v>
      </c>
      <c r="V217" s="10">
        <f t="shared" si="52"/>
        <v>97976</v>
      </c>
    </row>
    <row r="218" spans="1:22" x14ac:dyDescent="0.25">
      <c r="A218" s="8">
        <v>129.6</v>
      </c>
      <c r="B218" s="8">
        <v>130.19999999999999</v>
      </c>
      <c r="C218" s="8">
        <f t="shared" si="53"/>
        <v>27</v>
      </c>
      <c r="D218" s="8" t="s">
        <v>18</v>
      </c>
      <c r="E218" s="8" t="s">
        <v>8</v>
      </c>
      <c r="F218" s="8" cm="1">
        <f t="array" ref="F218">_xlfn.XLOOKUP(D218,'TABELA AUXILIAR'!$A$2:$A$5,IF('SPT-01'!A218&lt;3,'TABELA AUXILIAR'!$B$2:$B$5,'TABELA AUXILIAR'!$C$2:$C$5),"",0,1)</f>
        <v>8.5</v>
      </c>
      <c r="G218" s="9">
        <f t="shared" si="43"/>
        <v>92.328491515397744</v>
      </c>
      <c r="H218" s="10">
        <f t="shared" si="44"/>
        <v>40.668546630262682</v>
      </c>
      <c r="I218" s="10">
        <f t="shared" si="45"/>
        <v>1778.1807127442776</v>
      </c>
      <c r="J218" s="8">
        <f t="shared" si="46"/>
        <v>1184.550000000067</v>
      </c>
      <c r="K218" s="8">
        <f t="shared" si="47"/>
        <v>0.38997057911137545</v>
      </c>
      <c r="L218" s="8">
        <f t="shared" si="48"/>
        <v>461.93964948640593</v>
      </c>
      <c r="M218" s="8">
        <f t="shared" si="49"/>
        <v>3650.2183108875984</v>
      </c>
      <c r="N218" s="8">
        <f>$L218*'TABELA AUXILIAR'!$I$3*(B218-A218)</f>
        <v>1042.1358492413217</v>
      </c>
      <c r="O218" s="8">
        <f>$L218*'TABELA AUXILIAR'!$I$4*(B218-A218)</f>
        <v>1130.8282619427112</v>
      </c>
      <c r="P218" s="8">
        <f>$L218*'TABELA AUXILIAR'!$I$5*(B218-A218)</f>
        <v>1305.4414494485707</v>
      </c>
      <c r="Q218" s="8">
        <f>$M218*'TABELA AUXILIAR'!$J$3+SUM(N$2:N218)</f>
        <v>156480.48484156097</v>
      </c>
      <c r="R218" s="8">
        <f>$M218*'TABELA AUXILIAR'!$J$4+SUM(O$2:O218)</f>
        <v>170140.47212065154</v>
      </c>
      <c r="S218" s="8">
        <f>$M218*'TABELA AUXILIAR'!$J$5+SUM(P$2:P218)</f>
        <v>197274.25834623538</v>
      </c>
      <c r="T218" s="10">
        <f t="shared" si="50"/>
        <v>78240</v>
      </c>
      <c r="U218" s="10">
        <f t="shared" si="51"/>
        <v>85070</v>
      </c>
      <c r="V218" s="10">
        <f t="shared" si="52"/>
        <v>98637</v>
      </c>
    </row>
    <row r="219" spans="1:22" x14ac:dyDescent="0.25">
      <c r="A219" s="8">
        <v>130.19999999999999</v>
      </c>
      <c r="B219" s="8">
        <v>130.80000000000001</v>
      </c>
      <c r="C219" s="8">
        <f t="shared" si="53"/>
        <v>27</v>
      </c>
      <c r="D219" s="8" t="s">
        <v>18</v>
      </c>
      <c r="E219" s="8" t="s">
        <v>8</v>
      </c>
      <c r="F219" s="8" cm="1">
        <f t="array" ref="F219">_xlfn.XLOOKUP(D219,'TABELA AUXILIAR'!$A$2:$A$5,IF('SPT-01'!A219&lt;3,'TABELA AUXILIAR'!$B$2:$B$5,'TABELA AUXILIAR'!$C$2:$C$5),"",0,1)</f>
        <v>8.5</v>
      </c>
      <c r="G219" s="9">
        <f t="shared" si="43"/>
        <v>92.527035082325284</v>
      </c>
      <c r="H219" s="10">
        <f t="shared" si="44"/>
        <v>40.668546630262682</v>
      </c>
      <c r="I219" s="10">
        <f t="shared" si="45"/>
        <v>1781.2391011706638</v>
      </c>
      <c r="J219" s="8">
        <f t="shared" si="46"/>
        <v>1189.6500000000672</v>
      </c>
      <c r="K219" s="8">
        <f t="shared" si="47"/>
        <v>0.38931603682028265</v>
      </c>
      <c r="L219" s="8">
        <f t="shared" si="48"/>
        <v>463.14982320327539</v>
      </c>
      <c r="M219" s="8">
        <f t="shared" si="49"/>
        <v>3659.6396685811706</v>
      </c>
      <c r="N219" s="8">
        <f>$L219*'TABELA AUXILIAR'!$I$3*(B219-A219)</f>
        <v>1044.8660011466288</v>
      </c>
      <c r="O219" s="8">
        <f>$L219*'TABELA AUXILIAR'!$I$4*(B219-A219)</f>
        <v>1133.7907672016611</v>
      </c>
      <c r="P219" s="8">
        <f>$L219*'TABELA AUXILIAR'!$I$5*(B219-A219)</f>
        <v>1308.8614003725058</v>
      </c>
      <c r="Q219" s="8">
        <f>$M219*'TABELA AUXILIAR'!$J$3+SUM(N$2:N219)</f>
        <v>157535.99697690137</v>
      </c>
      <c r="R219" s="8">
        <f>$M219*'TABELA AUXILIAR'!$J$4+SUM(O$2:O219)</f>
        <v>171286.69908000869</v>
      </c>
      <c r="S219" s="8">
        <f>$M219*'TABELA AUXILIAR'!$J$5+SUM(P$2:P219)</f>
        <v>198599.70133614857</v>
      </c>
      <c r="T219" s="10">
        <f t="shared" si="50"/>
        <v>78767</v>
      </c>
      <c r="U219" s="10">
        <f t="shared" si="51"/>
        <v>85643</v>
      </c>
      <c r="V219" s="10">
        <f t="shared" si="52"/>
        <v>99299</v>
      </c>
    </row>
    <row r="220" spans="1:22" x14ac:dyDescent="0.25">
      <c r="A220" s="8">
        <v>130.80000000000001</v>
      </c>
      <c r="B220" s="8">
        <v>131.4</v>
      </c>
      <c r="C220" s="8">
        <f t="shared" si="53"/>
        <v>27</v>
      </c>
      <c r="D220" s="8" t="s">
        <v>18</v>
      </c>
      <c r="E220" s="8" t="s">
        <v>8</v>
      </c>
      <c r="F220" s="8" cm="1">
        <f t="array" ref="F220">_xlfn.XLOOKUP(D220,'TABELA AUXILIAR'!$A$2:$A$5,IF('SPT-01'!A220&lt;3,'TABELA AUXILIAR'!$B$2:$B$5,'TABELA AUXILIAR'!$C$2:$C$5),"",0,1)</f>
        <v>8.5</v>
      </c>
      <c r="G220" s="9">
        <f t="shared" si="43"/>
        <v>92.725153527739366</v>
      </c>
      <c r="H220" s="10">
        <f t="shared" si="44"/>
        <v>40.668546630262682</v>
      </c>
      <c r="I220" s="10">
        <f t="shared" si="45"/>
        <v>1784.2896329333651</v>
      </c>
      <c r="J220" s="8">
        <f t="shared" si="46"/>
        <v>1194.7500000000673</v>
      </c>
      <c r="K220" s="8">
        <f t="shared" si="47"/>
        <v>0.38866538611578427</v>
      </c>
      <c r="L220" s="8">
        <f t="shared" si="48"/>
        <v>464.35797006185942</v>
      </c>
      <c r="M220" s="8">
        <f t="shared" si="49"/>
        <v>3669.0448844087582</v>
      </c>
      <c r="N220" s="8">
        <f>$L220*'TABELA AUXILIAR'!$I$3*(B220-A220)</f>
        <v>1047.5915804595447</v>
      </c>
      <c r="O220" s="8">
        <f>$L220*'TABELA AUXILIAR'!$I$4*(B220-A220)</f>
        <v>1136.748310711421</v>
      </c>
      <c r="P220" s="8">
        <f>$L220*'TABELA AUXILIAR'!$I$5*(B220-A220)</f>
        <v>1312.2756233948023</v>
      </c>
      <c r="Q220" s="8">
        <f>$M220*'TABELA AUXILIAR'!$J$3+SUM(N$2:N220)</f>
        <v>158594.21645124609</v>
      </c>
      <c r="R220" s="8">
        <f>$M220*'TABELA AUXILIAR'!$J$4+SUM(O$2:O220)</f>
        <v>172435.86227561254</v>
      </c>
      <c r="S220" s="8">
        <f>$M220*'TABELA AUXILIAR'!$J$5+SUM(P$2:P220)</f>
        <v>199928.53013939993</v>
      </c>
      <c r="T220" s="10">
        <f t="shared" si="50"/>
        <v>79297</v>
      </c>
      <c r="U220" s="10">
        <f t="shared" si="51"/>
        <v>86217</v>
      </c>
      <c r="V220" s="10">
        <f t="shared" si="52"/>
        <v>99964</v>
      </c>
    </row>
    <row r="221" spans="1:22" x14ac:dyDescent="0.25">
      <c r="A221" s="8">
        <v>131.4</v>
      </c>
      <c r="B221" s="8">
        <v>132</v>
      </c>
      <c r="C221" s="8">
        <f t="shared" si="53"/>
        <v>27</v>
      </c>
      <c r="D221" s="8" t="s">
        <v>18</v>
      </c>
      <c r="E221" s="8" t="s">
        <v>8</v>
      </c>
      <c r="F221" s="8" cm="1">
        <f t="array" ref="F221">_xlfn.XLOOKUP(D221,'TABELA AUXILIAR'!$A$2:$A$5,IF('SPT-01'!A221&lt;3,'TABELA AUXILIAR'!$B$2:$B$5,'TABELA AUXILIAR'!$C$2:$C$5),"",0,1)</f>
        <v>8.5</v>
      </c>
      <c r="G221" s="9">
        <f t="shared" ref="G221:G222" si="54">C221 / MIN(2, SQRT(101.3/J221))</f>
        <v>92.922849570812303</v>
      </c>
      <c r="H221" s="10">
        <f t="shared" ref="H221:H222" si="55">27.5+9.2*LOG10(C221)</f>
        <v>40.668546630262682</v>
      </c>
      <c r="I221" s="10">
        <f t="shared" ref="I221:I222" si="56">IF(D221="Areias",101.3*0.47*(G221)^0.8,101.3*0.15*(G221))</f>
        <v>1787.3323616241239</v>
      </c>
      <c r="J221" s="8">
        <f t="shared" ref="J221:J222" si="57">J220+(B220-A220)/2*F220+(B221-A221)/2*F221</f>
        <v>1199.8500000000672</v>
      </c>
      <c r="K221" s="8">
        <f t="shared" ref="K221:K222" si="58">(1-SIN(RADIANS(H221)))*(I221/J221)^SIN(RADIANS(H221))*TAN(RADIANS(H221))</f>
        <v>0.38801858739607364</v>
      </c>
      <c r="L221" s="8">
        <f t="shared" ref="L221:L222" si="59">K221*J221</f>
        <v>465.56410208720501</v>
      </c>
      <c r="M221" s="8">
        <f t="shared" ref="M221:M222" si="60">0.59*(G221*101.3/J221)^0.8*J221</f>
        <v>3678.4340547547763</v>
      </c>
      <c r="N221" s="8">
        <f>$L221*'TABELA AUXILIAR'!$I$3*(B221-A221)</f>
        <v>1050.3126143087245</v>
      </c>
      <c r="O221" s="8">
        <f>$L221*'TABELA AUXILIAR'!$I$4*(B221-A221)</f>
        <v>1139.7009219094671</v>
      </c>
      <c r="P221" s="8">
        <f>$L221*'TABELA AUXILIAR'!$I$5*(B221-A221)</f>
        <v>1315.6841524984288</v>
      </c>
      <c r="Q221" s="8">
        <f>$M221*'TABELA AUXILIAR'!$J$3+SUM(N$2:N221)</f>
        <v>159655.1388280458</v>
      </c>
      <c r="R221" s="8">
        <f>$M221*'TABELA AUXILIAR'!$J$4+SUM(O$2:O221)</f>
        <v>173587.95690237873</v>
      </c>
      <c r="S221" s="8">
        <f>$M221*'TABELA AUXILIAR'!$J$5+SUM(P$2:P221)</f>
        <v>201260.73923170735</v>
      </c>
      <c r="T221" s="10">
        <f t="shared" ref="T221:T222" si="61">ROUNDDOWN(Q221/2,0)</f>
        <v>79827</v>
      </c>
      <c r="U221" s="10">
        <f t="shared" ref="U221:U222" si="62">ROUNDDOWN(R221/2,0)</f>
        <v>86793</v>
      </c>
      <c r="V221" s="10">
        <f t="shared" ref="V221:V222" si="63">ROUNDDOWN(S221/2,0)</f>
        <v>100630</v>
      </c>
    </row>
    <row r="222" spans="1:22" x14ac:dyDescent="0.25">
      <c r="A222" s="8">
        <v>132</v>
      </c>
      <c r="B222" s="8">
        <v>132.6</v>
      </c>
      <c r="C222" s="8">
        <f t="shared" si="53"/>
        <v>27</v>
      </c>
      <c r="D222" s="8" t="s">
        <v>18</v>
      </c>
      <c r="E222" s="8" t="s">
        <v>8</v>
      </c>
      <c r="F222" s="8" cm="1">
        <f t="array" ref="F222">_xlfn.XLOOKUP(D222,'TABELA AUXILIAR'!$A$2:$A$5,IF('SPT-01'!A222&lt;3,'TABELA AUXILIAR'!$B$2:$B$5,'TABELA AUXILIAR'!$C$2:$C$5),"",0,1)</f>
        <v>8.5</v>
      </c>
      <c r="G222" s="9">
        <f t="shared" si="54"/>
        <v>93.12012590185212</v>
      </c>
      <c r="H222" s="10">
        <f t="shared" si="55"/>
        <v>40.668546630262682</v>
      </c>
      <c r="I222" s="10">
        <f t="shared" si="56"/>
        <v>1790.3673402431682</v>
      </c>
      <c r="J222" s="8">
        <f t="shared" si="57"/>
        <v>1204.9500000000671</v>
      </c>
      <c r="K222" s="8">
        <f t="shared" si="58"/>
        <v>0.38737560162846829</v>
      </c>
      <c r="L222" s="8">
        <f t="shared" si="59"/>
        <v>466.76823118224888</v>
      </c>
      <c r="M222" s="8">
        <f t="shared" si="60"/>
        <v>3687.80727502123</v>
      </c>
      <c r="N222" s="8">
        <f>$L222*'TABELA AUXILIAR'!$I$3*(B222-A222)</f>
        <v>1053.0291295471436</v>
      </c>
      <c r="O222" s="8">
        <f>$L222*'TABELA AUXILIAR'!$I$4*(B222-A222)</f>
        <v>1142.6486299341345</v>
      </c>
      <c r="P222" s="8">
        <f>$L222*'TABELA AUXILIAR'!$I$5*(B222-A222)</f>
        <v>1319.087021321023</v>
      </c>
      <c r="Q222" s="8">
        <f>$M222*'TABELA AUXILIAR'!$J$3+SUM(N$2:N222)</f>
        <v>160718.75969649406</v>
      </c>
      <c r="R222" s="8">
        <f>$M222*'TABELA AUXILIAR'!$J$4+SUM(O$2:O222)</f>
        <v>174742.97818306461</v>
      </c>
      <c r="S222" s="8">
        <f>$M222*'TABELA AUXILIAR'!$J$5+SUM(P$2:P222)</f>
        <v>202596.32312069734</v>
      </c>
      <c r="T222" s="10">
        <f t="shared" si="61"/>
        <v>80359</v>
      </c>
      <c r="U222" s="10">
        <f t="shared" si="62"/>
        <v>87371</v>
      </c>
      <c r="V222" s="10">
        <f t="shared" si="63"/>
        <v>101298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4AC1-FEF1-48BE-9F0A-F5C77BF3B1D1}">
  <dimension ref="A1:V81"/>
  <sheetViews>
    <sheetView topLeftCell="A69" workbookViewId="0">
      <selection activeCell="B81" sqref="B81"/>
    </sheetView>
  </sheetViews>
  <sheetFormatPr defaultColWidth="14" defaultRowHeight="15" x14ac:dyDescent="0.25"/>
  <cols>
    <col min="1" max="16384" width="14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50</v>
      </c>
      <c r="D2" s="1" t="s">
        <v>18</v>
      </c>
      <c r="E2" s="1" t="s">
        <v>6</v>
      </c>
      <c r="F2" s="1" cm="1">
        <f t="array" ref="F2">_xlfn.XLOOKUP(D2,'TABELA AUXILIAR'!$A$2:$A$5,IF('SPT-02'!A2&lt;3,'TABELA AUXILIAR'!$B$2:$B$5,'TABELA AUXILIAR'!$C$2:$C$5),"",0,1)</f>
        <v>18.5</v>
      </c>
      <c r="G2" s="6">
        <f>C2 / MIN(2, SQRT(101.3/J2))</f>
        <v>25</v>
      </c>
      <c r="H2" s="2">
        <f>27.5+9.2*LOG10(C2)</f>
        <v>43.13052403989137</v>
      </c>
      <c r="I2" s="2">
        <f>IF(D2="Areias",101.3*0.47*(G2)^0.8,101.3*0.15*(G2))</f>
        <v>625.25807647733882</v>
      </c>
      <c r="J2" s="1">
        <f>(B2-A2)/2*F2</f>
        <v>5.55</v>
      </c>
      <c r="K2" s="1">
        <f>(1-SIN(RADIANS(H2)))*(I2/J2)^SIN(RADIANS(H2))*TAN(RADIANS(H2))</f>
        <v>7.4904099537645372</v>
      </c>
      <c r="L2" s="1">
        <f>K2*J2</f>
        <v>41.571775243393184</v>
      </c>
      <c r="M2" s="1">
        <f>0.59*(G2*101.3/J2)^0.8*J2</f>
        <v>439.08658780747459</v>
      </c>
      <c r="N2" s="1">
        <f>$L2*'TABELA AUXILIAR'!$I$3*(B2-A2)</f>
        <v>93.785924949095019</v>
      </c>
      <c r="O2" s="1">
        <f>$L2*'TABELA AUXILIAR'!$I$4*(B2-A2)</f>
        <v>101.7677057958265</v>
      </c>
      <c r="P2" s="1">
        <f>$L2*'TABELA AUXILIAR'!$I$5*(B2-A2)</f>
        <v>117.48183683782914</v>
      </c>
      <c r="Q2" s="1">
        <f>$M2*'TABELA AUXILIAR'!$J$3+SUM(N$2:N2)</f>
        <v>589.95376917154124</v>
      </c>
      <c r="R2" s="1">
        <f>$M2*'TABELA AUXILIAR'!$J$4+SUM(O$2:O2)</f>
        <v>681.36200170169298</v>
      </c>
      <c r="S2" s="1">
        <f>$M2*'TABELA AUXILIAR'!$J$5+SUM(P$2:P2)</f>
        <v>890.2742313789845</v>
      </c>
      <c r="T2" s="2">
        <f>ROUNDDOWN(Q2/2,0)</f>
        <v>294</v>
      </c>
      <c r="U2" s="2">
        <f t="shared" ref="U2:V17" si="0">ROUNDDOWN(R2/2,0)</f>
        <v>340</v>
      </c>
      <c r="V2" s="2">
        <f t="shared" si="0"/>
        <v>445</v>
      </c>
    </row>
    <row r="3" spans="1:22" x14ac:dyDescent="0.25">
      <c r="A3" s="1">
        <v>0.6</v>
      </c>
      <c r="B3" s="1">
        <v>1.2</v>
      </c>
      <c r="C3" s="1">
        <v>50</v>
      </c>
      <c r="D3" s="1" t="s">
        <v>18</v>
      </c>
      <c r="E3" s="1" t="s">
        <v>6</v>
      </c>
      <c r="F3" s="1" cm="1">
        <f t="array" ref="F3">_xlfn.XLOOKUP(D3,'TABELA AUXILIAR'!$A$2:$A$5,IF('SPT-02'!A3&lt;3,'TABELA AUXILIAR'!$B$2:$B$5,'TABELA AUXILIAR'!$C$2:$C$5),"",0,1)</f>
        <v>18.5</v>
      </c>
      <c r="G3" s="6">
        <f t="shared" ref="G3:G66" si="1">C3 / MIN(2, SQRT(101.3/J3))</f>
        <v>25</v>
      </c>
      <c r="H3" s="2">
        <f t="shared" ref="H3:H66" si="2">27.5+9.2*LOG10(C3)</f>
        <v>43.13052403989137</v>
      </c>
      <c r="I3" s="2">
        <f t="shared" ref="I3:I66" si="3">IF(D3="Areias",101.3*0.47*(G3)^0.8,101.3*0.15*(G3))</f>
        <v>625.25807647733882</v>
      </c>
      <c r="J3" s="1">
        <f>J2+(B2-A2)/2*F2+(B3-A3)/2*F3</f>
        <v>16.649999999999999</v>
      </c>
      <c r="K3" s="1">
        <f t="shared" ref="K3:K66" si="4">(1-SIN(RADIANS(H3)))*(I3/J3)^SIN(RADIANS(H3))*TAN(RADIANS(H3))</f>
        <v>3.5343991819907079</v>
      </c>
      <c r="L3" s="1">
        <f t="shared" ref="L3:L66" si="5">K3*J3</f>
        <v>58.847746380145281</v>
      </c>
      <c r="M3" s="1">
        <f t="shared" ref="M3:M66" si="6">0.59*(G3*101.3/J3)^0.8*J3</f>
        <v>546.98374760197623</v>
      </c>
      <c r="N3" s="1">
        <f>$L3*'TABELA AUXILIAR'!$I$3*(B3-A3)</f>
        <v>132.76051583360774</v>
      </c>
      <c r="O3" s="1">
        <f>$L3*'TABELA AUXILIAR'!$I$4*(B3-A3)</f>
        <v>144.05928313859565</v>
      </c>
      <c r="P3" s="1">
        <f>$L3*'TABELA AUXILIAR'!$I$5*(B3-A3)</f>
        <v>166.30373127029057</v>
      </c>
      <c r="Q3" s="1">
        <f>$M3*'TABELA AUXILIAR'!$J$3+SUM(N$2:N3)</f>
        <v>844.6380755729358</v>
      </c>
      <c r="R3" s="1">
        <f>$M3*'TABELA AUXILIAR'!$J$4+SUM(O$2:O3)</f>
        <v>967.84553576903079</v>
      </c>
      <c r="S3" s="1">
        <f>$M3*'TABELA AUXILIAR'!$J$5+SUM(P$2:P3)</f>
        <v>1246.4769638875978</v>
      </c>
      <c r="T3" s="2">
        <f t="shared" ref="T3:V66" si="7">ROUNDDOWN(Q3/2,0)</f>
        <v>422</v>
      </c>
      <c r="U3" s="2">
        <f t="shared" si="0"/>
        <v>483</v>
      </c>
      <c r="V3" s="2">
        <f t="shared" si="0"/>
        <v>623</v>
      </c>
    </row>
    <row r="4" spans="1:22" x14ac:dyDescent="0.25">
      <c r="A4" s="1">
        <v>1.2</v>
      </c>
      <c r="B4" s="1">
        <v>1.8</v>
      </c>
      <c r="C4" s="1">
        <v>50</v>
      </c>
      <c r="D4" s="1" t="s">
        <v>18</v>
      </c>
      <c r="E4" s="1" t="s">
        <v>6</v>
      </c>
      <c r="F4" s="1" cm="1">
        <f t="array" ref="F4">_xlfn.XLOOKUP(D4,'TABELA AUXILIAR'!$A$2:$A$5,IF('SPT-02'!A4&lt;3,'TABELA AUXILIAR'!$B$2:$B$5,'TABELA AUXILIAR'!$C$2:$C$5),"",0,1)</f>
        <v>18.5</v>
      </c>
      <c r="G4" s="6">
        <f t="shared" si="1"/>
        <v>26.169581371148542</v>
      </c>
      <c r="H4" s="2">
        <f t="shared" si="2"/>
        <v>43.13052403989137</v>
      </c>
      <c r="I4" s="2">
        <f t="shared" si="3"/>
        <v>648.55188151603841</v>
      </c>
      <c r="J4" s="1">
        <f t="shared" ref="J4:J67" si="8">J3+(B3-A3)/2*F3+(B4-A4)/2*F4</f>
        <v>27.75</v>
      </c>
      <c r="K4" s="1">
        <f t="shared" si="4"/>
        <v>2.5556781165228073</v>
      </c>
      <c r="L4" s="1">
        <f t="shared" si="5"/>
        <v>70.920067733507906</v>
      </c>
      <c r="M4" s="1">
        <f t="shared" si="6"/>
        <v>628.39046378564501</v>
      </c>
      <c r="N4" s="1">
        <f>$L4*'TABELA AUXILIAR'!$I$3*(B4-A4)</f>
        <v>159.99567280679383</v>
      </c>
      <c r="O4" s="1">
        <f>$L4*'TABELA AUXILIAR'!$I$4*(B4-A4)</f>
        <v>173.61232581162741</v>
      </c>
      <c r="P4" s="1">
        <f>$L4*'TABELA AUXILIAR'!$I$5*(B4-A4)</f>
        <v>200.42011141489337</v>
      </c>
      <c r="Q4" s="1">
        <f>$M4*'TABELA AUXILIAR'!$J$3+SUM(N$2:N4)</f>
        <v>1096.6233376672753</v>
      </c>
      <c r="R4" s="1">
        <f>$M4*'TABELA AUXILIAR'!$J$4+SUM(O$2:O4)</f>
        <v>1248.914726943101</v>
      </c>
      <c r="S4" s="1">
        <f>$M4*'TABELA AUXILIAR'!$J$5+SUM(P$2:P4)</f>
        <v>1590.1728957857483</v>
      </c>
      <c r="T4" s="2">
        <f t="shared" si="7"/>
        <v>548</v>
      </c>
      <c r="U4" s="2">
        <f t="shared" si="0"/>
        <v>624</v>
      </c>
      <c r="V4" s="2">
        <f t="shared" si="0"/>
        <v>795</v>
      </c>
    </row>
    <row r="5" spans="1:22" x14ac:dyDescent="0.25">
      <c r="A5" s="1">
        <v>1.8</v>
      </c>
      <c r="B5" s="1">
        <v>2.4</v>
      </c>
      <c r="C5" s="1">
        <v>50</v>
      </c>
      <c r="D5" s="1" t="s">
        <v>18</v>
      </c>
      <c r="E5" s="1" t="s">
        <v>6</v>
      </c>
      <c r="F5" s="1" cm="1">
        <f t="array" ref="F5">_xlfn.XLOOKUP(D5,'TABELA AUXILIAR'!$A$2:$A$5,IF('SPT-02'!A5&lt;3,'TABELA AUXILIAR'!$B$2:$B$5,'TABELA AUXILIAR'!$C$2:$C$5),"",0,1)</f>
        <v>18.5</v>
      </c>
      <c r="G5" s="6">
        <f t="shared" si="1"/>
        <v>30.964266256406443</v>
      </c>
      <c r="H5" s="2">
        <f t="shared" si="2"/>
        <v>43.13052403989137</v>
      </c>
      <c r="I5" s="2">
        <f t="shared" si="3"/>
        <v>741.98638767137265</v>
      </c>
      <c r="J5" s="1">
        <f t="shared" si="8"/>
        <v>38.849999999999994</v>
      </c>
      <c r="K5" s="1">
        <f t="shared" si="4"/>
        <v>2.2262031077982765</v>
      </c>
      <c r="L5" s="1">
        <f t="shared" si="5"/>
        <v>86.487990737963031</v>
      </c>
      <c r="M5" s="1">
        <f t="shared" si="6"/>
        <v>768.96470628189718</v>
      </c>
      <c r="N5" s="1">
        <f>$L5*'TABELA AUXILIAR'!$I$3*(B5-A5)</f>
        <v>195.11690710484453</v>
      </c>
      <c r="O5" s="1">
        <f>$L5*'TABELA AUXILIAR'!$I$4*(B5-A5)</f>
        <v>211.72260132653346</v>
      </c>
      <c r="P5" s="1">
        <f>$L5*'TABELA AUXILIAR'!$I$5*(B5-A5)</f>
        <v>244.41506182548346</v>
      </c>
      <c r="Q5" s="1">
        <f>$M5*'TABELA AUXILIAR'!$J$3+SUM(N$2:N5)</f>
        <v>1450.5891387928848</v>
      </c>
      <c r="R5" s="1">
        <f>$M5*'TABELA AUXILIAR'!$J$4+SUM(O$2:O5)</f>
        <v>1646.1953283646874</v>
      </c>
      <c r="S5" s="1">
        <f>$M5*'TABELA AUXILIAR'!$J$5+SUM(P$2:P5)</f>
        <v>2081.9986244046358</v>
      </c>
      <c r="T5" s="2">
        <f t="shared" si="7"/>
        <v>725</v>
      </c>
      <c r="U5" s="2">
        <f t="shared" si="0"/>
        <v>823</v>
      </c>
      <c r="V5" s="2">
        <f t="shared" si="0"/>
        <v>1040</v>
      </c>
    </row>
    <row r="6" spans="1:22" x14ac:dyDescent="0.25">
      <c r="A6" s="1">
        <v>2.4</v>
      </c>
      <c r="B6" s="1">
        <v>3</v>
      </c>
      <c r="C6" s="1">
        <v>23</v>
      </c>
      <c r="D6" s="1" t="s">
        <v>18</v>
      </c>
      <c r="E6" s="1" t="s">
        <v>3</v>
      </c>
      <c r="F6" s="1" cm="1">
        <f t="array" ref="F6">_xlfn.XLOOKUP(D6,'TABELA AUXILIAR'!$A$2:$A$5,IF('SPT-02'!A6&lt;3,'TABELA AUXILIAR'!$B$2:$B$5,'TABELA AUXILIAR'!$C$2:$C$5),"",0,1)</f>
        <v>18.5</v>
      </c>
      <c r="G6" s="6">
        <f t="shared" si="1"/>
        <v>16.150681757253682</v>
      </c>
      <c r="H6" s="2">
        <f t="shared" si="2"/>
        <v>40.027896091361853</v>
      </c>
      <c r="I6" s="2">
        <f t="shared" si="3"/>
        <v>440.81868124294476</v>
      </c>
      <c r="J6" s="1">
        <f t="shared" si="8"/>
        <v>49.949999999999989</v>
      </c>
      <c r="K6" s="1">
        <f t="shared" si="4"/>
        <v>1.2160977277474294</v>
      </c>
      <c r="L6" s="1">
        <f t="shared" si="5"/>
        <v>60.744081500984088</v>
      </c>
      <c r="M6" s="1">
        <f t="shared" si="6"/>
        <v>480.39596850670341</v>
      </c>
      <c r="N6" s="1">
        <f>$L6*'TABELA AUXILIAR'!$I$3*(B6-A6)</f>
        <v>137.03864786622012</v>
      </c>
      <c r="O6" s="1">
        <f>$L6*'TABELA AUXILIAR'!$I$4*(B6-A6)</f>
        <v>148.70151151440908</v>
      </c>
      <c r="P6" s="1">
        <f>$L6*'TABELA AUXILIAR'!$I$5*(B6-A6)</f>
        <v>171.66277432178106</v>
      </c>
      <c r="Q6" s="1">
        <f>$M6*'TABELA AUXILIAR'!$J$3+SUM(N$2:N6)</f>
        <v>1261.5451129731359</v>
      </c>
      <c r="R6" s="1">
        <f>$M6*'TABELA AUXILIAR'!$J$4+SUM(O$2:O6)</f>
        <v>1413.9861060158405</v>
      </c>
      <c r="S6" s="1">
        <f>$M6*'TABELA AUXILIAR'!$J$5+SUM(P$2:P6)</f>
        <v>1745.7804202420757</v>
      </c>
      <c r="T6" s="2">
        <f t="shared" si="7"/>
        <v>630</v>
      </c>
      <c r="U6" s="2">
        <f t="shared" si="0"/>
        <v>706</v>
      </c>
      <c r="V6" s="2">
        <f t="shared" si="0"/>
        <v>872</v>
      </c>
    </row>
    <row r="7" spans="1:22" x14ac:dyDescent="0.25">
      <c r="A7" s="1">
        <v>3</v>
      </c>
      <c r="B7" s="1">
        <v>3.6</v>
      </c>
      <c r="C7" s="1">
        <v>50</v>
      </c>
      <c r="D7" s="1" t="s">
        <v>18</v>
      </c>
      <c r="E7" s="1" t="s">
        <v>3</v>
      </c>
      <c r="F7" s="1" cm="1">
        <f t="array" ref="F7">_xlfn.XLOOKUP(D7,'TABELA AUXILIAR'!$A$2:$A$5,IF('SPT-02'!A7&lt;3,'TABELA AUXILIAR'!$B$2:$B$5,'TABELA AUXILIAR'!$C$2:$C$5),"",0,1)</f>
        <v>8.5</v>
      </c>
      <c r="G7" s="6">
        <f t="shared" si="1"/>
        <v>37.850044435521831</v>
      </c>
      <c r="H7" s="2">
        <f t="shared" si="2"/>
        <v>43.13052403989137</v>
      </c>
      <c r="I7" s="2">
        <f t="shared" si="3"/>
        <v>871.28536301273346</v>
      </c>
      <c r="J7" s="1">
        <f t="shared" si="8"/>
        <v>58.049999999999983</v>
      </c>
      <c r="K7" s="1">
        <f t="shared" si="4"/>
        <v>1.8880858114424712</v>
      </c>
      <c r="L7" s="1">
        <f t="shared" si="5"/>
        <v>109.60338135423542</v>
      </c>
      <c r="M7" s="1">
        <f t="shared" si="6"/>
        <v>978.48264627263291</v>
      </c>
      <c r="N7" s="1">
        <f>$L7*'TABELA AUXILIAR'!$I$3*(B7-A7)</f>
        <v>247.26522833515514</v>
      </c>
      <c r="O7" s="1">
        <f>$L7*'TABELA AUXILIAR'!$I$4*(B7-A7)</f>
        <v>268.30907755516836</v>
      </c>
      <c r="P7" s="1">
        <f>$L7*'TABELA AUXILIAR'!$I$5*(B7-A7)</f>
        <v>309.73915570706936</v>
      </c>
      <c r="Q7" s="1">
        <f>$M7*'TABELA AUXILIAR'!$J$3+SUM(N$2:N7)</f>
        <v>2071.6482871837916</v>
      </c>
      <c r="R7" s="1">
        <f>$M7*'TABELA AUXILIAR'!$J$4+SUM(O$2:O7)</f>
        <v>2339.7695982220357</v>
      </c>
      <c r="S7" s="1">
        <f>$M7*'TABELA AUXILIAR'!$J$5+SUM(P$2:P7)</f>
        <v>2932.1521288171807</v>
      </c>
      <c r="T7" s="2">
        <f t="shared" si="7"/>
        <v>1035</v>
      </c>
      <c r="U7" s="2">
        <f t="shared" si="0"/>
        <v>1169</v>
      </c>
      <c r="V7" s="2">
        <f t="shared" si="0"/>
        <v>1466</v>
      </c>
    </row>
    <row r="8" spans="1:22" x14ac:dyDescent="0.25">
      <c r="A8" s="1">
        <v>3.6</v>
      </c>
      <c r="B8" s="1">
        <v>4.2</v>
      </c>
      <c r="C8" s="1">
        <v>50</v>
      </c>
      <c r="D8" s="1" t="s">
        <v>20</v>
      </c>
      <c r="E8" s="1" t="s">
        <v>7</v>
      </c>
      <c r="F8" s="1" cm="1">
        <f t="array" ref="F8">_xlfn.XLOOKUP(D8,'TABELA AUXILIAR'!$A$2:$A$5,IF('SPT-02'!A8&lt;3,'TABELA AUXILIAR'!$B$2:$B$5,'TABELA AUXILIAR'!$C$2:$C$5),"",0,1)</f>
        <v>11</v>
      </c>
      <c r="G8" s="6">
        <f t="shared" si="1"/>
        <v>39.711446874083649</v>
      </c>
      <c r="H8" s="2">
        <f t="shared" si="2"/>
        <v>43.13052403989137</v>
      </c>
      <c r="I8" s="2">
        <f t="shared" si="3"/>
        <v>603.41543525170096</v>
      </c>
      <c r="J8" s="1">
        <f t="shared" si="8"/>
        <v>63.899999999999977</v>
      </c>
      <c r="K8" s="1">
        <f t="shared" si="4"/>
        <v>1.3754336671502942</v>
      </c>
      <c r="L8" s="1">
        <f t="shared" si="5"/>
        <v>87.890211330903767</v>
      </c>
      <c r="M8" s="1">
        <f t="shared" si="6"/>
        <v>1036.50716401866</v>
      </c>
      <c r="N8" s="1">
        <f>$L8*'TABELA AUXILIAR'!$I$3*(B8-A8)</f>
        <v>198.28031676251891</v>
      </c>
      <c r="O8" s="1">
        <f>$L8*'TABELA AUXILIAR'!$I$4*(B8-A8)</f>
        <v>215.15523733805247</v>
      </c>
      <c r="P8" s="1">
        <f>$L8*'TABELA AUXILIAR'!$I$5*(B8-A8)</f>
        <v>248.37773722113408</v>
      </c>
      <c r="Q8" s="1">
        <f>$M8*'TABELA AUXILIAR'!$J$3+SUM(N$2:N8)</f>
        <v>2335.4963089993207</v>
      </c>
      <c r="R8" s="1">
        <f>$M8*'TABELA AUXILIAR'!$J$4+SUM(O$2:O8)</f>
        <v>2631.5171989848441</v>
      </c>
      <c r="S8" s="1">
        <f>$M8*'TABELA AUXILIAR'!$J$5+SUM(P$2:P8)</f>
        <v>3282.6530172713224</v>
      </c>
      <c r="T8" s="2">
        <f t="shared" si="7"/>
        <v>1167</v>
      </c>
      <c r="U8" s="2">
        <f t="shared" si="0"/>
        <v>1315</v>
      </c>
      <c r="V8" s="2">
        <f t="shared" si="0"/>
        <v>1641</v>
      </c>
    </row>
    <row r="9" spans="1:22" x14ac:dyDescent="0.25">
      <c r="A9" s="1">
        <v>4.2</v>
      </c>
      <c r="B9" s="1">
        <v>4.8</v>
      </c>
      <c r="C9" s="1">
        <v>13</v>
      </c>
      <c r="D9" s="1" t="s">
        <v>20</v>
      </c>
      <c r="E9" s="1" t="s">
        <v>7</v>
      </c>
      <c r="F9" s="1" cm="1">
        <f t="array" ref="F9">_xlfn.XLOOKUP(D9,'TABELA AUXILIAR'!$A$2:$A$5,IF('SPT-02'!A9&lt;3,'TABELA AUXILIAR'!$B$2:$B$5,'TABELA AUXILIAR'!$C$2:$C$5),"",0,1)</f>
        <v>11</v>
      </c>
      <c r="G9" s="6">
        <f t="shared" si="1"/>
        <v>10.845090691306611</v>
      </c>
      <c r="H9" s="2">
        <f t="shared" si="2"/>
        <v>37.748278841222898</v>
      </c>
      <c r="I9" s="2">
        <f t="shared" si="3"/>
        <v>164.79115305440394</v>
      </c>
      <c r="J9" s="1">
        <f t="shared" si="8"/>
        <v>70.499999999999972</v>
      </c>
      <c r="K9" s="1">
        <f t="shared" si="4"/>
        <v>0.50492960912781382</v>
      </c>
      <c r="L9" s="1">
        <f t="shared" si="5"/>
        <v>35.597537443510859</v>
      </c>
      <c r="M9" s="1">
        <f t="shared" si="6"/>
        <v>374.25183793874379</v>
      </c>
      <c r="N9" s="1">
        <f>$L9*'TABELA AUXILIAR'!$I$3*(B9-A9)</f>
        <v>80.308044472560439</v>
      </c>
      <c r="O9" s="1">
        <f>$L9*'TABELA AUXILIAR'!$I$4*(B9-A9)</f>
        <v>87.142771661714534</v>
      </c>
      <c r="P9" s="1">
        <f>$L9*'TABELA AUXILIAR'!$I$5*(B9-A9)</f>
        <v>100.59864081536163</v>
      </c>
      <c r="Q9" s="1">
        <f>$M9*'TABELA AUXILIAR'!$J$3+SUM(N$2:N9)</f>
        <v>1667.4558350015759</v>
      </c>
      <c r="R9" s="1">
        <f>$M9*'TABELA AUXILIAR'!$J$4+SUM(O$2:O9)</f>
        <v>1844.4829402210694</v>
      </c>
      <c r="S9" s="1">
        <f>$M9*'TABELA AUXILIAR'!$J$5+SUM(P$2:P9)</f>
        <v>2217.6822841860317</v>
      </c>
      <c r="T9" s="2">
        <f t="shared" si="7"/>
        <v>833</v>
      </c>
      <c r="U9" s="2">
        <f t="shared" si="0"/>
        <v>922</v>
      </c>
      <c r="V9" s="2">
        <f t="shared" si="0"/>
        <v>1108</v>
      </c>
    </row>
    <row r="10" spans="1:22" x14ac:dyDescent="0.25">
      <c r="A10" s="1">
        <v>4.8</v>
      </c>
      <c r="B10" s="1">
        <v>5.4</v>
      </c>
      <c r="C10" s="1">
        <v>45</v>
      </c>
      <c r="D10" s="1" t="s">
        <v>18</v>
      </c>
      <c r="E10" s="1" t="s">
        <v>3</v>
      </c>
      <c r="F10" s="1" cm="1">
        <f t="array" ref="F10">_xlfn.XLOOKUP(D10,'TABELA AUXILIAR'!$A$2:$A$5,IF('SPT-02'!A10&lt;3,'TABELA AUXILIAR'!$B$2:$B$5,'TABELA AUXILIAR'!$C$2:$C$5),"",0,1)</f>
        <v>8.5</v>
      </c>
      <c r="G10" s="6">
        <f t="shared" si="1"/>
        <v>39.067202332959326</v>
      </c>
      <c r="H10" s="2">
        <f t="shared" si="2"/>
        <v>42.709555126733164</v>
      </c>
      <c r="I10" s="2">
        <f t="shared" si="3"/>
        <v>893.62879154260986</v>
      </c>
      <c r="J10" s="1">
        <f t="shared" si="8"/>
        <v>76.349999999999966</v>
      </c>
      <c r="K10" s="1">
        <f t="shared" si="4"/>
        <v>1.5752772365773007</v>
      </c>
      <c r="L10" s="1">
        <f t="shared" si="5"/>
        <v>120.27241701267685</v>
      </c>
      <c r="M10" s="1">
        <f t="shared" si="6"/>
        <v>1060.1107186780835</v>
      </c>
      <c r="N10" s="1">
        <f>$L10*'TABELA AUXILIAR'!$I$3*(B10-A10)</f>
        <v>271.33457278059922</v>
      </c>
      <c r="O10" s="1">
        <f>$L10*'TABELA AUXILIAR'!$I$4*(B10-A10)</f>
        <v>294.42687684703321</v>
      </c>
      <c r="P10" s="1">
        <f>$L10*'TABELA AUXILIAR'!$I$5*(B10-A10)</f>
        <v>339.88985047782512</v>
      </c>
      <c r="Q10" s="1">
        <f>$M10*'TABELA AUXILIAR'!$J$3+SUM(N$2:N10)</f>
        <v>2713.8109430176291</v>
      </c>
      <c r="R10" s="1">
        <f>$M10*'TABELA AUXILIAR'!$J$4+SUM(O$2:O10)</f>
        <v>3044.2435396440305</v>
      </c>
      <c r="S10" s="1">
        <f>$M10*'TABELA AUXILIAR'!$J$5+SUM(P$2:P10)</f>
        <v>3764.6837647650946</v>
      </c>
      <c r="T10" s="2">
        <f t="shared" si="7"/>
        <v>1356</v>
      </c>
      <c r="U10" s="2">
        <f t="shared" si="0"/>
        <v>1522</v>
      </c>
      <c r="V10" s="2">
        <f t="shared" si="0"/>
        <v>1882</v>
      </c>
    </row>
    <row r="11" spans="1:22" x14ac:dyDescent="0.25">
      <c r="A11" s="1">
        <v>5.4</v>
      </c>
      <c r="B11" s="1">
        <v>6</v>
      </c>
      <c r="C11" s="1">
        <v>50</v>
      </c>
      <c r="D11" s="1" t="s">
        <v>18</v>
      </c>
      <c r="E11" s="1" t="s">
        <v>3</v>
      </c>
      <c r="F11" s="1" cm="1">
        <f t="array" ref="F11">_xlfn.XLOOKUP(D11,'TABELA AUXILIAR'!$A$2:$A$5,IF('SPT-02'!A11&lt;3,'TABELA AUXILIAR'!$B$2:$B$5,'TABELA AUXILIAR'!$C$2:$C$5),"",0,1)</f>
        <v>8.5</v>
      </c>
      <c r="G11" s="6">
        <f t="shared" si="1"/>
        <v>44.834344648045679</v>
      </c>
      <c r="H11" s="2">
        <f t="shared" si="2"/>
        <v>43.13052403989137</v>
      </c>
      <c r="I11" s="2">
        <f t="shared" si="3"/>
        <v>997.69079218640763</v>
      </c>
      <c r="J11" s="1">
        <f t="shared" si="8"/>
        <v>81.44999999999996</v>
      </c>
      <c r="K11" s="1">
        <f t="shared" si="4"/>
        <v>1.6431841206741633</v>
      </c>
      <c r="L11" s="1">
        <f t="shared" si="5"/>
        <v>133.83734662891052</v>
      </c>
      <c r="M11" s="1">
        <f t="shared" si="6"/>
        <v>1198.9648371588353</v>
      </c>
      <c r="N11" s="1">
        <f>$L11*'TABELA AUXILIAR'!$I$3*(B11-A11)</f>
        <v>301.93705399482195</v>
      </c>
      <c r="O11" s="1">
        <f>$L11*'TABELA AUXILIAR'!$I$4*(B11-A11)</f>
        <v>327.63382454757283</v>
      </c>
      <c r="P11" s="1">
        <f>$L11*'TABELA AUXILIAR'!$I$5*(B11-A11)</f>
        <v>378.22434157330088</v>
      </c>
      <c r="Q11" s="1">
        <f>$M11*'TABELA AUXILIAR'!$J$3+SUM(N$2:N11)</f>
        <v>3172.6531508957005</v>
      </c>
      <c r="R11" s="1">
        <f>$M11*'TABELA AUXILIAR'!$J$4+SUM(O$2:O11)</f>
        <v>3555.1648005861962</v>
      </c>
      <c r="S11" s="1">
        <f>$M11*'TABELA AUXILIAR'!$J$5+SUM(P$2:P11)</f>
        <v>4387.2913548645192</v>
      </c>
      <c r="T11" s="2">
        <f t="shared" si="7"/>
        <v>1586</v>
      </c>
      <c r="U11" s="2">
        <f t="shared" si="0"/>
        <v>1777</v>
      </c>
      <c r="V11" s="2">
        <f t="shared" si="0"/>
        <v>2193</v>
      </c>
    </row>
    <row r="12" spans="1:22" x14ac:dyDescent="0.25">
      <c r="A12" s="1">
        <v>6</v>
      </c>
      <c r="B12" s="1">
        <v>6.6</v>
      </c>
      <c r="C12" s="1">
        <v>50</v>
      </c>
      <c r="D12" s="1" t="s">
        <v>18</v>
      </c>
      <c r="E12" s="1" t="s">
        <v>3</v>
      </c>
      <c r="F12" s="1" cm="1">
        <f t="array" ref="F12">_xlfn.XLOOKUP(D12,'TABELA AUXILIAR'!$A$2:$A$5,IF('SPT-02'!A12&lt;3,'TABELA AUXILIAR'!$B$2:$B$5,'TABELA AUXILIAR'!$C$2:$C$5),"",0,1)</f>
        <v>8.5</v>
      </c>
      <c r="G12" s="6">
        <f t="shared" si="1"/>
        <v>46.216687797775357</v>
      </c>
      <c r="H12" s="2">
        <f t="shared" si="2"/>
        <v>43.13052403989137</v>
      </c>
      <c r="I12" s="2">
        <f t="shared" si="3"/>
        <v>1022.2246691851756</v>
      </c>
      <c r="J12" s="1">
        <f t="shared" si="8"/>
        <v>86.549999999999955</v>
      </c>
      <c r="K12" s="1">
        <f t="shared" si="4"/>
        <v>1.6027539806951865</v>
      </c>
      <c r="L12" s="1">
        <f t="shared" si="5"/>
        <v>138.71835702916832</v>
      </c>
      <c r="M12" s="1">
        <f t="shared" si="6"/>
        <v>1243.4606220771459</v>
      </c>
      <c r="N12" s="1">
        <f>$L12*'TABELA AUXILIAR'!$I$3*(B12-A12)</f>
        <v>312.94861345780356</v>
      </c>
      <c r="O12" s="1">
        <f>$L12*'TABELA AUXILIAR'!$I$4*(B12-A12)</f>
        <v>339.58253800740385</v>
      </c>
      <c r="P12" s="1">
        <f>$L12*'TABELA AUXILIAR'!$I$5*(B12-A12)</f>
        <v>392.01807696442944</v>
      </c>
      <c r="Q12" s="1">
        <f>$M12*'TABELA AUXILIAR'!$J$3+SUM(N$2:N12)</f>
        <v>3535.8820013111954</v>
      </c>
      <c r="R12" s="1">
        <f>$M12*'TABELA AUXILIAR'!$J$4+SUM(O$2:O12)</f>
        <v>3953.4817746857702</v>
      </c>
      <c r="S12" s="1">
        <f>$M12*'TABELA AUXILIAR'!$J$5+SUM(P$2:P12)</f>
        <v>4857.6220132851749</v>
      </c>
      <c r="T12" s="2">
        <f t="shared" si="7"/>
        <v>1767</v>
      </c>
      <c r="U12" s="2">
        <f t="shared" si="0"/>
        <v>1976</v>
      </c>
      <c r="V12" s="2">
        <f t="shared" si="0"/>
        <v>2428</v>
      </c>
    </row>
    <row r="13" spans="1:22" x14ac:dyDescent="0.25">
      <c r="A13" s="1">
        <v>6.6</v>
      </c>
      <c r="B13" s="1">
        <v>7.2</v>
      </c>
      <c r="C13" s="1">
        <v>50</v>
      </c>
      <c r="D13" s="1" t="s">
        <v>18</v>
      </c>
      <c r="E13" s="1" t="s">
        <v>3</v>
      </c>
      <c r="F13" s="1" cm="1">
        <f t="array" ref="F13">_xlfn.XLOOKUP(D13,'TABELA AUXILIAR'!$A$2:$A$5,IF('SPT-02'!A13&lt;3,'TABELA AUXILIAR'!$B$2:$B$5,'TABELA AUXILIAR'!$C$2:$C$5),"",0,1)</f>
        <v>8.5</v>
      </c>
      <c r="G13" s="6">
        <f t="shared" si="1"/>
        <v>47.558868804612381</v>
      </c>
      <c r="H13" s="2">
        <f t="shared" si="2"/>
        <v>43.13052403989137</v>
      </c>
      <c r="I13" s="2">
        <f t="shared" si="3"/>
        <v>1045.9056675082895</v>
      </c>
      <c r="J13" s="1">
        <f t="shared" si="8"/>
        <v>91.649999999999949</v>
      </c>
      <c r="K13" s="1">
        <f t="shared" si="4"/>
        <v>1.5655507045995005</v>
      </c>
      <c r="L13" s="1">
        <f t="shared" si="5"/>
        <v>143.48272207654415</v>
      </c>
      <c r="M13" s="1">
        <f t="shared" si="6"/>
        <v>1286.9191837474127</v>
      </c>
      <c r="N13" s="1">
        <f>$L13*'TABELA AUXILIAR'!$I$3*(B13-A13)</f>
        <v>323.6970210046839</v>
      </c>
      <c r="O13" s="1">
        <f>$L13*'TABELA AUXILIAR'!$I$4*(B13-A13)</f>
        <v>351.24570364338041</v>
      </c>
      <c r="P13" s="1">
        <f>$L13*'TABELA AUXILIAR'!$I$5*(B13-A13)</f>
        <v>405.48217258831414</v>
      </c>
      <c r="Q13" s="1">
        <f>$M13*'TABELA AUXILIAR'!$J$3+SUM(N$2:N13)</f>
        <v>3908.6871970032803</v>
      </c>
      <c r="R13" s="1">
        <f>$M13*'TABELA AUXILIAR'!$J$4+SUM(O$2:O13)</f>
        <v>4362.0927797339027</v>
      </c>
      <c r="S13" s="1">
        <f>$M13*'TABELA AUXILIAR'!$J$5+SUM(P$2:P13)</f>
        <v>5339.5912544131588</v>
      </c>
      <c r="T13" s="2">
        <f t="shared" si="7"/>
        <v>1954</v>
      </c>
      <c r="U13" s="2">
        <f t="shared" si="0"/>
        <v>2181</v>
      </c>
      <c r="V13" s="2">
        <f t="shared" si="0"/>
        <v>2669</v>
      </c>
    </row>
    <row r="14" spans="1:22" x14ac:dyDescent="0.25">
      <c r="A14" s="1">
        <v>7.2</v>
      </c>
      <c r="B14" s="1">
        <v>7.8</v>
      </c>
      <c r="C14" s="1">
        <v>50</v>
      </c>
      <c r="D14" s="1" t="s">
        <v>18</v>
      </c>
      <c r="E14" s="1" t="s">
        <v>3</v>
      </c>
      <c r="F14" s="1" cm="1">
        <f t="array" ref="F14">_xlfn.XLOOKUP(D14,'TABELA AUXILIAR'!$A$2:$A$5,IF('SPT-02'!A14&lt;3,'TABELA AUXILIAR'!$B$2:$B$5,'TABELA AUXILIAR'!$C$2:$C$5),"",0,1)</f>
        <v>8.5</v>
      </c>
      <c r="G14" s="6">
        <f t="shared" si="1"/>
        <v>48.864197250662244</v>
      </c>
      <c r="H14" s="2">
        <f t="shared" si="2"/>
        <v>43.13052403989137</v>
      </c>
      <c r="I14" s="2">
        <f t="shared" si="3"/>
        <v>1068.8085470127762</v>
      </c>
      <c r="J14" s="1">
        <f t="shared" si="8"/>
        <v>96.749999999999943</v>
      </c>
      <c r="K14" s="1">
        <f t="shared" si="4"/>
        <v>1.5311576337525692</v>
      </c>
      <c r="L14" s="1">
        <f t="shared" si="5"/>
        <v>148.13950106556098</v>
      </c>
      <c r="M14" s="1">
        <f t="shared" si="6"/>
        <v>1329.4205185173662</v>
      </c>
      <c r="N14" s="1">
        <f>$L14*'TABELA AUXILIAR'!$I$3*(B14-A14)</f>
        <v>334.2027144039053</v>
      </c>
      <c r="O14" s="1">
        <f>$L14*'TABELA AUXILIAR'!$I$4*(B14-A14)</f>
        <v>362.64549860849309</v>
      </c>
      <c r="P14" s="1">
        <f>$L14*'TABELA AUXILIAR'!$I$5*(B14-A14)</f>
        <v>418.64223001127505</v>
      </c>
      <c r="Q14" s="1">
        <f>$M14*'TABELA AUXILIAR'!$J$3+SUM(N$2:N14)</f>
        <v>4290.9164196972333</v>
      </c>
      <c r="R14" s="1">
        <f>$M14*'TABELA AUXILIAR'!$J$4+SUM(O$2:O14)</f>
        <v>4780.8400402387342</v>
      </c>
      <c r="S14" s="1">
        <f>$M14*'TABELA AUXILIAR'!$J$5+SUM(P$2:P14)</f>
        <v>5833.0358336195513</v>
      </c>
      <c r="T14" s="2">
        <f t="shared" si="7"/>
        <v>2145</v>
      </c>
      <c r="U14" s="2">
        <f t="shared" si="0"/>
        <v>2390</v>
      </c>
      <c r="V14" s="2">
        <f t="shared" si="0"/>
        <v>2916</v>
      </c>
    </row>
    <row r="15" spans="1:22" x14ac:dyDescent="0.25">
      <c r="A15" s="1">
        <v>7.8</v>
      </c>
      <c r="B15" s="1">
        <v>8.4</v>
      </c>
      <c r="C15" s="1">
        <v>50</v>
      </c>
      <c r="D15" s="1" t="s">
        <v>18</v>
      </c>
      <c r="E15" s="1" t="s">
        <v>3</v>
      </c>
      <c r="F15" s="1" cm="1">
        <f t="array" ref="F15">_xlfn.XLOOKUP(D15,'TABELA AUXILIAR'!$A$2:$A$5,IF('SPT-02'!A15&lt;3,'TABELA AUXILIAR'!$B$2:$B$5,'TABELA AUXILIAR'!$C$2:$C$5),"",0,1)</f>
        <v>8.5</v>
      </c>
      <c r="G15" s="6">
        <f t="shared" si="1"/>
        <v>50.135551696664542</v>
      </c>
      <c r="H15" s="2">
        <f t="shared" si="2"/>
        <v>43.13052403989137</v>
      </c>
      <c r="I15" s="2">
        <f t="shared" si="3"/>
        <v>1090.997968618065</v>
      </c>
      <c r="J15" s="1">
        <f t="shared" si="8"/>
        <v>101.84999999999994</v>
      </c>
      <c r="K15" s="1">
        <f t="shared" si="4"/>
        <v>1.4992303694214604</v>
      </c>
      <c r="L15" s="1">
        <f t="shared" si="5"/>
        <v>152.69661312557565</v>
      </c>
      <c r="M15" s="1">
        <f t="shared" si="6"/>
        <v>1371.0345946098835</v>
      </c>
      <c r="N15" s="1">
        <f>$L15*'TABELA AUXILIAR'!$I$3*(B15-A15)</f>
        <v>344.483559211299</v>
      </c>
      <c r="O15" s="1">
        <f>$L15*'TABELA AUXILIAR'!$I$4*(B15-A15)</f>
        <v>373.80130893140955</v>
      </c>
      <c r="P15" s="1">
        <f>$L15*'TABELA AUXILIAR'!$I$5*(B15-A15)</f>
        <v>431.52062869287715</v>
      </c>
      <c r="Q15" s="1">
        <f>$M15*'TABELA AUXILIAR'!$J$3+SUM(N$2:N15)</f>
        <v>4682.4238848930763</v>
      </c>
      <c r="R15" s="1">
        <f>$M15*'TABELA AUXILIAR'!$J$4+SUM(O$2:O15)</f>
        <v>5209.571929612267</v>
      </c>
      <c r="S15" s="1">
        <f>$M15*'TABELA AUXILIAR'!$J$5+SUM(P$2:P15)</f>
        <v>6337.7972362352593</v>
      </c>
      <c r="T15" s="2">
        <f t="shared" si="7"/>
        <v>2341</v>
      </c>
      <c r="U15" s="2">
        <f t="shared" si="0"/>
        <v>2604</v>
      </c>
      <c r="V15" s="2">
        <f t="shared" si="0"/>
        <v>3168</v>
      </c>
    </row>
    <row r="16" spans="1:22" x14ac:dyDescent="0.25">
      <c r="A16" s="1">
        <v>8.4</v>
      </c>
      <c r="B16" s="1">
        <v>9</v>
      </c>
      <c r="C16" s="1">
        <v>50</v>
      </c>
      <c r="D16" s="1" t="s">
        <v>18</v>
      </c>
      <c r="E16" s="1" t="s">
        <v>3</v>
      </c>
      <c r="F16" s="1" cm="1">
        <f t="array" ref="F16">_xlfn.XLOOKUP(D16,'TABELA AUXILIAR'!$A$2:$A$5,IF('SPT-02'!A16&lt;3,'TABELA AUXILIAR'!$B$2:$B$5,'TABELA AUXILIAR'!$C$2:$C$5),"",0,1)</f>
        <v>8.5</v>
      </c>
      <c r="G16" s="6">
        <f t="shared" si="1"/>
        <v>51.375454400970675</v>
      </c>
      <c r="H16" s="2">
        <f t="shared" si="2"/>
        <v>43.13052403989137</v>
      </c>
      <c r="I16" s="2">
        <f t="shared" si="3"/>
        <v>1112.5302904367709</v>
      </c>
      <c r="J16" s="1">
        <f t="shared" si="8"/>
        <v>106.94999999999993</v>
      </c>
      <c r="K16" s="1">
        <f t="shared" si="4"/>
        <v>1.4694813486811382</v>
      </c>
      <c r="L16" s="1">
        <f t="shared" si="5"/>
        <v>157.16103024144763</v>
      </c>
      <c r="M16" s="1">
        <f t="shared" si="6"/>
        <v>1411.8230451656198</v>
      </c>
      <c r="N16" s="1">
        <f>$L16*'TABELA AUXILIAR'!$I$3*(B16-A16)</f>
        <v>354.55528422470559</v>
      </c>
      <c r="O16" s="1">
        <f>$L16*'TABELA AUXILIAR'!$I$4*(B16-A16)</f>
        <v>384.73020203106364</v>
      </c>
      <c r="P16" s="1">
        <f>$L16*'TABELA AUXILIAR'!$I$5*(B16-A16)</f>
        <v>444.13707146233077</v>
      </c>
      <c r="Q16" s="1">
        <f>$M16*'TABELA AUXILIAR'!$J$3+SUM(N$2:N16)</f>
        <v>5083.0701182457642</v>
      </c>
      <c r="R16" s="1">
        <f>$M16*'TABELA AUXILIAR'!$J$4+SUM(O$2:O16)</f>
        <v>5648.1428863769024</v>
      </c>
      <c r="S16" s="1">
        <f>$M16*'TABELA AUXILIAR'!$J$5+SUM(P$2:P16)</f>
        <v>6853.7219806756866</v>
      </c>
      <c r="T16" s="2">
        <f t="shared" si="7"/>
        <v>2541</v>
      </c>
      <c r="U16" s="2">
        <f t="shared" si="0"/>
        <v>2824</v>
      </c>
      <c r="V16" s="2">
        <f t="shared" si="0"/>
        <v>3426</v>
      </c>
    </row>
    <row r="17" spans="1:22" x14ac:dyDescent="0.25">
      <c r="A17" s="1">
        <v>9</v>
      </c>
      <c r="B17" s="1">
        <v>9.6</v>
      </c>
      <c r="C17" s="1">
        <v>33</v>
      </c>
      <c r="D17" s="1" t="s">
        <v>18</v>
      </c>
      <c r="E17" s="1" t="s">
        <v>3</v>
      </c>
      <c r="F17" s="1" cm="1">
        <f t="array" ref="F17">_xlfn.XLOOKUP(D17,'TABELA AUXILIAR'!$A$2:$A$5,IF('SPT-02'!A17&lt;3,'TABELA AUXILIAR'!$B$2:$B$5,'TABELA AUXILIAR'!$C$2:$C$5),"",0,1)</f>
        <v>8.5</v>
      </c>
      <c r="G17" s="6">
        <f t="shared" si="1"/>
        <v>34.706845909861329</v>
      </c>
      <c r="H17" s="2">
        <f t="shared" si="2"/>
        <v>41.470328246876562</v>
      </c>
      <c r="I17" s="2">
        <f t="shared" si="3"/>
        <v>812.90430106054896</v>
      </c>
      <c r="J17" s="1">
        <f t="shared" si="8"/>
        <v>112.04999999999993</v>
      </c>
      <c r="K17" s="1">
        <f t="shared" si="4"/>
        <v>1.1089418609764574</v>
      </c>
      <c r="L17" s="1">
        <f t="shared" si="5"/>
        <v>124.25693552241196</v>
      </c>
      <c r="M17" s="1">
        <f t="shared" si="6"/>
        <v>1041.2477074405158</v>
      </c>
      <c r="N17" s="1">
        <f>$L17*'TABELA AUXILIAR'!$I$3*(B17-A17)</f>
        <v>280.32364653856121</v>
      </c>
      <c r="O17" s="1">
        <f>$L17*'TABELA AUXILIAR'!$I$4*(B17-A17)</f>
        <v>304.18097815886432</v>
      </c>
      <c r="P17" s="1">
        <f>$L17*'TABELA AUXILIAR'!$I$5*(B17-A17)</f>
        <v>351.150099786336</v>
      </c>
      <c r="Q17" s="1">
        <f>$M17*'TABELA AUXILIAR'!$J$3+SUM(N$2:N17)</f>
        <v>4944.6436331549576</v>
      </c>
      <c r="R17" s="1">
        <f>$M17*'TABELA AUXILIAR'!$J$4+SUM(O$2:O17)</f>
        <v>5463.1644187386291</v>
      </c>
      <c r="S17" s="1">
        <f>$M17*'TABELA AUXILIAR'!$J$5+SUM(P$2:P17)</f>
        <v>6552.6594860658388</v>
      </c>
      <c r="T17" s="2">
        <f t="shared" si="7"/>
        <v>2472</v>
      </c>
      <c r="U17" s="2">
        <f t="shared" si="0"/>
        <v>2731</v>
      </c>
      <c r="V17" s="2">
        <f t="shared" si="0"/>
        <v>3276</v>
      </c>
    </row>
    <row r="18" spans="1:22" x14ac:dyDescent="0.25">
      <c r="A18" s="1">
        <v>9.6</v>
      </c>
      <c r="B18" s="1">
        <v>10.199999999999999</v>
      </c>
      <c r="C18" s="1">
        <v>50</v>
      </c>
      <c r="D18" s="1" t="s">
        <v>18</v>
      </c>
      <c r="E18" s="1" t="s">
        <v>3</v>
      </c>
      <c r="F18" s="1" cm="1">
        <f t="array" ref="F18">_xlfn.XLOOKUP(D18,'TABELA AUXILIAR'!$A$2:$A$5,IF('SPT-02'!A18&lt;3,'TABELA AUXILIAR'!$B$2:$B$5,'TABELA AUXILIAR'!$C$2:$C$5),"",0,1)</f>
        <v>8.5</v>
      </c>
      <c r="G18" s="6">
        <f t="shared" si="1"/>
        <v>53.769553251452699</v>
      </c>
      <c r="H18" s="2">
        <f t="shared" si="2"/>
        <v>43.13052403989137</v>
      </c>
      <c r="I18" s="2">
        <f t="shared" si="3"/>
        <v>1153.8157044509844</v>
      </c>
      <c r="J18" s="1">
        <f t="shared" si="8"/>
        <v>117.14999999999992</v>
      </c>
      <c r="K18" s="1">
        <f t="shared" si="4"/>
        <v>1.4155853002232406</v>
      </c>
      <c r="L18" s="1">
        <f t="shared" si="5"/>
        <v>165.83581792115251</v>
      </c>
      <c r="M18" s="1">
        <f t="shared" si="6"/>
        <v>1491.1357035307519</v>
      </c>
      <c r="N18" s="1">
        <f>$L18*'TABELA AUXILIAR'!$I$3*(B18-A18)</f>
        <v>374.12560523011979</v>
      </c>
      <c r="O18" s="1">
        <f>$L18*'TABELA AUXILIAR'!$I$4*(B18-A18)</f>
        <v>405.96608227098113</v>
      </c>
      <c r="P18" s="1">
        <f>$L18*'TABELA AUXILIAR'!$I$5*(B18-A18)</f>
        <v>468.65202144517673</v>
      </c>
      <c r="Q18" s="1">
        <f>$M18*'TABELA AUXILIAR'!$J$3+SUM(N$2:N18)</f>
        <v>5827.1426739670451</v>
      </c>
      <c r="R18" s="1">
        <f>$M18*'TABELA AUXILIAR'!$J$4+SUM(O$2:O18)</f>
        <v>6462.982655848723</v>
      </c>
      <c r="S18" s="1">
        <f>$M18*'TABELA AUXILIAR'!$J$5+SUM(P$2:P18)</f>
        <v>7813.1143806298314</v>
      </c>
      <c r="T18" s="2">
        <f t="shared" si="7"/>
        <v>2913</v>
      </c>
      <c r="U18" s="2">
        <f t="shared" si="7"/>
        <v>3231</v>
      </c>
      <c r="V18" s="2">
        <f t="shared" si="7"/>
        <v>3906</v>
      </c>
    </row>
    <row r="19" spans="1:22" x14ac:dyDescent="0.25">
      <c r="A19" s="1">
        <v>10.199999999999999</v>
      </c>
      <c r="B19" s="1">
        <v>10.8</v>
      </c>
      <c r="C19" s="1">
        <v>35</v>
      </c>
      <c r="D19" s="1" t="s">
        <v>18</v>
      </c>
      <c r="E19" s="1" t="s">
        <v>2</v>
      </c>
      <c r="F19" s="1" cm="1">
        <f t="array" ref="F19">_xlfn.XLOOKUP(D19,'TABELA AUXILIAR'!$A$2:$A$5,IF('SPT-02'!A19&lt;3,'TABELA AUXILIAR'!$B$2:$B$5,'TABELA AUXILIAR'!$C$2:$C$5),"",0,1)</f>
        <v>8.5</v>
      </c>
      <c r="G19" s="6">
        <f t="shared" si="1"/>
        <v>38.44923962369959</v>
      </c>
      <c r="H19" s="2">
        <f t="shared" si="2"/>
        <v>41.705426008022535</v>
      </c>
      <c r="I19" s="2">
        <f t="shared" si="3"/>
        <v>882.30249583631303</v>
      </c>
      <c r="J19" s="1">
        <f t="shared" si="8"/>
        <v>122.24999999999993</v>
      </c>
      <c r="K19" s="1">
        <f t="shared" si="4"/>
        <v>1.1108938700961462</v>
      </c>
      <c r="L19" s="1">
        <f t="shared" si="5"/>
        <v>135.80677561925378</v>
      </c>
      <c r="M19" s="1">
        <f t="shared" si="6"/>
        <v>1150.0045163655816</v>
      </c>
      <c r="N19" s="1">
        <f>$L19*'TABELA AUXILIAR'!$I$3*(B19-A19)</f>
        <v>306.38008579703722</v>
      </c>
      <c r="O19" s="1">
        <f>$L19*'TABELA AUXILIAR'!$I$4*(B19-A19)</f>
        <v>332.45498671593407</v>
      </c>
      <c r="P19" s="1">
        <f>$L19*'TABELA AUXILIAR'!$I$5*(B19-A19)</f>
        <v>383.78994790001212</v>
      </c>
      <c r="Q19" s="1">
        <f>$M19*'TABELA AUXILIAR'!$J$3+SUM(N$2:N19)</f>
        <v>5748.0445182674393</v>
      </c>
      <c r="R19" s="1">
        <f>$M19*'TABELA AUXILIAR'!$J$4+SUM(O$2:O19)</f>
        <v>6345.1444755066314</v>
      </c>
      <c r="S19" s="1">
        <f>$M19*'TABELA AUXILIAR'!$J$5+SUM(P$2:P19)</f>
        <v>7596.5134391191441</v>
      </c>
      <c r="T19" s="2">
        <f t="shared" si="7"/>
        <v>2874</v>
      </c>
      <c r="U19" s="2">
        <f t="shared" si="7"/>
        <v>3172</v>
      </c>
      <c r="V19" s="2">
        <f t="shared" si="7"/>
        <v>3798</v>
      </c>
    </row>
    <row r="20" spans="1:22" x14ac:dyDescent="0.25">
      <c r="A20" s="1">
        <v>10.8</v>
      </c>
      <c r="B20" s="1">
        <v>11.4</v>
      </c>
      <c r="C20" s="1">
        <v>34</v>
      </c>
      <c r="D20" s="1" t="s">
        <v>18</v>
      </c>
      <c r="E20" s="1" t="s">
        <v>2</v>
      </c>
      <c r="F20" s="1" cm="1">
        <f t="array" ref="F20">_xlfn.XLOOKUP(D20,'TABELA AUXILIAR'!$A$2:$A$5,IF('SPT-02'!A20&lt;3,'TABELA AUXILIAR'!$B$2:$B$5,'TABELA AUXILIAR'!$C$2:$C$5),"",0,1)</f>
        <v>8.5</v>
      </c>
      <c r="G20" s="6">
        <f t="shared" si="1"/>
        <v>38.121823739326011</v>
      </c>
      <c r="H20" s="2">
        <f t="shared" si="2"/>
        <v>41.589606036788744</v>
      </c>
      <c r="I20" s="2">
        <f t="shared" si="3"/>
        <v>876.28673701600144</v>
      </c>
      <c r="J20" s="1">
        <f t="shared" si="8"/>
        <v>127.34999999999994</v>
      </c>
      <c r="K20" s="1">
        <f t="shared" si="4"/>
        <v>1.0735173001884997</v>
      </c>
      <c r="L20" s="1">
        <f t="shared" si="5"/>
        <v>136.71242817900537</v>
      </c>
      <c r="M20" s="1">
        <f t="shared" si="6"/>
        <v>1151.5380504572156</v>
      </c>
      <c r="N20" s="1">
        <f>$L20*'TABELA AUXILIAR'!$I$3*(B20-A20)</f>
        <v>308.42323797183593</v>
      </c>
      <c r="O20" s="1">
        <f>$L20*'TABELA AUXILIAR'!$I$4*(B20-A20)</f>
        <v>334.67202418220495</v>
      </c>
      <c r="P20" s="1">
        <f>$L20*'TABELA AUXILIAR'!$I$5*(B20-A20)</f>
        <v>386.34932203386899</v>
      </c>
      <c r="Q20" s="1">
        <f>$M20*'TABELA AUXILIAR'!$J$3+SUM(N$2:N20)</f>
        <v>6058.2006497628226</v>
      </c>
      <c r="R20" s="1">
        <f>$M20*'TABELA AUXILIAR'!$J$4+SUM(O$2:O20)</f>
        <v>6681.840764689794</v>
      </c>
      <c r="S20" s="1">
        <f>$M20*'TABELA AUXILIAR'!$J$5+SUM(P$2:P20)</f>
        <v>7985.5617811542888</v>
      </c>
      <c r="T20" s="2">
        <f t="shared" si="7"/>
        <v>3029</v>
      </c>
      <c r="U20" s="2">
        <f t="shared" si="7"/>
        <v>3340</v>
      </c>
      <c r="V20" s="2">
        <f t="shared" si="7"/>
        <v>3992</v>
      </c>
    </row>
    <row r="21" spans="1:22" x14ac:dyDescent="0.25">
      <c r="A21" s="1">
        <v>11.4</v>
      </c>
      <c r="B21" s="1">
        <v>12</v>
      </c>
      <c r="C21" s="1">
        <v>37</v>
      </c>
      <c r="D21" s="1" t="s">
        <v>18</v>
      </c>
      <c r="E21" s="1" t="s">
        <v>2</v>
      </c>
      <c r="F21" s="1" cm="1">
        <f t="array" ref="F21">_xlfn.XLOOKUP(D21,'TABELA AUXILIAR'!$A$2:$A$5,IF('SPT-02'!A21&lt;3,'TABELA AUXILIAR'!$B$2:$B$5,'TABELA AUXILIAR'!$C$2:$C$5),"",0,1)</f>
        <v>8.5</v>
      </c>
      <c r="G21" s="6">
        <f t="shared" si="1"/>
        <v>42.308047444646739</v>
      </c>
      <c r="H21" s="2">
        <f t="shared" si="2"/>
        <v>41.927455861416355</v>
      </c>
      <c r="I21" s="2">
        <f t="shared" si="3"/>
        <v>952.45768315240707</v>
      </c>
      <c r="J21" s="1">
        <f t="shared" si="8"/>
        <v>132.44999999999996</v>
      </c>
      <c r="K21" s="1">
        <f t="shared" si="4"/>
        <v>1.1135823434240675</v>
      </c>
      <c r="L21" s="1">
        <f t="shared" si="5"/>
        <v>147.4939813865177</v>
      </c>
      <c r="M21" s="1">
        <f t="shared" si="6"/>
        <v>1261.5031712694054</v>
      </c>
      <c r="N21" s="1">
        <f>$L21*'TABELA AUXILIAR'!$I$3*(B21-A21)</f>
        <v>332.74642200798377</v>
      </c>
      <c r="O21" s="1">
        <f>$L21*'TABELA AUXILIAR'!$I$4*(B21-A21)</f>
        <v>361.06526643419511</v>
      </c>
      <c r="P21" s="1">
        <f>$L21*'TABELA AUXILIAR'!$I$5*(B21-A21)</f>
        <v>416.81799139829877</v>
      </c>
      <c r="Q21" s="1">
        <f>$M21*'TABELA AUXILIAR'!$J$3+SUM(N$2:N21)</f>
        <v>6515.2076582885802</v>
      </c>
      <c r="R21" s="1">
        <f>$M21*'TABELA AUXILIAR'!$J$4+SUM(O$2:O21)</f>
        <v>7188.0599905960789</v>
      </c>
      <c r="S21" s="1">
        <f>$M21*'TABELA AUXILIAR'!$J$5+SUM(P$2:P21)</f>
        <v>8595.9183851820417</v>
      </c>
      <c r="T21" s="2">
        <f t="shared" si="7"/>
        <v>3257</v>
      </c>
      <c r="U21" s="2">
        <f t="shared" si="7"/>
        <v>3594</v>
      </c>
      <c r="V21" s="2">
        <f t="shared" si="7"/>
        <v>4297</v>
      </c>
    </row>
    <row r="22" spans="1:22" x14ac:dyDescent="0.25">
      <c r="A22" s="1">
        <v>12</v>
      </c>
      <c r="B22" s="1">
        <v>12.6</v>
      </c>
      <c r="C22" s="1">
        <v>43</v>
      </c>
      <c r="D22" s="1" t="s">
        <v>18</v>
      </c>
      <c r="E22" s="1" t="s">
        <v>2</v>
      </c>
      <c r="F22" s="1" cm="1">
        <f t="array" ref="F22">_xlfn.XLOOKUP(D22,'TABELA AUXILIAR'!$A$2:$A$5,IF('SPT-02'!A22&lt;3,'TABELA AUXILIAR'!$B$2:$B$5,'TABELA AUXILIAR'!$C$2:$C$5),"",0,1)</f>
        <v>8.5</v>
      </c>
      <c r="G22" s="6">
        <f t="shared" si="1"/>
        <v>50.106495668660408</v>
      </c>
      <c r="H22" s="2">
        <f t="shared" si="2"/>
        <v>42.527909791332192</v>
      </c>
      <c r="I22" s="2">
        <f t="shared" si="3"/>
        <v>1090.4921095371178</v>
      </c>
      <c r="J22" s="1">
        <f t="shared" si="8"/>
        <v>137.54999999999998</v>
      </c>
      <c r="K22" s="1">
        <f t="shared" si="4"/>
        <v>1.2046975356303686</v>
      </c>
      <c r="L22" s="1">
        <f t="shared" si="5"/>
        <v>165.7061460259572</v>
      </c>
      <c r="M22" s="1">
        <f t="shared" si="6"/>
        <v>1455.281173600438</v>
      </c>
      <c r="N22" s="1">
        <f>$L22*'TABELA AUXILIAR'!$I$3*(B22-A22)</f>
        <v>373.83306543455916</v>
      </c>
      <c r="O22" s="1">
        <f>$L22*'TABELA AUXILIAR'!$I$4*(B22-A22)</f>
        <v>405.64864547154298</v>
      </c>
      <c r="P22" s="1">
        <f>$L22*'TABELA AUXILIAR'!$I$5*(B22-A22)</f>
        <v>468.28556866935475</v>
      </c>
      <c r="Q22" s="1">
        <f>$M22*'TABELA AUXILIAR'!$J$3+SUM(N$2:N22)</f>
        <v>7108.0098663572062</v>
      </c>
      <c r="R22" s="1">
        <f>$M22*'TABELA AUXILIAR'!$J$4+SUM(O$2:O22)</f>
        <v>7849.4955991445859</v>
      </c>
      <c r="S22" s="1">
        <f>$M22*'TABELA AUXILIAR'!$J$5+SUM(P$2:P22)</f>
        <v>9405.2532379540135</v>
      </c>
      <c r="T22" s="2">
        <f t="shared" si="7"/>
        <v>3554</v>
      </c>
      <c r="U22" s="2">
        <f t="shared" si="7"/>
        <v>3924</v>
      </c>
      <c r="V22" s="2">
        <f t="shared" si="7"/>
        <v>4702</v>
      </c>
    </row>
    <row r="23" spans="1:22" x14ac:dyDescent="0.25">
      <c r="A23" s="1">
        <v>12.6</v>
      </c>
      <c r="B23" s="1">
        <v>13.2</v>
      </c>
      <c r="C23" s="1">
        <v>50</v>
      </c>
      <c r="D23" s="1" t="s">
        <v>18</v>
      </c>
      <c r="E23" s="1" t="s">
        <v>2</v>
      </c>
      <c r="F23" s="1" cm="1">
        <f t="array" ref="F23">_xlfn.XLOOKUP(D23,'TABELA AUXILIAR'!$A$2:$A$5,IF('SPT-02'!A23&lt;3,'TABELA AUXILIAR'!$B$2:$B$5,'TABELA AUXILIAR'!$C$2:$C$5),"",0,1)</f>
        <v>8.5</v>
      </c>
      <c r="G23" s="6">
        <f t="shared" si="1"/>
        <v>59.333664236648033</v>
      </c>
      <c r="H23" s="2">
        <f t="shared" si="2"/>
        <v>43.13052403989137</v>
      </c>
      <c r="I23" s="2">
        <f t="shared" si="3"/>
        <v>1248.384129796458</v>
      </c>
      <c r="J23" s="1">
        <f t="shared" si="8"/>
        <v>142.65</v>
      </c>
      <c r="K23" s="1">
        <f t="shared" si="4"/>
        <v>1.3057260104479353</v>
      </c>
      <c r="L23" s="1">
        <f t="shared" si="5"/>
        <v>186.261815390398</v>
      </c>
      <c r="M23" s="1">
        <f t="shared" si="6"/>
        <v>1678.165771650521</v>
      </c>
      <c r="N23" s="1">
        <f>$L23*'TABELA AUXILIAR'!$I$3*(B23-A23)</f>
        <v>420.20665552073763</v>
      </c>
      <c r="O23" s="1">
        <f>$L23*'TABELA AUXILIAR'!$I$4*(B23-A23)</f>
        <v>455.96892407569402</v>
      </c>
      <c r="P23" s="1">
        <f>$L23*'TABELA AUXILIAR'!$I$5*(B23-A23)</f>
        <v>526.37589029326443</v>
      </c>
      <c r="Q23" s="1">
        <f>$M23*'TABELA AUXILIAR'!$J$3+SUM(N$2:N23)</f>
        <v>7780.0761176745382</v>
      </c>
      <c r="R23" s="1">
        <f>$M23*'TABELA AUXILIAR'!$J$4+SUM(O$2:O23)</f>
        <v>8599.6721926463888</v>
      </c>
      <c r="S23" s="1">
        <f>$M23*'TABELA AUXILIAR'!$J$5+SUM(P$2:P23)</f>
        <v>10323.906020815424</v>
      </c>
      <c r="T23" s="2">
        <f t="shared" si="7"/>
        <v>3890</v>
      </c>
      <c r="U23" s="2">
        <f t="shared" si="7"/>
        <v>4299</v>
      </c>
      <c r="V23" s="2">
        <f t="shared" si="7"/>
        <v>5161</v>
      </c>
    </row>
    <row r="24" spans="1:22" x14ac:dyDescent="0.25">
      <c r="A24" s="1">
        <v>13.2</v>
      </c>
      <c r="B24" s="1">
        <v>13.8</v>
      </c>
      <c r="C24" s="1">
        <v>50</v>
      </c>
      <c r="D24" s="1" t="s">
        <v>18</v>
      </c>
      <c r="E24" s="1" t="s">
        <v>2</v>
      </c>
      <c r="F24" s="1" cm="1">
        <f t="array" ref="F24">_xlfn.XLOOKUP(D24,'TABELA AUXILIAR'!$A$2:$A$5,IF('SPT-02'!A24&lt;3,'TABELA AUXILIAR'!$B$2:$B$5,'TABELA AUXILIAR'!$C$2:$C$5),"",0,1)</f>
        <v>8.5</v>
      </c>
      <c r="G24" s="6">
        <f t="shared" si="1"/>
        <v>60.384993853809249</v>
      </c>
      <c r="H24" s="2">
        <f t="shared" si="2"/>
        <v>43.13052403989137</v>
      </c>
      <c r="I24" s="2">
        <f t="shared" si="3"/>
        <v>1266.0490288599319</v>
      </c>
      <c r="J24" s="1">
        <f t="shared" si="8"/>
        <v>147.75000000000003</v>
      </c>
      <c r="K24" s="1">
        <f t="shared" si="4"/>
        <v>1.2870463828463474</v>
      </c>
      <c r="L24" s="1">
        <f t="shared" si="5"/>
        <v>190.16110306554788</v>
      </c>
      <c r="M24" s="1">
        <f t="shared" si="6"/>
        <v>1713.9110823449457</v>
      </c>
      <c r="N24" s="1">
        <f>$L24*'TABELA AUXILIAR'!$I$3*(B24-A24)</f>
        <v>429.00344851587704</v>
      </c>
      <c r="O24" s="1">
        <f>$L24*'TABELA AUXILIAR'!$I$4*(B24-A24)</f>
        <v>465.51438030446229</v>
      </c>
      <c r="P24" s="1">
        <f>$L24*'TABELA AUXILIAR'!$I$5*(B24-A24)</f>
        <v>537.39527726323956</v>
      </c>
      <c r="Q24" s="1">
        <f>$M24*'TABELA AUXILIAR'!$J$3+SUM(N$2:N24)</f>
        <v>8249.471767275114</v>
      </c>
      <c r="R24" s="1">
        <f>$M24*'TABELA AUXILIAR'!$J$4+SUM(O$2:O24)</f>
        <v>9112.3703830674931</v>
      </c>
      <c r="S24" s="1">
        <f>$M24*'TABELA AUXILIAR'!$J$5+SUM(P$2:P24)</f>
        <v>10924.213044900851</v>
      </c>
      <c r="T24" s="2">
        <f t="shared" si="7"/>
        <v>4124</v>
      </c>
      <c r="U24" s="2">
        <f t="shared" si="7"/>
        <v>4556</v>
      </c>
      <c r="V24" s="2">
        <f t="shared" si="7"/>
        <v>5462</v>
      </c>
    </row>
    <row r="25" spans="1:22" x14ac:dyDescent="0.25">
      <c r="A25" s="1">
        <v>13.8</v>
      </c>
      <c r="B25" s="1">
        <v>14.4</v>
      </c>
      <c r="C25" s="1">
        <v>50</v>
      </c>
      <c r="D25" s="1" t="s">
        <v>18</v>
      </c>
      <c r="E25" s="1" t="s">
        <v>3</v>
      </c>
      <c r="F25" s="1" cm="1">
        <f t="array" ref="F25">_xlfn.XLOOKUP(D25,'TABELA AUXILIAR'!$A$2:$A$5,IF('SPT-02'!A25&lt;3,'TABELA AUXILIAR'!$B$2:$B$5,'TABELA AUXILIAR'!$C$2:$C$5),"",0,1)</f>
        <v>8.5</v>
      </c>
      <c r="G25" s="6">
        <f t="shared" si="1"/>
        <v>61.418329948818027</v>
      </c>
      <c r="H25" s="2">
        <f t="shared" si="2"/>
        <v>43.13052403989137</v>
      </c>
      <c r="I25" s="2">
        <f t="shared" si="3"/>
        <v>1283.3517461395534</v>
      </c>
      <c r="J25" s="1">
        <f t="shared" si="8"/>
        <v>152.85000000000005</v>
      </c>
      <c r="K25" s="1">
        <f t="shared" si="4"/>
        <v>1.269254539158164</v>
      </c>
      <c r="L25" s="1">
        <f t="shared" si="5"/>
        <v>194.00555631032543</v>
      </c>
      <c r="M25" s="1">
        <f t="shared" si="6"/>
        <v>1749.166129213301</v>
      </c>
      <c r="N25" s="1">
        <f>$L25*'TABELA AUXILIAR'!$I$3*(B25-A25)</f>
        <v>437.67653503609387</v>
      </c>
      <c r="O25" s="1">
        <f>$L25*'TABELA AUXILIAR'!$I$4*(B25-A25)</f>
        <v>474.92560184767638</v>
      </c>
      <c r="P25" s="1">
        <f>$L25*'TABELA AUXILIAR'!$I$5*(B25-A25)</f>
        <v>548.25970213297933</v>
      </c>
      <c r="Q25" s="1">
        <f>$M25*'TABELA AUXILIAR'!$J$3+SUM(N$2:N25)</f>
        <v>8726.986505272449</v>
      </c>
      <c r="R25" s="1">
        <f>$M25*'TABELA AUXILIAR'!$J$4+SUM(O$2:O25)</f>
        <v>9633.8326467813968</v>
      </c>
      <c r="S25" s="1">
        <f>$M25*'TABELA AUXILIAR'!$J$5+SUM(P$2:P25)</f>
        <v>11534.521629522134</v>
      </c>
      <c r="T25" s="2">
        <f t="shared" si="7"/>
        <v>4363</v>
      </c>
      <c r="U25" s="2">
        <f t="shared" si="7"/>
        <v>4816</v>
      </c>
      <c r="V25" s="2">
        <f t="shared" si="7"/>
        <v>5767</v>
      </c>
    </row>
    <row r="26" spans="1:22" x14ac:dyDescent="0.25">
      <c r="A26" s="1">
        <v>14.4</v>
      </c>
      <c r="B26" s="1">
        <v>15</v>
      </c>
      <c r="C26" s="1">
        <v>50</v>
      </c>
      <c r="D26" s="1" t="s">
        <v>18</v>
      </c>
      <c r="E26" s="1" t="s">
        <v>3</v>
      </c>
      <c r="F26" s="1" cm="1">
        <f t="array" ref="F26">_xlfn.XLOOKUP(D26,'TABELA AUXILIAR'!$A$2:$A$5,IF('SPT-02'!A26&lt;3,'TABELA AUXILIAR'!$B$2:$B$5,'TABELA AUXILIAR'!$C$2:$C$5),"",0,1)</f>
        <v>8.5</v>
      </c>
      <c r="G26" s="6">
        <f t="shared" si="1"/>
        <v>62.434565944508435</v>
      </c>
      <c r="H26" s="2">
        <f t="shared" si="2"/>
        <v>43.13052403989137</v>
      </c>
      <c r="I26" s="2">
        <f t="shared" si="3"/>
        <v>1300.3114318447497</v>
      </c>
      <c r="J26" s="1">
        <f t="shared" si="8"/>
        <v>157.95000000000007</v>
      </c>
      <c r="K26" s="1">
        <f t="shared" si="4"/>
        <v>1.2522807129990481</v>
      </c>
      <c r="L26" s="1">
        <f t="shared" si="5"/>
        <v>197.79773861819973</v>
      </c>
      <c r="M26" s="1">
        <f t="shared" si="6"/>
        <v>1783.9536700696872</v>
      </c>
      <c r="N26" s="1">
        <f>$L26*'TABELA AUXILIAR'!$I$3*(B26-A26)</f>
        <v>446.2316983226583</v>
      </c>
      <c r="O26" s="1">
        <f>$L26*'TABELA AUXILIAR'!$I$4*(B26-A26)</f>
        <v>484.20886413735269</v>
      </c>
      <c r="P26" s="1">
        <f>$L26*'TABELA AUXILIAR'!$I$5*(B26-A26)</f>
        <v>558.97640933503214</v>
      </c>
      <c r="Q26" s="1">
        <f>$M26*'TABELA AUXILIAR'!$J$3+SUM(N$2:N26)</f>
        <v>9212.5281247628245</v>
      </c>
      <c r="R26" s="1">
        <f>$M26*'TABELA AUXILIAR'!$J$4+SUM(O$2:O26)</f>
        <v>10163.96106484918</v>
      </c>
      <c r="S26" s="1">
        <f>$M26*'TABELA AUXILIAR'!$J$5+SUM(P$2:P26)</f>
        <v>12154.724110764406</v>
      </c>
      <c r="T26" s="2">
        <f t="shared" si="7"/>
        <v>4606</v>
      </c>
      <c r="U26" s="2">
        <f t="shared" si="7"/>
        <v>5081</v>
      </c>
      <c r="V26" s="2">
        <f t="shared" si="7"/>
        <v>6077</v>
      </c>
    </row>
    <row r="27" spans="1:22" x14ac:dyDescent="0.25">
      <c r="A27" s="1">
        <v>15</v>
      </c>
      <c r="B27" s="1">
        <v>15.6</v>
      </c>
      <c r="C27" s="1">
        <v>50</v>
      </c>
      <c r="D27" s="1" t="s">
        <v>18</v>
      </c>
      <c r="E27" s="1" t="s">
        <v>3</v>
      </c>
      <c r="F27" s="1" cm="1">
        <f t="array" ref="F27">_xlfn.XLOOKUP(D27,'TABELA AUXILIAR'!$A$2:$A$5,IF('SPT-02'!A27&lt;3,'TABELA AUXILIAR'!$B$2:$B$5,'TABELA AUXILIAR'!$C$2:$C$5),"",0,1)</f>
        <v>8.5</v>
      </c>
      <c r="G27" s="6">
        <f t="shared" si="1"/>
        <v>63.434523689048604</v>
      </c>
      <c r="H27" s="2">
        <f t="shared" si="2"/>
        <v>43.13052403989137</v>
      </c>
      <c r="I27" s="2">
        <f t="shared" si="3"/>
        <v>1316.9456432217803</v>
      </c>
      <c r="J27" s="1">
        <f t="shared" si="8"/>
        <v>163.0500000000001</v>
      </c>
      <c r="K27" s="1">
        <f t="shared" si="4"/>
        <v>1.2360626507362071</v>
      </c>
      <c r="L27" s="1">
        <f t="shared" si="5"/>
        <v>201.54001520253868</v>
      </c>
      <c r="M27" s="1">
        <f t="shared" si="6"/>
        <v>1818.2947096235671</v>
      </c>
      <c r="N27" s="1">
        <f>$L27*'TABELA AUXILIAR'!$I$3*(B27-A27)</f>
        <v>454.67427429692697</v>
      </c>
      <c r="O27" s="1">
        <f>$L27*'TABELA AUXILIAR'!$I$4*(B27-A27)</f>
        <v>493.36995721581445</v>
      </c>
      <c r="P27" s="1">
        <f>$L27*'TABELA AUXILIAR'!$I$5*(B27-A27)</f>
        <v>569.55208296237402</v>
      </c>
      <c r="Q27" s="1">
        <f>$M27*'TABELA AUXILIAR'!$J$3+SUM(N$2:N27)</f>
        <v>9706.0077737556348</v>
      </c>
      <c r="R27" s="1">
        <f>$M27*'TABELA AUXILIAR'!$J$4+SUM(O$2:O27)</f>
        <v>10702.661194276116</v>
      </c>
      <c r="S27" s="1">
        <f>$M27*'TABELA AUXILIAR'!$J$5+SUM(P$2:P27)</f>
        <v>12784.71642334161</v>
      </c>
      <c r="T27" s="2">
        <f t="shared" si="7"/>
        <v>4853</v>
      </c>
      <c r="U27" s="2">
        <f t="shared" si="7"/>
        <v>5351</v>
      </c>
      <c r="V27" s="2">
        <f t="shared" si="7"/>
        <v>6392</v>
      </c>
    </row>
    <row r="28" spans="1:22" x14ac:dyDescent="0.25">
      <c r="A28" s="1">
        <v>15.6</v>
      </c>
      <c r="B28" s="1">
        <v>16.2</v>
      </c>
      <c r="C28" s="1">
        <v>50</v>
      </c>
      <c r="D28" s="1" t="s">
        <v>18</v>
      </c>
      <c r="E28" s="1" t="s">
        <v>3</v>
      </c>
      <c r="F28" s="1" cm="1">
        <f t="array" ref="F28">_xlfn.XLOOKUP(D28,'TABELA AUXILIAR'!$A$2:$A$5,IF('SPT-02'!A28&lt;3,'TABELA AUXILIAR'!$B$2:$B$5,'TABELA AUXILIAR'!$C$2:$C$5),"",0,1)</f>
        <v>8.5</v>
      </c>
      <c r="G28" s="6">
        <f t="shared" si="1"/>
        <v>64.418961235289757</v>
      </c>
      <c r="H28" s="2">
        <f t="shared" si="2"/>
        <v>43.13052403989137</v>
      </c>
      <c r="I28" s="2">
        <f t="shared" si="3"/>
        <v>1333.2705223566506</v>
      </c>
      <c r="J28" s="1">
        <f t="shared" si="8"/>
        <v>168.15000000000012</v>
      </c>
      <c r="K28" s="1">
        <f t="shared" si="4"/>
        <v>1.2205445972300524</v>
      </c>
      <c r="L28" s="1">
        <f t="shared" si="5"/>
        <v>205.23457402423344</v>
      </c>
      <c r="M28" s="1">
        <f t="shared" si="6"/>
        <v>1852.2086848705831</v>
      </c>
      <c r="N28" s="1">
        <f>$L28*'TABELA AUXILIAR'!$I$3*(B28-A28)</f>
        <v>463.00919899867034</v>
      </c>
      <c r="O28" s="1">
        <f>$L28*'TABELA AUXILIAR'!$I$4*(B28-A28)</f>
        <v>502.41423721132315</v>
      </c>
      <c r="P28" s="1">
        <f>$L28*'TABELA AUXILIAR'!$I$5*(B28-A28)</f>
        <v>579.99290619248336</v>
      </c>
      <c r="Q28" s="1">
        <f>$M28*'TABELA AUXILIAR'!$J$3+SUM(N$2:N28)</f>
        <v>10207.339764783434</v>
      </c>
      <c r="R28" s="1">
        <f>$M28*'TABELA AUXILIAR'!$J$4+SUM(O$2:O28)</f>
        <v>11249.841878813502</v>
      </c>
      <c r="S28" s="1">
        <f>$M28*'TABELA AUXILIAR'!$J$5+SUM(P$2:P28)</f>
        <v>13424.39792596884</v>
      </c>
      <c r="T28" s="2">
        <f t="shared" si="7"/>
        <v>5103</v>
      </c>
      <c r="U28" s="2">
        <f t="shared" si="7"/>
        <v>5624</v>
      </c>
      <c r="V28" s="2">
        <f t="shared" si="7"/>
        <v>6712</v>
      </c>
    </row>
    <row r="29" spans="1:22" x14ac:dyDescent="0.25">
      <c r="A29" s="1">
        <v>16.2</v>
      </c>
      <c r="B29" s="1">
        <v>16.8</v>
      </c>
      <c r="C29" s="1">
        <v>32</v>
      </c>
      <c r="D29" s="1" t="s">
        <v>18</v>
      </c>
      <c r="E29" s="1" t="s">
        <v>3</v>
      </c>
      <c r="F29" s="1" cm="1">
        <f t="array" ref="F29">_xlfn.XLOOKUP(D29,'TABELA AUXILIAR'!$A$2:$A$5,IF('SPT-02'!A29&lt;3,'TABELA AUXILIAR'!$B$2:$B$5,'TABELA AUXILIAR'!$C$2:$C$5),"",0,1)</f>
        <v>8.5</v>
      </c>
      <c r="G29" s="6">
        <f t="shared" si="1"/>
        <v>41.848690922004842</v>
      </c>
      <c r="H29" s="2">
        <f t="shared" si="2"/>
        <v>41.347379800543138</v>
      </c>
      <c r="I29" s="2">
        <f t="shared" si="3"/>
        <v>944.1756700076877</v>
      </c>
      <c r="J29" s="1">
        <f t="shared" si="8"/>
        <v>173.25000000000014</v>
      </c>
      <c r="K29" s="1">
        <f t="shared" si="4"/>
        <v>0.91543697392135492</v>
      </c>
      <c r="L29" s="1">
        <f t="shared" si="5"/>
        <v>158.59945573187488</v>
      </c>
      <c r="M29" s="1">
        <f t="shared" si="6"/>
        <v>1319.5313669434599</v>
      </c>
      <c r="N29" s="1">
        <f>$L29*'TABELA AUXILIAR'!$I$3*(B29-A29)</f>
        <v>357.80037213111058</v>
      </c>
      <c r="O29" s="1">
        <f>$L29*'TABELA AUXILIAR'!$I$4*(B29-A29)</f>
        <v>388.25146763163065</v>
      </c>
      <c r="P29" s="1">
        <f>$L29*'TABELA AUXILIAR'!$I$5*(B29-A29)</f>
        <v>448.20206189827945</v>
      </c>
      <c r="Q29" s="1">
        <f>$M29*'TABELA AUXILIAR'!$J$3+SUM(N$2:N29)</f>
        <v>9963.2147676568948</v>
      </c>
      <c r="R29" s="1">
        <f>$M29*'TABELA AUXILIAR'!$J$4+SUM(O$2:O29)</f>
        <v>10934.95928678133</v>
      </c>
      <c r="S29" s="1">
        <f>$M29*'TABELA AUXILIAR'!$J$5+SUM(P$2:P29)</f>
        <v>12935.087908315383</v>
      </c>
      <c r="T29" s="2">
        <f t="shared" si="7"/>
        <v>4981</v>
      </c>
      <c r="U29" s="2">
        <f t="shared" si="7"/>
        <v>5467</v>
      </c>
      <c r="V29" s="2">
        <f t="shared" si="7"/>
        <v>6467</v>
      </c>
    </row>
    <row r="30" spans="1:22" x14ac:dyDescent="0.25">
      <c r="A30" s="1">
        <v>16.8</v>
      </c>
      <c r="B30" s="1">
        <v>17.399999999999999</v>
      </c>
      <c r="C30" s="1">
        <v>50</v>
      </c>
      <c r="D30" s="1" t="s">
        <v>18</v>
      </c>
      <c r="E30" s="1" t="s">
        <v>3</v>
      </c>
      <c r="F30" s="1" cm="1">
        <f t="array" ref="F30">_xlfn.XLOOKUP(D30,'TABELA AUXILIAR'!$A$2:$A$5,IF('SPT-02'!A30&lt;3,'TABELA AUXILIAR'!$B$2:$B$5,'TABELA AUXILIAR'!$C$2:$C$5),"",0,1)</f>
        <v>8.5</v>
      </c>
      <c r="G30" s="6">
        <f t="shared" si="1"/>
        <v>66.344028432017566</v>
      </c>
      <c r="H30" s="2">
        <f t="shared" si="2"/>
        <v>43.13052403989137</v>
      </c>
      <c r="I30" s="2">
        <f t="shared" si="3"/>
        <v>1365.0506750916518</v>
      </c>
      <c r="J30" s="1">
        <f t="shared" si="8"/>
        <v>178.35000000000014</v>
      </c>
      <c r="K30" s="1">
        <f t="shared" si="4"/>
        <v>1.191413013675364</v>
      </c>
      <c r="L30" s="1">
        <f t="shared" si="5"/>
        <v>212.48851098900133</v>
      </c>
      <c r="M30" s="1">
        <f t="shared" si="6"/>
        <v>1918.8262958318221</v>
      </c>
      <c r="N30" s="1">
        <f>$L30*'TABELA AUXILIAR'!$I$3*(B30-A30)</f>
        <v>479.37408079118524</v>
      </c>
      <c r="O30" s="1">
        <f>$L30*'TABELA AUXILIAR'!$I$4*(B30-A30)</f>
        <v>520.17187490107347</v>
      </c>
      <c r="P30" s="1">
        <f>$L30*'TABELA AUXILIAR'!$I$5*(B30-A30)</f>
        <v>600.49253205491561</v>
      </c>
      <c r="Q30" s="1">
        <f>$M30*'TABELA AUXILIAR'!$J$3+SUM(N$2:N30)</f>
        <v>11119.792118091929</v>
      </c>
      <c r="R30" s="1">
        <f>$M30*'TABELA AUXILIAR'!$J$4+SUM(O$2:O30)</f>
        <v>12246.200467815042</v>
      </c>
      <c r="S30" s="1">
        <f>$M30*'TABELA AUXILIAR'!$J$5+SUM(P$2:P30)</f>
        <v>14590.339515213815</v>
      </c>
      <c r="T30" s="2">
        <f t="shared" si="7"/>
        <v>5559</v>
      </c>
      <c r="U30" s="2">
        <f t="shared" si="7"/>
        <v>6123</v>
      </c>
      <c r="V30" s="2">
        <f t="shared" si="7"/>
        <v>7295</v>
      </c>
    </row>
    <row r="31" spans="1:22" x14ac:dyDescent="0.25">
      <c r="A31" s="1">
        <v>17.399999999999999</v>
      </c>
      <c r="B31" s="1">
        <v>18</v>
      </c>
      <c r="C31" s="1">
        <v>50</v>
      </c>
      <c r="D31" s="1" t="s">
        <v>18</v>
      </c>
      <c r="E31" s="1" t="s">
        <v>8</v>
      </c>
      <c r="F31" s="1" cm="1">
        <f t="array" ref="F31">_xlfn.XLOOKUP(D31,'TABELA AUXILIAR'!$A$2:$A$5,IF('SPT-02'!A31&lt;3,'TABELA AUXILIAR'!$B$2:$B$5,'TABELA AUXILIAR'!$C$2:$C$5),"",0,1)</f>
        <v>8.5</v>
      </c>
      <c r="G31" s="6">
        <f t="shared" si="1"/>
        <v>67.285911449319386</v>
      </c>
      <c r="H31" s="2">
        <f t="shared" si="2"/>
        <v>43.13052403989137</v>
      </c>
      <c r="I31" s="2">
        <f t="shared" si="3"/>
        <v>1380.5324362881925</v>
      </c>
      <c r="J31" s="1">
        <f t="shared" si="8"/>
        <v>183.45000000000013</v>
      </c>
      <c r="K31" s="1">
        <f t="shared" si="4"/>
        <v>1.1777134448444408</v>
      </c>
      <c r="L31" s="1">
        <f t="shared" si="5"/>
        <v>216.05153145671284</v>
      </c>
      <c r="M31" s="1">
        <f t="shared" si="6"/>
        <v>1951.5623136038903</v>
      </c>
      <c r="N31" s="1">
        <f>$L31*'TABELA AUXILIAR'!$I$3*(B31-A31)</f>
        <v>487.4122549663453</v>
      </c>
      <c r="O31" s="1">
        <f>$L31*'TABELA AUXILIAR'!$I$4*(B31-A31)</f>
        <v>528.89414900603435</v>
      </c>
      <c r="P31" s="1">
        <f>$L31*'TABELA AUXILIAR'!$I$5*(B31-A31)</f>
        <v>610.56162789667189</v>
      </c>
      <c r="Q31" s="1">
        <f>$M31*'TABELA AUXILIAR'!$J$3+SUM(N$2:N31)</f>
        <v>11644.196073140713</v>
      </c>
      <c r="R31" s="1">
        <f>$M31*'TABELA AUXILIAR'!$J$4+SUM(O$2:O31)</f>
        <v>12818.306160280208</v>
      </c>
      <c r="S31" s="1">
        <f>$M31*'TABELA AUXILIAR'!$J$5+SUM(P$2:P31)</f>
        <v>15258.516534389328</v>
      </c>
      <c r="T31" s="2">
        <f t="shared" si="7"/>
        <v>5822</v>
      </c>
      <c r="U31" s="2">
        <f t="shared" si="7"/>
        <v>6409</v>
      </c>
      <c r="V31" s="2">
        <f t="shared" si="7"/>
        <v>7629</v>
      </c>
    </row>
    <row r="32" spans="1:22" x14ac:dyDescent="0.25">
      <c r="A32" s="1">
        <v>18</v>
      </c>
      <c r="B32" s="1">
        <v>18.600000000000001</v>
      </c>
      <c r="C32" s="1">
        <v>50</v>
      </c>
      <c r="D32" s="1" t="s">
        <v>18</v>
      </c>
      <c r="E32" s="1" t="s">
        <v>8</v>
      </c>
      <c r="F32" s="1" cm="1">
        <f t="array" ref="F32">_xlfn.XLOOKUP(D32,'TABELA AUXILIAR'!$A$2:$A$5,IF('SPT-02'!A32&lt;3,'TABELA AUXILIAR'!$B$2:$B$5,'TABELA AUXILIAR'!$C$2:$C$5),"",0,1)</f>
        <v>8.5</v>
      </c>
      <c r="G32" s="6">
        <f t="shared" si="1"/>
        <v>68.214790555589531</v>
      </c>
      <c r="H32" s="2">
        <f t="shared" si="2"/>
        <v>43.13052403989137</v>
      </c>
      <c r="I32" s="2">
        <f t="shared" si="3"/>
        <v>1395.7580564437512</v>
      </c>
      <c r="J32" s="1">
        <f t="shared" si="8"/>
        <v>188.55000000000015</v>
      </c>
      <c r="K32" s="1">
        <f t="shared" si="4"/>
        <v>1.1645406782629466</v>
      </c>
      <c r="L32" s="1">
        <f t="shared" si="5"/>
        <v>219.57414488647876</v>
      </c>
      <c r="M32" s="1">
        <f t="shared" si="6"/>
        <v>1983.9362613332348</v>
      </c>
      <c r="N32" s="1">
        <f>$L32*'TABELA AUXILIAR'!$I$3*(B32-A32)</f>
        <v>495.35927086389722</v>
      </c>
      <c r="O32" s="1">
        <f>$L32*'TABELA AUXILIAR'!$I$4*(B32-A32)</f>
        <v>537.51750668210127</v>
      </c>
      <c r="P32" s="1">
        <f>$L32*'TABELA AUXILIAR'!$I$5*(B32-A32)</f>
        <v>620.51653344919043</v>
      </c>
      <c r="Q32" s="1">
        <f>$M32*'TABELA AUXILIAR'!$J$3+SUM(N$2:N32)</f>
        <v>12176.137904938769</v>
      </c>
      <c r="R32" s="1">
        <f>$M32*'TABELA AUXILIAR'!$J$4+SUM(O$2:O32)</f>
        <v>13398.557277965043</v>
      </c>
      <c r="S32" s="1">
        <f>$M32*'TABELA AUXILIAR'!$J$5+SUM(P$2:P32)</f>
        <v>15936.011215842163</v>
      </c>
      <c r="T32" s="2">
        <f t="shared" si="7"/>
        <v>6088</v>
      </c>
      <c r="U32" s="2">
        <f t="shared" si="7"/>
        <v>6699</v>
      </c>
      <c r="V32" s="2">
        <f t="shared" si="7"/>
        <v>7968</v>
      </c>
    </row>
    <row r="33" spans="1:22" x14ac:dyDescent="0.25">
      <c r="A33" s="1">
        <v>18.600000000000001</v>
      </c>
      <c r="B33" s="1">
        <v>19.2</v>
      </c>
      <c r="C33" s="1">
        <v>50</v>
      </c>
      <c r="D33" s="1" t="s">
        <v>18</v>
      </c>
      <c r="E33" s="1" t="s">
        <v>8</v>
      </c>
      <c r="F33" s="1" cm="1">
        <f t="array" ref="F33">_xlfn.XLOOKUP(D33,'TABELA AUXILIAR'!$A$2:$A$5,IF('SPT-02'!A33&lt;3,'TABELA AUXILIAR'!$B$2:$B$5,'TABELA AUXILIAR'!$C$2:$C$5),"",0,1)</f>
        <v>8.5</v>
      </c>
      <c r="G33" s="6">
        <f t="shared" si="1"/>
        <v>69.131189932766532</v>
      </c>
      <c r="H33" s="2">
        <f t="shared" si="2"/>
        <v>43.13052403989137</v>
      </c>
      <c r="I33" s="2">
        <f t="shared" si="3"/>
        <v>1410.7385339676339</v>
      </c>
      <c r="J33" s="1">
        <f t="shared" si="8"/>
        <v>193.65000000000015</v>
      </c>
      <c r="K33" s="1">
        <f t="shared" si="4"/>
        <v>1.1518610091042294</v>
      </c>
      <c r="L33" s="1">
        <f t="shared" si="5"/>
        <v>223.0578844130342</v>
      </c>
      <c r="M33" s="1">
        <f t="shared" si="6"/>
        <v>2015.9617793150626</v>
      </c>
      <c r="N33" s="1">
        <f>$L33*'TABELA AUXILIAR'!$I$3*(B33-A33)</f>
        <v>503.21858723580334</v>
      </c>
      <c r="O33" s="1">
        <f>$L33*'TABELA AUXILIAR'!$I$4*(B33-A33)</f>
        <v>546.04570104310585</v>
      </c>
      <c r="P33" s="1">
        <f>$L33*'TABELA AUXILIAR'!$I$5*(B33-A33)</f>
        <v>630.36158135123242</v>
      </c>
      <c r="Q33" s="1">
        <f>$M33*'TABELA AUXILIAR'!$J$3+SUM(N$2:N33)</f>
        <v>12715.545327494039</v>
      </c>
      <c r="R33" s="1">
        <f>$M33*'TABELA AUXILIAR'!$J$4+SUM(O$2:O33)</f>
        <v>13986.876662744162</v>
      </c>
      <c r="S33" s="1">
        <f>$M33*'TABELA AUXILIAR'!$J$5+SUM(P$2:P33)</f>
        <v>16622.737708841414</v>
      </c>
      <c r="T33" s="2">
        <f t="shared" si="7"/>
        <v>6357</v>
      </c>
      <c r="U33" s="2">
        <f t="shared" si="7"/>
        <v>6993</v>
      </c>
      <c r="V33" s="2">
        <f t="shared" si="7"/>
        <v>8311</v>
      </c>
    </row>
    <row r="34" spans="1:22" x14ac:dyDescent="0.25">
      <c r="A34" s="1">
        <v>19.2</v>
      </c>
      <c r="B34" s="1">
        <v>19.8</v>
      </c>
      <c r="C34" s="1">
        <v>50</v>
      </c>
      <c r="D34" s="1" t="s">
        <v>18</v>
      </c>
      <c r="E34" s="1" t="s">
        <v>8</v>
      </c>
      <c r="F34" s="1" cm="1">
        <f t="array" ref="F34">_xlfn.XLOOKUP(D34,'TABELA AUXILIAR'!$A$2:$A$5,IF('SPT-02'!A34&lt;3,'TABELA AUXILIAR'!$B$2:$B$5,'TABELA AUXILIAR'!$C$2:$C$5),"",0,1)</f>
        <v>8.5</v>
      </c>
      <c r="G34" s="6">
        <f t="shared" si="1"/>
        <v>70.035599465539917</v>
      </c>
      <c r="H34" s="2">
        <f t="shared" si="2"/>
        <v>43.13052403989137</v>
      </c>
      <c r="I34" s="2">
        <f t="shared" si="3"/>
        <v>1425.4841198449942</v>
      </c>
      <c r="J34" s="1">
        <f t="shared" si="8"/>
        <v>198.75000000000014</v>
      </c>
      <c r="K34" s="1">
        <f t="shared" si="4"/>
        <v>1.1396437048886241</v>
      </c>
      <c r="L34" s="1">
        <f t="shared" si="5"/>
        <v>226.5041863466142</v>
      </c>
      <c r="M34" s="1">
        <f t="shared" si="6"/>
        <v>2047.6516499265313</v>
      </c>
      <c r="N34" s="1">
        <f>$L34*'TABELA AUXILIAR'!$I$3*(B34-A34)</f>
        <v>510.99344439796283</v>
      </c>
      <c r="O34" s="1">
        <f>$L34*'TABELA AUXILIAR'!$I$4*(B34-A34)</f>
        <v>554.48224817651283</v>
      </c>
      <c r="P34" s="1">
        <f>$L34*'TABELA AUXILIAR'!$I$5*(B34-A34)</f>
        <v>640.10083061553325</v>
      </c>
      <c r="Q34" s="1">
        <f>$M34*'TABELA AUXILIAR'!$J$3+SUM(N$2:N34)</f>
        <v>13262.348325682962</v>
      </c>
      <c r="R34" s="1">
        <f>$M34*'TABELA AUXILIAR'!$J$4+SUM(O$2:O34)</f>
        <v>14583.189540127813</v>
      </c>
      <c r="S34" s="1">
        <f>$M34*'TABELA AUXILIAR'!$J$5+SUM(P$2:P34)</f>
        <v>17318.612711733131</v>
      </c>
      <c r="T34" s="2">
        <f t="shared" si="7"/>
        <v>6631</v>
      </c>
      <c r="U34" s="2">
        <f t="shared" si="7"/>
        <v>7291</v>
      </c>
      <c r="V34" s="2">
        <f t="shared" si="7"/>
        <v>8659</v>
      </c>
    </row>
    <row r="35" spans="1:22" x14ac:dyDescent="0.25">
      <c r="A35" s="1">
        <v>19.8</v>
      </c>
      <c r="B35" s="1">
        <v>20.399999999999999</v>
      </c>
      <c r="C35" s="1">
        <v>50</v>
      </c>
      <c r="D35" s="1" t="s">
        <v>18</v>
      </c>
      <c r="E35" s="1" t="s">
        <v>8</v>
      </c>
      <c r="F35" s="1" cm="1">
        <f t="array" ref="F35">_xlfn.XLOOKUP(D35,'TABELA AUXILIAR'!$A$2:$A$5,IF('SPT-02'!A35&lt;3,'TABELA AUXILIAR'!$B$2:$B$5,'TABELA AUXILIAR'!$C$2:$C$5),"",0,1)</f>
        <v>8.5</v>
      </c>
      <c r="G35" s="6">
        <f t="shared" si="1"/>
        <v>70.928477803170352</v>
      </c>
      <c r="H35" s="2">
        <f t="shared" si="2"/>
        <v>43.13052403989137</v>
      </c>
      <c r="I35" s="2">
        <f t="shared" si="3"/>
        <v>1440.0043861794693</v>
      </c>
      <c r="J35" s="1">
        <f t="shared" si="8"/>
        <v>203.85000000000014</v>
      </c>
      <c r="K35" s="1">
        <f t="shared" si="4"/>
        <v>1.1278606750295426</v>
      </c>
      <c r="L35" s="1">
        <f t="shared" si="5"/>
        <v>229.9143986047724</v>
      </c>
      <c r="M35" s="1">
        <f t="shared" si="6"/>
        <v>2079.0178721236966</v>
      </c>
      <c r="N35" s="1">
        <f>$L35*'TABELA AUXILIAR'!$I$3*(B35-A35)</f>
        <v>518.68688325236474</v>
      </c>
      <c r="O35" s="1">
        <f>$L35*'TABELA AUXILIAR'!$I$4*(B35-A35)</f>
        <v>562.83044778448084</v>
      </c>
      <c r="P35" s="1">
        <f>$L35*'TABELA AUXILIAR'!$I$5*(B35-A35)</f>
        <v>649.73809045708447</v>
      </c>
      <c r="Q35" s="1">
        <f>$M35*'TABELA AUXILIAR'!$J$3+SUM(N$2:N35)</f>
        <v>13816.479040018123</v>
      </c>
      <c r="R35" s="1">
        <f>$M35*'TABELA AUXILIAR'!$J$4+SUM(O$2:O35)</f>
        <v>15187.423401212553</v>
      </c>
      <c r="S35" s="1">
        <f>$M35*'TABELA AUXILIAR'!$J$5+SUM(P$2:P35)</f>
        <v>18023.555353257223</v>
      </c>
      <c r="T35" s="2">
        <f t="shared" si="7"/>
        <v>6908</v>
      </c>
      <c r="U35" s="2">
        <f t="shared" si="7"/>
        <v>7593</v>
      </c>
      <c r="V35" s="2">
        <f t="shared" si="7"/>
        <v>9011</v>
      </c>
    </row>
    <row r="36" spans="1:22" x14ac:dyDescent="0.25">
      <c r="A36" s="1">
        <v>20.399999999999999</v>
      </c>
      <c r="B36" s="1">
        <v>21</v>
      </c>
      <c r="C36" s="1">
        <v>50</v>
      </c>
      <c r="D36" s="1" t="s">
        <v>18</v>
      </c>
      <c r="E36" s="1" t="s">
        <v>8</v>
      </c>
      <c r="F36" s="1" cm="1">
        <f t="array" ref="F36">_xlfn.XLOOKUP(D36,'TABELA AUXILIAR'!$A$2:$A$5,IF('SPT-02'!A36&lt;3,'TABELA AUXILIAR'!$B$2:$B$5,'TABELA AUXILIAR'!$C$2:$C$5),"",0,1)</f>
        <v>8.5</v>
      </c>
      <c r="G36" s="6">
        <f t="shared" si="1"/>
        <v>71.810255078589762</v>
      </c>
      <c r="H36" s="2">
        <f t="shared" si="2"/>
        <v>43.13052403989137</v>
      </c>
      <c r="I36" s="2">
        <f t="shared" si="3"/>
        <v>1454.3082869030325</v>
      </c>
      <c r="J36" s="1">
        <f t="shared" si="8"/>
        <v>208.95000000000013</v>
      </c>
      <c r="K36" s="1">
        <f t="shared" si="4"/>
        <v>1.116486184341615</v>
      </c>
      <c r="L36" s="1">
        <f t="shared" si="5"/>
        <v>233.2897882181806</v>
      </c>
      <c r="M36" s="1">
        <f t="shared" si="6"/>
        <v>2110.0717277747299</v>
      </c>
      <c r="N36" s="1">
        <f>$L36*'TABELA AUXILIAR'!$I$3*(B36-A36)</f>
        <v>526.30176222021669</v>
      </c>
      <c r="O36" s="1">
        <f>$L36*'TABELA AUXILIAR'!$I$4*(B36-A36)</f>
        <v>571.09340155810753</v>
      </c>
      <c r="P36" s="1">
        <f>$L36*'TABELA AUXILIAR'!$I$5*(B36-A36)</f>
        <v>659.27694150458001</v>
      </c>
      <c r="Q36" s="1">
        <f>$M36*'TABELA AUXILIAR'!$J$3+SUM(N$2:N36)</f>
        <v>14377.871659124008</v>
      </c>
      <c r="R36" s="1">
        <f>$M36*'TABELA AUXILIAR'!$J$4+SUM(O$2:O36)</f>
        <v>15799.507892230025</v>
      </c>
      <c r="S36" s="1">
        <f>$M36*'TABELA AUXILIAR'!$J$5+SUM(P$2:P36)</f>
        <v>18737.487080707622</v>
      </c>
      <c r="T36" s="2">
        <f t="shared" si="7"/>
        <v>7188</v>
      </c>
      <c r="U36" s="2">
        <f t="shared" si="7"/>
        <v>7899</v>
      </c>
      <c r="V36" s="2">
        <f t="shared" si="7"/>
        <v>9368</v>
      </c>
    </row>
    <row r="37" spans="1:22" x14ac:dyDescent="0.25">
      <c r="A37" s="1">
        <v>21</v>
      </c>
      <c r="B37" s="1">
        <v>21.6</v>
      </c>
      <c r="C37" s="1">
        <v>50</v>
      </c>
      <c r="D37" s="1" t="s">
        <v>18</v>
      </c>
      <c r="E37" s="1" t="s">
        <v>8</v>
      </c>
      <c r="F37" s="1" cm="1">
        <f t="array" ref="F37">_xlfn.XLOOKUP(D37,'TABELA AUXILIAR'!$A$2:$A$5,IF('SPT-02'!A37&lt;3,'TABELA AUXILIAR'!$B$2:$B$5,'TABELA AUXILIAR'!$C$2:$C$5),"",0,1)</f>
        <v>8.5</v>
      </c>
      <c r="G37" s="6">
        <f t="shared" si="1"/>
        <v>72.681335330533258</v>
      </c>
      <c r="H37" s="2">
        <f t="shared" si="2"/>
        <v>43.13052403989137</v>
      </c>
      <c r="I37" s="2">
        <f t="shared" si="3"/>
        <v>1468.4042117163967</v>
      </c>
      <c r="J37" s="1">
        <f t="shared" si="8"/>
        <v>214.05000000000015</v>
      </c>
      <c r="K37" s="1">
        <f t="shared" si="4"/>
        <v>1.1054966037474672</v>
      </c>
      <c r="L37" s="1">
        <f t="shared" si="5"/>
        <v>236.6315480321455</v>
      </c>
      <c r="M37" s="1">
        <f t="shared" si="6"/>
        <v>2140.8238409007586</v>
      </c>
      <c r="N37" s="1">
        <f>$L37*'TABELA AUXILIAR'!$I$3*(B37-A37)</f>
        <v>533.84077236052156</v>
      </c>
      <c r="O37" s="1">
        <f>$L37*'TABELA AUXILIAR'!$I$4*(B37-A37)</f>
        <v>579.27402958269363</v>
      </c>
      <c r="P37" s="1">
        <f>$L37*'TABELA AUXILIAR'!$I$5*(B37-A37)</f>
        <v>668.72075473884479</v>
      </c>
      <c r="Q37" s="1">
        <f>$M37*'TABELA AUXILIAR'!$J$3+SUM(N$2:N37)</f>
        <v>14946.462319316943</v>
      </c>
      <c r="R37" s="1">
        <f>$M37*'TABELA AUXILIAR'!$J$4+SUM(O$2:O37)</f>
        <v>16419.374711139077</v>
      </c>
      <c r="S37" s="1">
        <f>$M37*'TABELA AUXILIAR'!$J$5+SUM(P$2:P37)</f>
        <v>19460.33155454828</v>
      </c>
      <c r="T37" s="2">
        <f t="shared" si="7"/>
        <v>7473</v>
      </c>
      <c r="U37" s="2">
        <f t="shared" si="7"/>
        <v>8209</v>
      </c>
      <c r="V37" s="2">
        <f t="shared" si="7"/>
        <v>9730</v>
      </c>
    </row>
    <row r="38" spans="1:22" x14ac:dyDescent="0.25">
      <c r="A38" s="1">
        <v>21.6</v>
      </c>
      <c r="B38" s="1">
        <v>22.2</v>
      </c>
      <c r="C38" s="1">
        <v>50</v>
      </c>
      <c r="D38" s="1" t="s">
        <v>18</v>
      </c>
      <c r="E38" s="1" t="s">
        <v>8</v>
      </c>
      <c r="F38" s="1" cm="1">
        <f t="array" ref="F38">_xlfn.XLOOKUP(D38,'TABELA AUXILIAR'!$A$2:$A$5,IF('SPT-02'!A38&lt;3,'TABELA AUXILIAR'!$B$2:$B$5,'TABELA AUXILIAR'!$C$2:$C$5),"",0,1)</f>
        <v>8.5</v>
      </c>
      <c r="G38" s="6">
        <f t="shared" si="1"/>
        <v>73.542098667407615</v>
      </c>
      <c r="H38" s="2">
        <f t="shared" si="2"/>
        <v>43.13052403989137</v>
      </c>
      <c r="I38" s="2">
        <f t="shared" si="3"/>
        <v>1482.3000341572028</v>
      </c>
      <c r="J38" s="1">
        <f t="shared" si="8"/>
        <v>219.15000000000015</v>
      </c>
      <c r="K38" s="1">
        <f t="shared" si="4"/>
        <v>1.0948701925944198</v>
      </c>
      <c r="L38" s="1">
        <f t="shared" si="5"/>
        <v>239.94080270706726</v>
      </c>
      <c r="M38" s="1">
        <f t="shared" si="6"/>
        <v>2171.284230732987</v>
      </c>
      <c r="N38" s="1">
        <f>$L38*'TABELA AUXILIAR'!$I$3*(B38-A38)</f>
        <v>541.30645090714177</v>
      </c>
      <c r="O38" s="1">
        <f>$L38*'TABELA AUXILIAR'!$I$4*(B38-A38)</f>
        <v>587.37508502689855</v>
      </c>
      <c r="P38" s="1">
        <f>$L38*'TABELA AUXILIAR'!$I$5*(B38-A38)</f>
        <v>678.07270845016967</v>
      </c>
      <c r="Q38" s="1">
        <f>$M38*'TABELA AUXILIAR'!$J$3+SUM(N$2:N38)</f>
        <v>15522.189010734501</v>
      </c>
      <c r="R38" s="1">
        <f>$M38*'TABELA AUXILIAR'!$J$4+SUM(O$2:O38)</f>
        <v>17046.957510744516</v>
      </c>
      <c r="S38" s="1">
        <f>$M38*'TABELA AUXILIAR'!$J$5+SUM(P$2:P38)</f>
        <v>20192.014549103173</v>
      </c>
      <c r="T38" s="2">
        <f t="shared" si="7"/>
        <v>7761</v>
      </c>
      <c r="U38" s="2">
        <f t="shared" si="7"/>
        <v>8523</v>
      </c>
      <c r="V38" s="2">
        <f t="shared" si="7"/>
        <v>10096</v>
      </c>
    </row>
    <row r="39" spans="1:22" x14ac:dyDescent="0.25">
      <c r="A39" s="1">
        <v>22.2</v>
      </c>
      <c r="B39" s="1">
        <v>22.8</v>
      </c>
      <c r="C39" s="1">
        <v>50</v>
      </c>
      <c r="D39" s="1" t="s">
        <v>18</v>
      </c>
      <c r="E39" s="1" t="s">
        <v>8</v>
      </c>
      <c r="F39" s="1" cm="1">
        <f t="array" ref="F39">_xlfn.XLOOKUP(D39,'TABELA AUXILIAR'!$A$2:$A$5,IF('SPT-02'!A39&lt;3,'TABELA AUXILIAR'!$B$2:$B$5,'TABELA AUXILIAR'!$C$2:$C$5),"",0,1)</f>
        <v>8.5</v>
      </c>
      <c r="G39" s="6">
        <f t="shared" si="1"/>
        <v>74.392903205776364</v>
      </c>
      <c r="H39" s="2">
        <f t="shared" si="2"/>
        <v>43.13052403989137</v>
      </c>
      <c r="I39" s="2">
        <f t="shared" si="3"/>
        <v>1496.0031545563022</v>
      </c>
      <c r="J39" s="1">
        <f t="shared" si="8"/>
        <v>224.25000000000014</v>
      </c>
      <c r="K39" s="1">
        <f t="shared" si="4"/>
        <v>1.0845869079408266</v>
      </c>
      <c r="L39" s="1">
        <f t="shared" si="5"/>
        <v>243.21861410573052</v>
      </c>
      <c r="M39" s="1">
        <f t="shared" si="6"/>
        <v>2201.4623593599595</v>
      </c>
      <c r="N39" s="1">
        <f>$L39*'TABELA AUXILIAR'!$I$3*(B39-A39)</f>
        <v>548.7011934225294</v>
      </c>
      <c r="O39" s="1">
        <f>$L39*'TABELA AUXILIAR'!$I$4*(B39-A39)</f>
        <v>595.39916733082975</v>
      </c>
      <c r="P39" s="1">
        <f>$L39*'TABELA AUXILIAR'!$I$5*(B39-A39)</f>
        <v>687.33580346279609</v>
      </c>
      <c r="Q39" s="1">
        <f>$M39*'TABELA AUXILIAR'!$J$3+SUM(N$2:N39)</f>
        <v>16104.99148950551</v>
      </c>
      <c r="R39" s="1">
        <f>$M39*'TABELA AUXILIAR'!$J$4+SUM(O$2:O39)</f>
        <v>17682.19180786295</v>
      </c>
      <c r="S39" s="1">
        <f>$M39*'TABELA AUXILIAR'!$J$5+SUM(P$2:P39)</f>
        <v>20932.463858949435</v>
      </c>
      <c r="T39" s="2">
        <f t="shared" si="7"/>
        <v>8052</v>
      </c>
      <c r="U39" s="2">
        <f t="shared" si="7"/>
        <v>8841</v>
      </c>
      <c r="V39" s="2">
        <f t="shared" si="7"/>
        <v>10466</v>
      </c>
    </row>
    <row r="40" spans="1:22" x14ac:dyDescent="0.25">
      <c r="A40" s="1">
        <v>22.8</v>
      </c>
      <c r="B40" s="1">
        <v>23.4</v>
      </c>
      <c r="C40" s="1">
        <v>29</v>
      </c>
      <c r="D40" s="1" t="s">
        <v>18</v>
      </c>
      <c r="E40" s="1" t="s">
        <v>8</v>
      </c>
      <c r="F40" s="1" cm="1">
        <f t="array" ref="F40">_xlfn.XLOOKUP(D40,'TABELA AUXILIAR'!$A$2:$A$5,IF('SPT-02'!A40&lt;3,'TABELA AUXILIAR'!$B$2:$B$5,'TABELA AUXILIAR'!$C$2:$C$5),"",0,1)</f>
        <v>8.5</v>
      </c>
      <c r="G40" s="6">
        <f t="shared" si="1"/>
        <v>43.635770350673809</v>
      </c>
      <c r="H40" s="2">
        <f t="shared" si="2"/>
        <v>40.954061580670398</v>
      </c>
      <c r="I40" s="2">
        <f t="shared" si="3"/>
        <v>976.29580060061267</v>
      </c>
      <c r="J40" s="1">
        <f t="shared" si="8"/>
        <v>229.35000000000014</v>
      </c>
      <c r="K40" s="1">
        <f t="shared" si="4"/>
        <v>0.77275507943209842</v>
      </c>
      <c r="L40" s="1">
        <f t="shared" si="5"/>
        <v>177.23137746775188</v>
      </c>
      <c r="M40" s="1">
        <f t="shared" si="6"/>
        <v>1443.1565166439552</v>
      </c>
      <c r="N40" s="1">
        <f>$L40*'TABELA AUXILIAR'!$I$3*(B40-A40)</f>
        <v>399.83398756724682</v>
      </c>
      <c r="O40" s="1">
        <f>$L40*'TABELA AUXILIAR'!$I$4*(B40-A40)</f>
        <v>433.86241204105505</v>
      </c>
      <c r="P40" s="1">
        <f>$L40*'TABELA AUXILIAR'!$I$5*(B40-A40)</f>
        <v>500.85587272386505</v>
      </c>
      <c r="Q40" s="1">
        <f>$M40*'TABELA AUXILIAR'!$J$3+SUM(N$2:N40)</f>
        <v>15647.939874803673</v>
      </c>
      <c r="R40" s="1">
        <f>$M40*'TABELA AUXILIAR'!$J$4+SUM(O$2:O40)</f>
        <v>17115.090507518878</v>
      </c>
      <c r="S40" s="1">
        <f>$M40*'TABELA AUXILIAR'!$J$5+SUM(P$2:P40)</f>
        <v>20098.701448493131</v>
      </c>
      <c r="T40" s="2">
        <f t="shared" si="7"/>
        <v>7823</v>
      </c>
      <c r="U40" s="2">
        <f t="shared" si="7"/>
        <v>8557</v>
      </c>
      <c r="V40" s="2">
        <f t="shared" si="7"/>
        <v>10049</v>
      </c>
    </row>
    <row r="41" spans="1:22" x14ac:dyDescent="0.25">
      <c r="A41" s="1">
        <v>23.4</v>
      </c>
      <c r="B41" s="1">
        <v>24</v>
      </c>
      <c r="C41" s="1">
        <v>29</v>
      </c>
      <c r="D41" s="1" t="s">
        <v>18</v>
      </c>
      <c r="E41" s="1" t="s">
        <v>3</v>
      </c>
      <c r="F41" s="1" cm="1">
        <f t="array" ref="F41">_xlfn.XLOOKUP(D41,'TABELA AUXILIAR'!$A$2:$A$5,IF('SPT-02'!A41&lt;3,'TABELA AUXILIAR'!$B$2:$B$5,'TABELA AUXILIAR'!$C$2:$C$5),"",0,1)</f>
        <v>8.5</v>
      </c>
      <c r="G41" s="6">
        <f t="shared" si="1"/>
        <v>44.118261827201501</v>
      </c>
      <c r="H41" s="2">
        <f t="shared" si="2"/>
        <v>40.954061580670398</v>
      </c>
      <c r="I41" s="2">
        <f t="shared" si="3"/>
        <v>984.92240820973188</v>
      </c>
      <c r="J41" s="1">
        <f t="shared" si="8"/>
        <v>234.45000000000013</v>
      </c>
      <c r="K41" s="1">
        <f t="shared" si="4"/>
        <v>0.76610012229718316</v>
      </c>
      <c r="L41" s="1">
        <f t="shared" si="5"/>
        <v>179.6121736725747</v>
      </c>
      <c r="M41" s="1">
        <f t="shared" si="6"/>
        <v>1462.3264329377516</v>
      </c>
      <c r="N41" s="1">
        <f>$L41*'TABELA AUXILIAR'!$I$3*(B41-A41)</f>
        <v>405.20506380532947</v>
      </c>
      <c r="O41" s="1">
        <f>$L41*'TABELA AUXILIAR'!$I$4*(B41-A41)</f>
        <v>439.69060115046392</v>
      </c>
      <c r="P41" s="1">
        <f>$L41*'TABELA AUXILIAR'!$I$5*(B41-A41)</f>
        <v>507.58400279869727</v>
      </c>
      <c r="Q41" s="1">
        <f>$M41*'TABELA AUXILIAR'!$J$3+SUM(N$2:N41)</f>
        <v>16074.806944020991</v>
      </c>
      <c r="R41" s="1">
        <f>$M41*'TABELA AUXILIAR'!$J$4+SUM(O$2:O41)</f>
        <v>17580.085398177154</v>
      </c>
      <c r="S41" s="1">
        <f>$M41*'TABELA AUXILIAR'!$J$5+SUM(P$2:P41)</f>
        <v>20640.024503968911</v>
      </c>
      <c r="T41" s="2">
        <f t="shared" si="7"/>
        <v>8037</v>
      </c>
      <c r="U41" s="2">
        <f t="shared" si="7"/>
        <v>8790</v>
      </c>
      <c r="V41" s="2">
        <f t="shared" si="7"/>
        <v>10320</v>
      </c>
    </row>
    <row r="42" spans="1:22" x14ac:dyDescent="0.25">
      <c r="A42" s="1">
        <v>24</v>
      </c>
      <c r="B42" s="1">
        <v>24.6</v>
      </c>
      <c r="C42" s="1">
        <v>50</v>
      </c>
      <c r="D42" s="1" t="s">
        <v>18</v>
      </c>
      <c r="E42" s="1" t="s">
        <v>3</v>
      </c>
      <c r="F42" s="1" cm="1">
        <f t="array" ref="F42">_xlfn.XLOOKUP(D42,'TABELA AUXILIAR'!$A$2:$A$5,IF('SPT-02'!A42&lt;3,'TABELA AUXILIAR'!$B$2:$B$5,'TABELA AUXILIAR'!$C$2:$C$5),"",0,1)</f>
        <v>8.5</v>
      </c>
      <c r="G42" s="6">
        <f t="shared" si="1"/>
        <v>76.888850689263762</v>
      </c>
      <c r="H42" s="2">
        <f t="shared" si="2"/>
        <v>43.13052403989137</v>
      </c>
      <c r="I42" s="2">
        <f t="shared" si="3"/>
        <v>1536.0239901131836</v>
      </c>
      <c r="J42" s="1">
        <f t="shared" si="8"/>
        <v>239.55000000000015</v>
      </c>
      <c r="K42" s="1">
        <f t="shared" si="4"/>
        <v>1.0556174655920092</v>
      </c>
      <c r="L42" s="1">
        <f t="shared" si="5"/>
        <v>252.87316388256596</v>
      </c>
      <c r="M42" s="1">
        <f t="shared" si="6"/>
        <v>2290.3903138629353</v>
      </c>
      <c r="N42" s="1">
        <f>$L42*'TABELA AUXILIAR'!$I$3*(B42-A42)</f>
        <v>570.48185771907015</v>
      </c>
      <c r="O42" s="1">
        <f>$L42*'TABELA AUXILIAR'!$I$4*(B42-A42)</f>
        <v>619.03350518452294</v>
      </c>
      <c r="P42" s="1">
        <f>$L42*'TABELA AUXILIAR'!$I$5*(B42-A42)</f>
        <v>714.61956113213307</v>
      </c>
      <c r="Q42" s="1">
        <f>$M42*'TABELA AUXILIAR'!$J$3+SUM(N$2:N42)</f>
        <v>17581.000987185522</v>
      </c>
      <c r="R42" s="1">
        <f>$M42*'TABELA AUXILIAR'!$J$4+SUM(O$2:O42)</f>
        <v>19292.163226182922</v>
      </c>
      <c r="S42" s="1">
        <f>$M42*'TABELA AUXILIAR'!$J$5+SUM(P$2:P42)</f>
        <v>22812.03649552937</v>
      </c>
      <c r="T42" s="2">
        <f t="shared" si="7"/>
        <v>8790</v>
      </c>
      <c r="U42" s="2">
        <f t="shared" si="7"/>
        <v>9646</v>
      </c>
      <c r="V42" s="2">
        <f t="shared" si="7"/>
        <v>11406</v>
      </c>
    </row>
    <row r="43" spans="1:22" x14ac:dyDescent="0.25">
      <c r="A43" s="1">
        <v>24.6</v>
      </c>
      <c r="B43" s="1">
        <v>25.2</v>
      </c>
      <c r="C43" s="1">
        <v>36</v>
      </c>
      <c r="D43" s="1" t="s">
        <v>18</v>
      </c>
      <c r="E43" s="1" t="s">
        <v>3</v>
      </c>
      <c r="F43" s="1" cm="1">
        <f t="array" ref="F43">_xlfn.XLOOKUP(D43,'TABELA AUXILIAR'!$A$2:$A$5,IF('SPT-02'!A43&lt;3,'TABELA AUXILIAR'!$B$2:$B$5,'TABELA AUXILIAR'!$C$2:$C$5),"",0,1)</f>
        <v>8.5</v>
      </c>
      <c r="G43" s="6">
        <f t="shared" si="1"/>
        <v>55.94617353905798</v>
      </c>
      <c r="H43" s="2">
        <f t="shared" si="2"/>
        <v>41.817983007059041</v>
      </c>
      <c r="I43" s="2">
        <f t="shared" si="3"/>
        <v>1191.0325039987947</v>
      </c>
      <c r="J43" s="1">
        <f t="shared" si="8"/>
        <v>244.65000000000015</v>
      </c>
      <c r="K43" s="1">
        <f t="shared" si="4"/>
        <v>0.85650826002159497</v>
      </c>
      <c r="L43" s="1">
        <f t="shared" si="5"/>
        <v>209.54474581428335</v>
      </c>
      <c r="M43" s="1">
        <f t="shared" si="6"/>
        <v>1783.4663617709978</v>
      </c>
      <c r="N43" s="1">
        <f>$L43*'TABELA AUXILIAR'!$I$3*(B43-A43)</f>
        <v>472.73294655702153</v>
      </c>
      <c r="O43" s="1">
        <f>$L43*'TABELA AUXILIAR'!$I$4*(B43-A43)</f>
        <v>512.96553775336383</v>
      </c>
      <c r="P43" s="1">
        <f>$L43*'TABELA AUXILIAR'!$I$5*(B43-A43)</f>
        <v>592.17345167116264</v>
      </c>
      <c r="Q43" s="1">
        <f>$M43*'TABELA AUXILIAR'!$J$3+SUM(N$2:N43)</f>
        <v>17480.909867878654</v>
      </c>
      <c r="R43" s="1">
        <f>$M43*'TABELA AUXILIAR'!$J$4+SUM(O$2:O43)</f>
        <v>19135.989147174925</v>
      </c>
      <c r="S43" s="1">
        <f>$M43*'TABELA AUXILIAR'!$J$5+SUM(P$2:P43)</f>
        <v>22512.023791518721</v>
      </c>
      <c r="T43" s="2">
        <f t="shared" si="7"/>
        <v>8740</v>
      </c>
      <c r="U43" s="2">
        <f t="shared" si="7"/>
        <v>9567</v>
      </c>
      <c r="V43" s="2">
        <f t="shared" si="7"/>
        <v>11256</v>
      </c>
    </row>
    <row r="44" spans="1:22" x14ac:dyDescent="0.25">
      <c r="A44" s="1">
        <v>25.2</v>
      </c>
      <c r="B44" s="1">
        <v>25.8</v>
      </c>
      <c r="C44" s="1">
        <v>36</v>
      </c>
      <c r="D44" s="1" t="s">
        <v>18</v>
      </c>
      <c r="E44" s="1" t="s">
        <v>3</v>
      </c>
      <c r="F44" s="1" cm="1">
        <f t="array" ref="F44">_xlfn.XLOOKUP(D44,'TABELA AUXILIAR'!$A$2:$A$5,IF('SPT-02'!A44&lt;3,'TABELA AUXILIAR'!$B$2:$B$5,'TABELA AUXILIAR'!$C$2:$C$5),"",0,1)</f>
        <v>8.5</v>
      </c>
      <c r="G44" s="6">
        <f t="shared" si="1"/>
        <v>56.526295761680871</v>
      </c>
      <c r="H44" s="2">
        <f t="shared" si="2"/>
        <v>41.817983007059041</v>
      </c>
      <c r="I44" s="2">
        <f t="shared" si="3"/>
        <v>1200.902432526849</v>
      </c>
      <c r="J44" s="1">
        <f t="shared" si="8"/>
        <v>249.75000000000014</v>
      </c>
      <c r="K44" s="1">
        <f t="shared" si="4"/>
        <v>0.84946777553084107</v>
      </c>
      <c r="L44" s="1">
        <f t="shared" si="5"/>
        <v>212.15457693882769</v>
      </c>
      <c r="M44" s="1">
        <f t="shared" si="6"/>
        <v>1805.6812505747992</v>
      </c>
      <c r="N44" s="1">
        <f>$L44*'TABELA AUXILIAR'!$I$3*(B44-A44)</f>
        <v>478.62072557399642</v>
      </c>
      <c r="O44" s="1">
        <f>$L44*'TABELA AUXILIAR'!$I$4*(B44-A44)</f>
        <v>519.35440434625139</v>
      </c>
      <c r="P44" s="1">
        <f>$L44*'TABELA AUXILIAR'!$I$5*(B44-A44)</f>
        <v>599.54883442912842</v>
      </c>
      <c r="Q44" s="1">
        <f>$M44*'TABELA AUXILIAR'!$J$3+SUM(N$2:N44)</f>
        <v>17984.633417800942</v>
      </c>
      <c r="R44" s="1">
        <f>$M44*'TABELA AUXILIAR'!$J$4+SUM(O$2:O44)</f>
        <v>19684.667204742193</v>
      </c>
      <c r="S44" s="1">
        <f>$M44*'TABELA AUXILIAR'!$J$5+SUM(P$2:P44)</f>
        <v>23150.67083024254</v>
      </c>
      <c r="T44" s="2">
        <f t="shared" si="7"/>
        <v>8992</v>
      </c>
      <c r="U44" s="2">
        <f t="shared" si="7"/>
        <v>9842</v>
      </c>
      <c r="V44" s="2">
        <f t="shared" si="7"/>
        <v>11575</v>
      </c>
    </row>
    <row r="45" spans="1:22" x14ac:dyDescent="0.25">
      <c r="A45" s="1">
        <v>25.8</v>
      </c>
      <c r="B45" s="1">
        <v>26.4</v>
      </c>
      <c r="C45" s="1">
        <v>27</v>
      </c>
      <c r="D45" s="1" t="s">
        <v>18</v>
      </c>
      <c r="E45" s="1" t="s">
        <v>3</v>
      </c>
      <c r="F45" s="1" cm="1">
        <f t="array" ref="F45">_xlfn.XLOOKUP(D45,'TABELA AUXILIAR'!$A$2:$A$5,IF('SPT-02'!A45&lt;3,'TABELA AUXILIAR'!$B$2:$B$5,'TABELA AUXILIAR'!$C$2:$C$5),"",0,1)</f>
        <v>8.5</v>
      </c>
      <c r="G45" s="6">
        <f t="shared" si="1"/>
        <v>42.825393330581953</v>
      </c>
      <c r="H45" s="2">
        <f t="shared" si="2"/>
        <v>40.668546630262682</v>
      </c>
      <c r="I45" s="2">
        <f t="shared" si="3"/>
        <v>961.76372269335081</v>
      </c>
      <c r="J45" s="1">
        <f t="shared" si="8"/>
        <v>254.85000000000014</v>
      </c>
      <c r="K45" s="1">
        <f t="shared" si="4"/>
        <v>0.71111544889950773</v>
      </c>
      <c r="L45" s="1">
        <f t="shared" si="5"/>
        <v>181.22777215203965</v>
      </c>
      <c r="M45" s="1">
        <f t="shared" si="6"/>
        <v>1451.9698014871183</v>
      </c>
      <c r="N45" s="1">
        <f>$L45*'TABELA AUXILIAR'!$I$3*(B45-A45)</f>
        <v>408.84985397499997</v>
      </c>
      <c r="O45" s="1">
        <f>$L45*'TABELA AUXILIAR'!$I$4*(B45-A45)</f>
        <v>443.64558622819152</v>
      </c>
      <c r="P45" s="1">
        <f>$L45*'TABELA AUXILIAR'!$I$5*(B45-A45)</f>
        <v>512.14968410166227</v>
      </c>
      <c r="Q45" s="1">
        <f>$M45*'TABELA AUXILIAR'!$J$3+SUM(N$2:N45)</f>
        <v>17993.789334306864</v>
      </c>
      <c r="R45" s="1">
        <f>$M45*'TABELA AUXILIAR'!$J$4+SUM(O$2:O45)</f>
        <v>19661.413678174646</v>
      </c>
      <c r="S45" s="1">
        <f>$M45*'TABELA AUXILIAR'!$J$5+SUM(P$2:P45)</f>
        <v>23040.288363949887</v>
      </c>
      <c r="T45" s="2">
        <f t="shared" si="7"/>
        <v>8996</v>
      </c>
      <c r="U45" s="2">
        <f t="shared" si="7"/>
        <v>9830</v>
      </c>
      <c r="V45" s="2">
        <f t="shared" si="7"/>
        <v>11520</v>
      </c>
    </row>
    <row r="46" spans="1:22" x14ac:dyDescent="0.25">
      <c r="A46" s="1">
        <v>26.4</v>
      </c>
      <c r="B46" s="1">
        <v>27</v>
      </c>
      <c r="C46" s="1">
        <v>50</v>
      </c>
      <c r="D46" s="1" t="s">
        <v>18</v>
      </c>
      <c r="E46" s="1" t="s">
        <v>3</v>
      </c>
      <c r="F46" s="1" cm="1">
        <f t="array" ref="F46">_xlfn.XLOOKUP(D46,'TABELA AUXILIAR'!$A$2:$A$5,IF('SPT-02'!A46&lt;3,'TABELA AUXILIAR'!$B$2:$B$5,'TABELA AUXILIAR'!$C$2:$C$5),"",0,1)</f>
        <v>8.5</v>
      </c>
      <c r="G46" s="6">
        <f t="shared" si="1"/>
        <v>80.095882816940588</v>
      </c>
      <c r="H46" s="2">
        <f t="shared" si="2"/>
        <v>43.13052403989137</v>
      </c>
      <c r="I46" s="2">
        <f t="shared" si="3"/>
        <v>1587.0677159141499</v>
      </c>
      <c r="J46" s="1">
        <f t="shared" si="8"/>
        <v>259.95000000000016</v>
      </c>
      <c r="K46" s="1">
        <f t="shared" si="4"/>
        <v>1.0208152715279246</v>
      </c>
      <c r="L46" s="1">
        <f t="shared" si="5"/>
        <v>265.36092983368417</v>
      </c>
      <c r="M46" s="1">
        <f t="shared" si="6"/>
        <v>2405.501800566321</v>
      </c>
      <c r="N46" s="1">
        <f>$L46*'TABELA AUXILIAR'!$I$3*(B46-A46)</f>
        <v>598.65425770479283</v>
      </c>
      <c r="O46" s="1">
        <f>$L46*'TABELA AUXILIAR'!$I$4*(B46-A46)</f>
        <v>649.60355623286046</v>
      </c>
      <c r="P46" s="1">
        <f>$L46*'TABELA AUXILIAR'!$I$5*(B46-A46)</f>
        <v>749.90998770999317</v>
      </c>
      <c r="Q46" s="1">
        <f>$M46*'TABELA AUXILIAR'!$J$3+SUM(N$2:N46)</f>
        <v>19669.934750971155</v>
      </c>
      <c r="R46" s="1">
        <f>$M46*'TABELA AUXILIAR'!$J$4+SUM(O$2:O46)</f>
        <v>21569.679473192056</v>
      </c>
      <c r="S46" s="1">
        <f>$M46*'TABELA AUXILIAR'!$J$5+SUM(P$2:P46)</f>
        <v>25468.414670039278</v>
      </c>
      <c r="T46" s="2">
        <f t="shared" si="7"/>
        <v>9834</v>
      </c>
      <c r="U46" s="2">
        <f t="shared" si="7"/>
        <v>10784</v>
      </c>
      <c r="V46" s="2">
        <f t="shared" si="7"/>
        <v>12734</v>
      </c>
    </row>
    <row r="47" spans="1:22" x14ac:dyDescent="0.25">
      <c r="A47" s="1">
        <v>27</v>
      </c>
      <c r="B47" s="1">
        <v>27.6</v>
      </c>
      <c r="C47" s="1">
        <v>50</v>
      </c>
      <c r="D47" s="1" t="s">
        <v>18</v>
      </c>
      <c r="E47" s="1" t="s">
        <v>3</v>
      </c>
      <c r="F47" s="1" cm="1">
        <f t="array" ref="F47">_xlfn.XLOOKUP(D47,'TABELA AUXILIAR'!$A$2:$A$5,IF('SPT-02'!A47&lt;3,'TABELA AUXILIAR'!$B$2:$B$5,'TABELA AUXILIAR'!$C$2:$C$5),"",0,1)</f>
        <v>8.5</v>
      </c>
      <c r="G47" s="6">
        <f t="shared" si="1"/>
        <v>80.877773307642286</v>
      </c>
      <c r="H47" s="2">
        <f t="shared" si="2"/>
        <v>43.13052403989137</v>
      </c>
      <c r="I47" s="2">
        <f t="shared" si="3"/>
        <v>1599.4499402741312</v>
      </c>
      <c r="J47" s="1">
        <f t="shared" si="8"/>
        <v>265.05000000000018</v>
      </c>
      <c r="K47" s="1">
        <f t="shared" si="4"/>
        <v>1.0127119078168054</v>
      </c>
      <c r="L47" s="1">
        <f t="shared" si="5"/>
        <v>268.41929116684446</v>
      </c>
      <c r="M47" s="1">
        <f t="shared" si="6"/>
        <v>2433.708048683267</v>
      </c>
      <c r="N47" s="1">
        <f>$L47*'TABELA AUXILIAR'!$I$3*(B47-A47)</f>
        <v>605.5539208724025</v>
      </c>
      <c r="O47" s="1">
        <f>$L47*'TABELA AUXILIAR'!$I$4*(B47-A47)</f>
        <v>657.09042477643675</v>
      </c>
      <c r="P47" s="1">
        <f>$L47*'TABELA AUXILIAR'!$I$5*(B47-A47)</f>
        <v>758.55291683750431</v>
      </c>
      <c r="Q47" s="1">
        <f>$M47*'TABELA AUXILIAR'!$J$3+SUM(N$2:N47)</f>
        <v>20307.361732215708</v>
      </c>
      <c r="R47" s="1">
        <f>$M47*'TABELA AUXILIAR'!$J$4+SUM(O$2:O47)</f>
        <v>22264.00214548286</v>
      </c>
      <c r="S47" s="1">
        <f>$M47*'TABELA AUXILIAR'!$J$5+SUM(P$2:P47)</f>
        <v>26276.610583562604</v>
      </c>
      <c r="T47" s="2">
        <f t="shared" si="7"/>
        <v>10153</v>
      </c>
      <c r="U47" s="2">
        <f t="shared" si="7"/>
        <v>11132</v>
      </c>
      <c r="V47" s="2">
        <f t="shared" si="7"/>
        <v>13138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19</v>
      </c>
      <c r="E48" s="1" t="s">
        <v>4</v>
      </c>
      <c r="F48" s="1" cm="1">
        <f t="array" ref="F48">_xlfn.XLOOKUP(D48,'TABELA AUXILIAR'!$A$2:$A$5,IF('SPT-02'!A48&lt;3,'TABELA AUXILIAR'!$B$2:$B$5,'TABELA AUXILIAR'!$C$2:$C$5),"",0,1)</f>
        <v>10.5</v>
      </c>
      <c r="G48" s="6">
        <f t="shared" si="1"/>
        <v>81.742800836817338</v>
      </c>
      <c r="H48" s="2">
        <f t="shared" si="2"/>
        <v>43.13052403989137</v>
      </c>
      <c r="I48" s="2">
        <f t="shared" si="3"/>
        <v>1242.0818587154392</v>
      </c>
      <c r="J48" s="1">
        <f t="shared" si="8"/>
        <v>270.75000000000017</v>
      </c>
      <c r="K48" s="1">
        <f t="shared" si="4"/>
        <v>0.83963067025877491</v>
      </c>
      <c r="L48" s="1">
        <f t="shared" si="5"/>
        <v>227.33000397256345</v>
      </c>
      <c r="M48" s="1">
        <f t="shared" si="6"/>
        <v>2464.9770061284362</v>
      </c>
      <c r="N48" s="1">
        <f>$L48*'TABELA AUXILIAR'!$I$3*(B48-A48)</f>
        <v>512.85648896210125</v>
      </c>
      <c r="O48" s="1">
        <f>$L48*'TABELA AUXILIAR'!$I$4*(B48-A48)</f>
        <v>556.50384972483334</v>
      </c>
      <c r="P48" s="1">
        <f>$L48*'TABELA AUXILIAR'!$I$5*(B48-A48)</f>
        <v>642.43459122646198</v>
      </c>
      <c r="Q48" s="1">
        <f>$M48*'TABELA AUXILIAR'!$J$3+SUM(N$2:N48)</f>
        <v>20855.552143090848</v>
      </c>
      <c r="R48" s="1">
        <f>$M48*'TABELA AUXILIAR'!$J$4+SUM(O$2:O48)</f>
        <v>22861.781019035316</v>
      </c>
      <c r="S48" s="1">
        <f>$M48*'TABELA AUXILIAR'!$J$5+SUM(P$2:P48)</f>
        <v>26974.078539892565</v>
      </c>
      <c r="T48" s="2">
        <f t="shared" si="7"/>
        <v>10427</v>
      </c>
      <c r="U48" s="2">
        <f t="shared" si="7"/>
        <v>11430</v>
      </c>
      <c r="V48" s="2">
        <f t="shared" si="7"/>
        <v>13487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19</v>
      </c>
      <c r="E49" s="1" t="s">
        <v>4</v>
      </c>
      <c r="F49" s="1" cm="1">
        <f t="array" ref="F49">_xlfn.XLOOKUP(D49,'TABELA AUXILIAR'!$A$2:$A$5,IF('SPT-02'!A49&lt;3,'TABELA AUXILIAR'!$B$2:$B$5,'TABELA AUXILIAR'!$C$2:$C$5),"",0,1)</f>
        <v>10.5</v>
      </c>
      <c r="G49" s="6">
        <f t="shared" si="1"/>
        <v>82.688356281647756</v>
      </c>
      <c r="H49" s="2">
        <f t="shared" si="2"/>
        <v>43.13052403989137</v>
      </c>
      <c r="I49" s="2">
        <f t="shared" si="3"/>
        <v>1256.4495736996375</v>
      </c>
      <c r="J49" s="1">
        <f t="shared" si="8"/>
        <v>277.05000000000018</v>
      </c>
      <c r="K49" s="1">
        <f t="shared" si="4"/>
        <v>0.8330546740663507</v>
      </c>
      <c r="L49" s="1">
        <f t="shared" si="5"/>
        <v>230.79779745008261</v>
      </c>
      <c r="M49" s="1">
        <f t="shared" si="6"/>
        <v>2499.2326505234569</v>
      </c>
      <c r="N49" s="1">
        <f>$L49*'TABELA AUXILIAR'!$I$3*(B49-A49)</f>
        <v>520.67983104738755</v>
      </c>
      <c r="O49" s="1">
        <f>$L49*'TABELA AUXILIAR'!$I$4*(B49-A49)</f>
        <v>564.99300815780362</v>
      </c>
      <c r="P49" s="1">
        <f>$L49*'TABELA AUXILIAR'!$I$5*(B49-A49)</f>
        <v>652.23457559393501</v>
      </c>
      <c r="Q49" s="1">
        <f>$M49*'TABELA AUXILIAR'!$J$3+SUM(N$2:N49)</f>
        <v>21414.940852304608</v>
      </c>
      <c r="R49" s="1">
        <f>$M49*'TABELA AUXILIAR'!$J$4+SUM(O$2:O49)</f>
        <v>23471.991477794545</v>
      </c>
      <c r="S49" s="1">
        <f>$M49*'TABELA AUXILIAR'!$J$5+SUM(P$2:P49)</f>
        <v>27686.603049621735</v>
      </c>
      <c r="T49" s="2">
        <f t="shared" si="7"/>
        <v>10707</v>
      </c>
      <c r="U49" s="2">
        <f t="shared" si="7"/>
        <v>11735</v>
      </c>
      <c r="V49" s="2">
        <f t="shared" si="7"/>
        <v>13843</v>
      </c>
    </row>
    <row r="50" spans="1:22" x14ac:dyDescent="0.25">
      <c r="A50" s="1">
        <v>28.8</v>
      </c>
      <c r="B50" s="1">
        <v>29.4</v>
      </c>
      <c r="C50" s="1">
        <v>50</v>
      </c>
      <c r="D50" s="1" t="s">
        <v>19</v>
      </c>
      <c r="E50" s="1" t="s">
        <v>4</v>
      </c>
      <c r="F50" s="1" cm="1">
        <f t="array" ref="F50">_xlfn.XLOOKUP(D50,'TABELA AUXILIAR'!$A$2:$A$5,IF('SPT-02'!A50&lt;3,'TABELA AUXILIAR'!$B$2:$B$5,'TABELA AUXILIAR'!$C$2:$C$5),"",0,1)</f>
        <v>10.5</v>
      </c>
      <c r="G50" s="6">
        <f t="shared" si="1"/>
        <v>83.623220701392768</v>
      </c>
      <c r="H50" s="2">
        <f t="shared" si="2"/>
        <v>43.13052403989137</v>
      </c>
      <c r="I50" s="2">
        <f t="shared" si="3"/>
        <v>1270.654838557663</v>
      </c>
      <c r="J50" s="1">
        <f t="shared" si="8"/>
        <v>283.35000000000019</v>
      </c>
      <c r="K50" s="1">
        <f t="shared" si="4"/>
        <v>0.82667632685678594</v>
      </c>
      <c r="L50" s="1">
        <f t="shared" si="5"/>
        <v>234.23873721487047</v>
      </c>
      <c r="M50" s="1">
        <f t="shared" si="6"/>
        <v>2533.1780921935665</v>
      </c>
      <c r="N50" s="1">
        <f>$L50*'TABELA AUXILIAR'!$I$3*(B50-A50)</f>
        <v>528.44259115674583</v>
      </c>
      <c r="O50" s="1">
        <f>$L50*'TABELA AUXILIAR'!$I$4*(B50-A50)</f>
        <v>573.41642870200087</v>
      </c>
      <c r="P50" s="1">
        <f>$L50*'TABELA AUXILIAR'!$I$5*(B50-A50)</f>
        <v>661.95867136922163</v>
      </c>
      <c r="Q50" s="1">
        <f>$M50*'TABELA AUXILIAR'!$J$3+SUM(N$2:N50)</f>
        <v>21981.741792548579</v>
      </c>
      <c r="R50" s="1">
        <f>$M50*'TABELA AUXILIAR'!$J$4+SUM(O$2:O50)</f>
        <v>24090.215889501091</v>
      </c>
      <c r="S50" s="1">
        <f>$M50*'TABELA AUXILIAR'!$J$5+SUM(P$2:P50)</f>
        <v>28408.30569833035</v>
      </c>
      <c r="T50" s="2">
        <f t="shared" si="7"/>
        <v>10990</v>
      </c>
      <c r="U50" s="2">
        <f t="shared" si="7"/>
        <v>12045</v>
      </c>
      <c r="V50" s="2">
        <f t="shared" si="7"/>
        <v>14204</v>
      </c>
    </row>
    <row r="51" spans="1:22" x14ac:dyDescent="0.25">
      <c r="A51" s="1">
        <v>29.4</v>
      </c>
      <c r="B51" s="1">
        <v>30</v>
      </c>
      <c r="C51" s="1">
        <v>50</v>
      </c>
      <c r="D51" s="1" t="s">
        <v>19</v>
      </c>
      <c r="E51" s="1" t="s">
        <v>4</v>
      </c>
      <c r="F51" s="1" cm="1">
        <f t="array" ref="F51">_xlfn.XLOOKUP(D51,'TABELA AUXILIAR'!$A$2:$A$5,IF('SPT-02'!A51&lt;3,'TABELA AUXILIAR'!$B$2:$B$5,'TABELA AUXILIAR'!$C$2:$C$5),"",0,1)</f>
        <v>10.5</v>
      </c>
      <c r="G51" s="6">
        <f t="shared" si="1"/>
        <v>84.547748736361839</v>
      </c>
      <c r="H51" s="2">
        <f t="shared" si="2"/>
        <v>43.13052403989137</v>
      </c>
      <c r="I51" s="2">
        <f t="shared" si="3"/>
        <v>1284.703042049018</v>
      </c>
      <c r="J51" s="1">
        <f t="shared" si="8"/>
        <v>289.6500000000002</v>
      </c>
      <c r="K51" s="1">
        <f t="shared" si="4"/>
        <v>0.82048548773777485</v>
      </c>
      <c r="L51" s="1">
        <f t="shared" si="5"/>
        <v>237.65362152324664</v>
      </c>
      <c r="M51" s="1">
        <f t="shared" si="6"/>
        <v>2566.8229457832808</v>
      </c>
      <c r="N51" s="1">
        <f>$L51*'TABELA AUXILIAR'!$I$3*(B51-A51)</f>
        <v>536.1465701564457</v>
      </c>
      <c r="O51" s="1">
        <f>$L51*'TABELA AUXILIAR'!$I$4*(B51-A51)</f>
        <v>581.77606548890913</v>
      </c>
      <c r="P51" s="1">
        <f>$L51*'TABELA AUXILIAR'!$I$5*(B51-A51)</f>
        <v>671.60913442469666</v>
      </c>
      <c r="Q51" s="1">
        <f>$M51*'TABELA AUXILIAR'!$J$3+SUM(N$2:N51)</f>
        <v>22555.9070472614</v>
      </c>
      <c r="R51" s="1">
        <f>$M51*'TABELA AUXILIAR'!$J$4+SUM(O$2:O51)</f>
        <v>24716.403161728424</v>
      </c>
      <c r="S51" s="1">
        <f>$M51*'TABELA AUXILIAR'!$J$5+SUM(P$2:P51)</f>
        <v>29139.129775072943</v>
      </c>
      <c r="T51" s="2">
        <f t="shared" si="7"/>
        <v>11277</v>
      </c>
      <c r="U51" s="2">
        <f t="shared" si="7"/>
        <v>12358</v>
      </c>
      <c r="V51" s="2">
        <f t="shared" si="7"/>
        <v>14569</v>
      </c>
    </row>
    <row r="52" spans="1:22" x14ac:dyDescent="0.25">
      <c r="A52" s="1">
        <v>30</v>
      </c>
      <c r="B52" s="1">
        <v>30.6</v>
      </c>
      <c r="C52" s="1">
        <v>50</v>
      </c>
      <c r="D52" s="1" t="s">
        <v>19</v>
      </c>
      <c r="E52" s="1" t="s">
        <v>4</v>
      </c>
      <c r="F52" s="1" cm="1">
        <f t="array" ref="F52">_xlfn.XLOOKUP(D52,'TABELA AUXILIAR'!$A$2:$A$5,IF('SPT-02'!A52&lt;3,'TABELA AUXILIAR'!$B$2:$B$5,'TABELA AUXILIAR'!$C$2:$C$5),"",0,1)</f>
        <v>10.5</v>
      </c>
      <c r="G52" s="6">
        <f t="shared" si="1"/>
        <v>85.462275843205262</v>
      </c>
      <c r="H52" s="2">
        <f t="shared" si="2"/>
        <v>43.13052403989137</v>
      </c>
      <c r="I52" s="2">
        <f t="shared" si="3"/>
        <v>1298.5992814375038</v>
      </c>
      <c r="J52" s="1">
        <f t="shared" si="8"/>
        <v>295.95000000000027</v>
      </c>
      <c r="K52" s="1">
        <f t="shared" si="4"/>
        <v>0.81447274240015555</v>
      </c>
      <c r="L52" s="1">
        <f t="shared" si="5"/>
        <v>241.04320811332624</v>
      </c>
      <c r="M52" s="1">
        <f t="shared" si="6"/>
        <v>2600.1763261083647</v>
      </c>
      <c r="N52" s="1">
        <f>$L52*'TABELA AUXILIAR'!$I$3*(B52-A52)</f>
        <v>543.79347750366526</v>
      </c>
      <c r="O52" s="1">
        <f>$L52*'TABELA AUXILIAR'!$I$4*(B52-A52)</f>
        <v>590.07377346142403</v>
      </c>
      <c r="P52" s="1">
        <f>$L52*'TABELA AUXILIAR'!$I$5*(B52-A52)</f>
        <v>681.18810612826167</v>
      </c>
      <c r="Q52" s="1">
        <f>$M52*'TABELA AUXILIAR'!$J$3+SUM(N$2:N52)</f>
        <v>23137.389844532412</v>
      </c>
      <c r="R52" s="1">
        <f>$M52*'TABELA AUXILIAR'!$J$4+SUM(O$2:O52)</f>
        <v>25350.503397218956</v>
      </c>
      <c r="S52" s="1">
        <f>$M52*'TABELA AUXILIAR'!$J$5+SUM(P$2:P52)</f>
        <v>29879.019830573354</v>
      </c>
      <c r="T52" s="2">
        <f t="shared" si="7"/>
        <v>11568</v>
      </c>
      <c r="U52" s="2">
        <f t="shared" si="7"/>
        <v>12675</v>
      </c>
      <c r="V52" s="2">
        <f t="shared" si="7"/>
        <v>14939</v>
      </c>
    </row>
    <row r="53" spans="1:22" x14ac:dyDescent="0.25">
      <c r="A53" s="1">
        <v>30.6</v>
      </c>
      <c r="B53" s="1">
        <v>31.2</v>
      </c>
      <c r="C53" s="1">
        <v>50</v>
      </c>
      <c r="D53" s="1" t="s">
        <v>19</v>
      </c>
      <c r="E53" s="1" t="s">
        <v>4</v>
      </c>
      <c r="F53" s="1" cm="1">
        <f t="array" ref="F53">_xlfn.XLOOKUP(D53,'TABELA AUXILIAR'!$A$2:$A$5,IF('SPT-02'!A53&lt;3,'TABELA AUXILIAR'!$B$2:$B$5,'TABELA AUXILIAR'!$C$2:$C$5),"",0,1)</f>
        <v>10.5</v>
      </c>
      <c r="G53" s="6">
        <f t="shared" si="1"/>
        <v>86.3671197170152</v>
      </c>
      <c r="H53" s="2">
        <f t="shared" si="2"/>
        <v>43.13052403989137</v>
      </c>
      <c r="I53" s="2">
        <f t="shared" si="3"/>
        <v>1312.3483841000459</v>
      </c>
      <c r="J53" s="1">
        <f t="shared" si="8"/>
        <v>302.25000000000028</v>
      </c>
      <c r="K53" s="1">
        <f t="shared" si="4"/>
        <v>0.808629336899231</v>
      </c>
      <c r="L53" s="1">
        <f t="shared" si="5"/>
        <v>244.40821707779281</v>
      </c>
      <c r="M53" s="1">
        <f t="shared" si="6"/>
        <v>2633.2468841884802</v>
      </c>
      <c r="N53" s="1">
        <f>$L53*'TABELA AUXILIAR'!$I$3*(B53-A53)</f>
        <v>551.3849377274986</v>
      </c>
      <c r="O53" s="1">
        <f>$L53*'TABELA AUXILIAR'!$I$4*(B53-A53)</f>
        <v>598.31131540643469</v>
      </c>
      <c r="P53" s="1">
        <f>$L53*'TABELA AUXILIAR'!$I$5*(B53-A53)</f>
        <v>690.69762146183996</v>
      </c>
      <c r="Q53" s="1">
        <f>$M53*'TABELA AUXILIAR'!$J$3+SUM(N$2:N53)</f>
        <v>23726.144512890442</v>
      </c>
      <c r="R53" s="1">
        <f>$M53*'TABELA AUXILIAR'!$J$4+SUM(O$2:O53)</f>
        <v>25992.467849291141</v>
      </c>
      <c r="S53" s="1">
        <f>$M53*'TABELA AUXILIAR'!$J$5+SUM(P$2:P53)</f>
        <v>30627.921634256199</v>
      </c>
      <c r="T53" s="2">
        <f t="shared" si="7"/>
        <v>11863</v>
      </c>
      <c r="U53" s="2">
        <f t="shared" si="7"/>
        <v>12996</v>
      </c>
      <c r="V53" s="2">
        <f t="shared" si="7"/>
        <v>15313</v>
      </c>
    </row>
    <row r="54" spans="1:22" x14ac:dyDescent="0.25">
      <c r="A54" s="1">
        <v>31.2</v>
      </c>
      <c r="B54" s="1">
        <v>31.8</v>
      </c>
      <c r="C54" s="1">
        <v>26</v>
      </c>
      <c r="D54" s="1" t="s">
        <v>18</v>
      </c>
      <c r="E54" s="1" t="s">
        <v>2</v>
      </c>
      <c r="F54" s="1" cm="1">
        <f t="array" ref="F54">_xlfn.XLOOKUP(D54,'TABELA AUXILIAR'!$A$2:$A$5,IF('SPT-02'!A54&lt;3,'TABELA AUXILIAR'!$B$2:$B$5,'TABELA AUXILIAR'!$C$2:$C$5),"",0,1)</f>
        <v>8.5</v>
      </c>
      <c r="G54" s="6">
        <f t="shared" si="1"/>
        <v>45.33240180604205</v>
      </c>
      <c r="H54" s="2">
        <f t="shared" si="2"/>
        <v>40.51775480133152</v>
      </c>
      <c r="I54" s="2">
        <f t="shared" si="3"/>
        <v>1006.5475287217954</v>
      </c>
      <c r="J54" s="1">
        <f t="shared" si="8"/>
        <v>307.95000000000027</v>
      </c>
      <c r="K54" s="1">
        <f t="shared" si="4"/>
        <v>0.64624804413624326</v>
      </c>
      <c r="L54" s="1">
        <f t="shared" si="5"/>
        <v>199.01208519175628</v>
      </c>
      <c r="M54" s="1">
        <f t="shared" si="6"/>
        <v>1578.2020138311464</v>
      </c>
      <c r="N54" s="1">
        <f>$L54*'TABELA AUXILIAR'!$I$3*(B54-A54)</f>
        <v>448.9712641926032</v>
      </c>
      <c r="O54" s="1">
        <f>$L54*'TABELA AUXILIAR'!$I$4*(B54-A54)</f>
        <v>487.18158454942056</v>
      </c>
      <c r="P54" s="1">
        <f>$L54*'TABELA AUXILIAR'!$I$5*(B54-A54)</f>
        <v>562.40815275190459</v>
      </c>
      <c r="Q54" s="1">
        <f>$M54*'TABELA AUXILIAR'!$J$3+SUM(N$2:N54)</f>
        <v>22982.915073579257</v>
      </c>
      <c r="R54" s="1">
        <f>$M54*'TABELA AUXILIAR'!$J$4+SUM(O$2:O54)</f>
        <v>25086.990204968883</v>
      </c>
      <c r="S54" s="1">
        <f>$M54*'TABELA AUXILIAR'!$J$5+SUM(P$2:P54)</f>
        <v>29333.450815179196</v>
      </c>
      <c r="T54" s="2">
        <f t="shared" si="7"/>
        <v>11491</v>
      </c>
      <c r="U54" s="2">
        <f t="shared" si="7"/>
        <v>12543</v>
      </c>
      <c r="V54" s="2">
        <f t="shared" si="7"/>
        <v>14666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18</v>
      </c>
      <c r="E55" s="1" t="s">
        <v>2</v>
      </c>
      <c r="F55" s="1" cm="1">
        <f t="array" ref="F55">_xlfn.XLOOKUP(D55,'TABELA AUXILIAR'!$A$2:$A$5,IF('SPT-02'!A55&lt;3,'TABELA AUXILIAR'!$B$2:$B$5,'TABELA AUXILIAR'!$C$2:$C$5),"",0,1)</f>
        <v>8.5</v>
      </c>
      <c r="G55" s="6">
        <f t="shared" si="1"/>
        <v>87.896612065743142</v>
      </c>
      <c r="H55" s="2">
        <f t="shared" si="2"/>
        <v>43.13052403989137</v>
      </c>
      <c r="I55" s="2">
        <f t="shared" si="3"/>
        <v>1709.5626143440525</v>
      </c>
      <c r="J55" s="1">
        <f t="shared" si="8"/>
        <v>313.0500000000003</v>
      </c>
      <c r="K55" s="1">
        <f t="shared" si="4"/>
        <v>0.94587645289757405</v>
      </c>
      <c r="L55" s="1">
        <f t="shared" si="5"/>
        <v>296.10662357958586</v>
      </c>
      <c r="M55" s="1">
        <f t="shared" si="6"/>
        <v>2689.3047449866222</v>
      </c>
      <c r="N55" s="1">
        <f>$L55*'TABELA AUXILIAR'!$I$3*(B55-A55)</f>
        <v>668.01654279554327</v>
      </c>
      <c r="O55" s="1">
        <f>$L55*'TABELA AUXILIAR'!$I$4*(B55-A55)</f>
        <v>724.8690145228237</v>
      </c>
      <c r="P55" s="1">
        <f>$L55*'TABELA AUXILIAR'!$I$5*(B55-A55)</f>
        <v>836.79731823590669</v>
      </c>
      <c r="Q55" s="1">
        <f>$M55*'TABELA AUXILIAR'!$J$3+SUM(N$2:N55)</f>
        <v>24906.477702580487</v>
      </c>
      <c r="R55" s="1">
        <f>$M55*'TABELA AUXILIAR'!$J$4+SUM(O$2:O55)</f>
        <v>27278.514824616934</v>
      </c>
      <c r="S55" s="1">
        <f>$M55*'TABELA AUXILIAR'!$J$5+SUM(P$2:P55)</f>
        <v>32125.788940248738</v>
      </c>
      <c r="T55" s="2">
        <f t="shared" si="7"/>
        <v>12453</v>
      </c>
      <c r="U55" s="2">
        <f t="shared" si="7"/>
        <v>13639</v>
      </c>
      <c r="V55" s="2">
        <f t="shared" si="7"/>
        <v>16062</v>
      </c>
    </row>
    <row r="56" spans="1:22" x14ac:dyDescent="0.25">
      <c r="A56" s="1">
        <v>32.4</v>
      </c>
      <c r="B56" s="1">
        <v>33</v>
      </c>
      <c r="C56" s="1">
        <v>50</v>
      </c>
      <c r="D56" s="1" t="s">
        <v>18</v>
      </c>
      <c r="E56" s="1" t="s">
        <v>2</v>
      </c>
      <c r="F56" s="1" cm="1">
        <f t="array" ref="F56">_xlfn.XLOOKUP(D56,'TABELA AUXILIAR'!$A$2:$A$5,IF('SPT-02'!A56&lt;3,'TABELA AUXILIAR'!$B$2:$B$5,'TABELA AUXILIAR'!$C$2:$C$5),"",0,1)</f>
        <v>8.5</v>
      </c>
      <c r="G56" s="6">
        <f t="shared" si="1"/>
        <v>88.609695765266224</v>
      </c>
      <c r="H56" s="2">
        <f t="shared" si="2"/>
        <v>43.13052403989137</v>
      </c>
      <c r="I56" s="2">
        <f t="shared" si="3"/>
        <v>1720.6490524269527</v>
      </c>
      <c r="J56" s="1">
        <f t="shared" si="8"/>
        <v>318.15000000000032</v>
      </c>
      <c r="K56" s="1">
        <f t="shared" si="4"/>
        <v>0.93962715066585456</v>
      </c>
      <c r="L56" s="1">
        <f t="shared" si="5"/>
        <v>298.94237798434193</v>
      </c>
      <c r="M56" s="1">
        <f t="shared" si="6"/>
        <v>2715.5071447461919</v>
      </c>
      <c r="N56" s="1">
        <f>$L56*'TABELA AUXILIAR'!$I$3*(B56-A56)</f>
        <v>674.41400473267686</v>
      </c>
      <c r="O56" s="1">
        <f>$L56*'TABELA AUXILIAR'!$I$4*(B56-A56)</f>
        <v>731.81094130567089</v>
      </c>
      <c r="P56" s="1">
        <f>$L56*'TABELA AUXILIAR'!$I$5*(B56-A56)</f>
        <v>844.81116018375224</v>
      </c>
      <c r="Q56" s="1">
        <f>$M56*'TABELA AUXILIAR'!$J$3+SUM(N$2:N56)</f>
        <v>25610.500419041477</v>
      </c>
      <c r="R56" s="1">
        <f>$M56*'TABELA AUXILIAR'!$J$4+SUM(O$2:O56)</f>
        <v>28044.912933605236</v>
      </c>
      <c r="S56" s="1">
        <f>$M56*'TABELA AUXILIAR'!$J$5+SUM(P$2:P56)</f>
        <v>33016.716324009336</v>
      </c>
      <c r="T56" s="2">
        <f t="shared" si="7"/>
        <v>12805</v>
      </c>
      <c r="U56" s="2">
        <f t="shared" si="7"/>
        <v>14022</v>
      </c>
      <c r="V56" s="2">
        <f t="shared" si="7"/>
        <v>16508</v>
      </c>
    </row>
    <row r="57" spans="1:22" x14ac:dyDescent="0.25">
      <c r="A57" s="1">
        <v>33</v>
      </c>
      <c r="B57" s="1">
        <v>33.6</v>
      </c>
      <c r="C57" s="1">
        <v>50</v>
      </c>
      <c r="D57" s="1" t="s">
        <v>18</v>
      </c>
      <c r="E57" s="1" t="s">
        <v>2</v>
      </c>
      <c r="F57" s="1" cm="1">
        <f t="array" ref="F57">_xlfn.XLOOKUP(D57,'TABELA AUXILIAR'!$A$2:$A$5,IF('SPT-02'!A57&lt;3,'TABELA AUXILIAR'!$B$2:$B$5,'TABELA AUXILIAR'!$C$2:$C$5),"",0,1)</f>
        <v>8.5</v>
      </c>
      <c r="G57" s="6">
        <f t="shared" si="1"/>
        <v>89.317086576927338</v>
      </c>
      <c r="H57" s="2">
        <f t="shared" si="2"/>
        <v>43.13052403989137</v>
      </c>
      <c r="I57" s="2">
        <f t="shared" si="3"/>
        <v>1731.6293652589836</v>
      </c>
      <c r="J57" s="1">
        <f t="shared" si="8"/>
        <v>323.25000000000034</v>
      </c>
      <c r="K57" s="1">
        <f t="shared" si="4"/>
        <v>0.93351754366772521</v>
      </c>
      <c r="L57" s="1">
        <f t="shared" si="5"/>
        <v>301.75954599059247</v>
      </c>
      <c r="M57" s="1">
        <f t="shared" si="6"/>
        <v>2741.5420618113026</v>
      </c>
      <c r="N57" s="1">
        <f>$L57*'TABELA AUXILIAR'!$I$3*(B57-A57)</f>
        <v>680.76953575477819</v>
      </c>
      <c r="O57" s="1">
        <f>$L57*'TABELA AUXILIAR'!$I$4*(B57-A57)</f>
        <v>738.70736858497207</v>
      </c>
      <c r="P57" s="1">
        <f>$L57*'TABELA AUXILIAR'!$I$5*(B57-A57)</f>
        <v>852.77247696941629</v>
      </c>
      <c r="Q57" s="1">
        <f>$M57*'TABELA AUXILIAR'!$J$3+SUM(N$2:N57)</f>
        <v>26320.689411079831</v>
      </c>
      <c r="R57" s="1">
        <f>$M57*'TABELA AUXILIAR'!$J$4+SUM(O$2:O57)</f>
        <v>28817.986392716157</v>
      </c>
      <c r="S57" s="1">
        <f>$M57*'TABELA AUXILIAR'!$J$5+SUM(P$2:P57)</f>
        <v>33915.310255013348</v>
      </c>
      <c r="T57" s="2">
        <f t="shared" si="7"/>
        <v>13160</v>
      </c>
      <c r="U57" s="2">
        <f t="shared" si="7"/>
        <v>14408</v>
      </c>
      <c r="V57" s="2">
        <f t="shared" si="7"/>
        <v>16957</v>
      </c>
    </row>
    <row r="58" spans="1:22" x14ac:dyDescent="0.25">
      <c r="A58" s="1">
        <v>33.6</v>
      </c>
      <c r="B58" s="1">
        <v>34.200000000000003</v>
      </c>
      <c r="C58" s="1">
        <v>50</v>
      </c>
      <c r="D58" s="1" t="s">
        <v>18</v>
      </c>
      <c r="E58" s="1" t="s">
        <v>2</v>
      </c>
      <c r="F58" s="1" cm="1">
        <f t="array" ref="F58">_xlfn.XLOOKUP(D58,'TABELA AUXILIAR'!$A$2:$A$5,IF('SPT-02'!A58&lt;3,'TABELA AUXILIAR'!$B$2:$B$5,'TABELA AUXILIAR'!$C$2:$C$5),"",0,1)</f>
        <v>8.5</v>
      </c>
      <c r="G58" s="6">
        <f t="shared" si="1"/>
        <v>90.018918709167068</v>
      </c>
      <c r="H58" s="2">
        <f t="shared" si="2"/>
        <v>43.13052403989137</v>
      </c>
      <c r="I58" s="2">
        <f t="shared" si="3"/>
        <v>1742.5062194072357</v>
      </c>
      <c r="J58" s="1">
        <f t="shared" si="8"/>
        <v>328.35000000000036</v>
      </c>
      <c r="K58" s="1">
        <f t="shared" si="4"/>
        <v>0.92754237803344797</v>
      </c>
      <c r="L58" s="1">
        <f t="shared" si="5"/>
        <v>304.55853982728297</v>
      </c>
      <c r="M58" s="1">
        <f t="shared" si="6"/>
        <v>2767.4131842263914</v>
      </c>
      <c r="N58" s="1">
        <f>$L58*'TABELA AUXILIAR'!$I$3*(B58-A58)</f>
        <v>687.08406585035198</v>
      </c>
      <c r="O58" s="1">
        <f>$L58*'TABELA AUXILIAR'!$I$4*(B58-A58)</f>
        <v>745.55930549719051</v>
      </c>
      <c r="P58" s="1">
        <f>$L58*'TABELA AUXILIAR'!$I$5*(B58-A58)</f>
        <v>860.68243355190361</v>
      </c>
      <c r="Q58" s="1">
        <f>$M58*'TABELA AUXILIAR'!$J$3+SUM(N$2:N58)</f>
        <v>27037.007845259232</v>
      </c>
      <c r="R58" s="1">
        <f>$M58*'TABELA AUXILIAR'!$J$4+SUM(O$2:O58)</f>
        <v>29597.695579801264</v>
      </c>
      <c r="S58" s="1">
        <f>$M58*'TABELA AUXILIAR'!$J$5+SUM(P$2:P58)</f>
        <v>34821.525864015806</v>
      </c>
      <c r="T58" s="2">
        <f t="shared" si="7"/>
        <v>13518</v>
      </c>
      <c r="U58" s="2">
        <f t="shared" si="7"/>
        <v>14798</v>
      </c>
      <c r="V58" s="2">
        <f t="shared" si="7"/>
        <v>17410</v>
      </c>
    </row>
    <row r="59" spans="1:22" x14ac:dyDescent="0.25">
      <c r="A59" s="1">
        <v>34.200000000000003</v>
      </c>
      <c r="B59" s="1">
        <v>34.799999999999997</v>
      </c>
      <c r="C59" s="1">
        <v>50</v>
      </c>
      <c r="D59" s="1" t="s">
        <v>18</v>
      </c>
      <c r="E59" s="1" t="s">
        <v>2</v>
      </c>
      <c r="F59" s="1" cm="1">
        <f t="array" ref="F59">_xlfn.XLOOKUP(D59,'TABELA AUXILIAR'!$A$2:$A$5,IF('SPT-02'!A59&lt;3,'TABELA AUXILIAR'!$B$2:$B$5,'TABELA AUXILIAR'!$C$2:$C$5),"",0,1)</f>
        <v>8.5</v>
      </c>
      <c r="G59" s="6">
        <f t="shared" si="1"/>
        <v>90.715321178646136</v>
      </c>
      <c r="H59" s="2">
        <f t="shared" si="2"/>
        <v>43.13052403989137</v>
      </c>
      <c r="I59" s="2">
        <f t="shared" si="3"/>
        <v>1753.2821742413207</v>
      </c>
      <c r="J59" s="1">
        <f t="shared" si="8"/>
        <v>333.45000000000033</v>
      </c>
      <c r="K59" s="1">
        <f t="shared" si="4"/>
        <v>0.92169667517945919</v>
      </c>
      <c r="L59" s="1">
        <f t="shared" si="5"/>
        <v>307.33975633859097</v>
      </c>
      <c r="M59" s="1">
        <f t="shared" si="6"/>
        <v>2793.1240629661406</v>
      </c>
      <c r="N59" s="1">
        <f>$L59*'TABELA AUXILIAR'!$I$3*(B59-A59)</f>
        <v>693.35849029985457</v>
      </c>
      <c r="O59" s="1">
        <f>$L59*'TABELA AUXILIAR'!$I$4*(B59-A59)</f>
        <v>752.36772351686363</v>
      </c>
      <c r="P59" s="1">
        <f>$L59*'TABELA AUXILIAR'!$I$5*(B59-A59)</f>
        <v>868.54215141284976</v>
      </c>
      <c r="Q59" s="1">
        <f>$M59*'TABELA AUXILIAR'!$J$3+SUM(N$2:N59)</f>
        <v>27759.419628535004</v>
      </c>
      <c r="R59" s="1">
        <f>$M59*'TABELA AUXILIAR'!$J$4+SUM(O$2:O59)</f>
        <v>30384.001663254596</v>
      </c>
      <c r="S59" s="1">
        <f>$M59*'TABELA AUXILIAR'!$J$5+SUM(P$2:P59)</f>
        <v>35735.319162010615</v>
      </c>
      <c r="T59" s="2">
        <f t="shared" si="7"/>
        <v>13879</v>
      </c>
      <c r="U59" s="2">
        <f t="shared" si="7"/>
        <v>15192</v>
      </c>
      <c r="V59" s="2">
        <f t="shared" si="7"/>
        <v>17867</v>
      </c>
    </row>
    <row r="60" spans="1:22" x14ac:dyDescent="0.25">
      <c r="A60" s="1">
        <v>34.799999999999997</v>
      </c>
      <c r="B60" s="1">
        <v>35.4</v>
      </c>
      <c r="C60" s="1">
        <v>40</v>
      </c>
      <c r="D60" s="1" t="s">
        <v>18</v>
      </c>
      <c r="E60" s="1" t="s">
        <v>2</v>
      </c>
      <c r="F60" s="1" cm="1">
        <f t="array" ref="F60">_xlfn.XLOOKUP(D60,'TABELA AUXILIAR'!$A$2:$A$5,IF('SPT-02'!A60&lt;3,'TABELA AUXILIAR'!$B$2:$B$5,'TABELA AUXILIAR'!$C$2:$C$5),"",0,1)</f>
        <v>8.5</v>
      </c>
      <c r="G60" s="6">
        <f t="shared" si="1"/>
        <v>73.125134469717182</v>
      </c>
      <c r="H60" s="2">
        <f t="shared" si="2"/>
        <v>42.238951920217254</v>
      </c>
      <c r="I60" s="2">
        <f t="shared" si="3"/>
        <v>1475.5728150001678</v>
      </c>
      <c r="J60" s="1">
        <f t="shared" si="8"/>
        <v>338.5500000000003</v>
      </c>
      <c r="K60" s="1">
        <f t="shared" si="4"/>
        <v>0.80063325591507251</v>
      </c>
      <c r="L60" s="1">
        <f t="shared" si="5"/>
        <v>271.05438879004805</v>
      </c>
      <c r="M60" s="1">
        <f t="shared" si="6"/>
        <v>2357.8570618356207</v>
      </c>
      <c r="N60" s="1">
        <f>$L60*'TABELA AUXILIAR'!$I$3*(B60-A60)</f>
        <v>611.49870111034977</v>
      </c>
      <c r="O60" s="1">
        <f>$L60*'TABELA AUXILIAR'!$I$4*(B60-A60)</f>
        <v>663.5411437580392</v>
      </c>
      <c r="P60" s="1">
        <f>$L60*'TABELA AUXILIAR'!$I$5*(B60-A60)</f>
        <v>765.99970272067765</v>
      </c>
      <c r="Q60" s="1">
        <f>$M60*'TABELA AUXILIAR'!$J$3+SUM(N$2:N60)</f>
        <v>27879.06661836787</v>
      </c>
      <c r="R60" s="1">
        <f>$M60*'TABELA AUXILIAR'!$J$4+SUM(O$2:O60)</f>
        <v>30472.990365520352</v>
      </c>
      <c r="S60" s="1">
        <f>$M60*'TABELA AUXILIAR'!$J$5+SUM(P$2:P60)</f>
        <v>35735.248942741579</v>
      </c>
      <c r="T60" s="2">
        <f t="shared" si="7"/>
        <v>13939</v>
      </c>
      <c r="U60" s="2">
        <f t="shared" si="7"/>
        <v>15236</v>
      </c>
      <c r="V60" s="2">
        <f t="shared" si="7"/>
        <v>17867</v>
      </c>
    </row>
    <row r="61" spans="1:22" x14ac:dyDescent="0.25">
      <c r="A61" s="1">
        <v>35.4</v>
      </c>
      <c r="B61" s="1">
        <v>36</v>
      </c>
      <c r="C61" s="1">
        <v>50</v>
      </c>
      <c r="D61" s="1" t="s">
        <v>18</v>
      </c>
      <c r="E61" s="1" t="s">
        <v>2</v>
      </c>
      <c r="F61" s="1" cm="1">
        <f t="array" ref="F61">_xlfn.XLOOKUP(D61,'TABELA AUXILIAR'!$A$2:$A$5,IF('SPT-02'!A61&lt;3,'TABELA AUXILIAR'!$B$2:$B$5,'TABELA AUXILIAR'!$C$2:$C$5),"",0,1)</f>
        <v>8.5</v>
      </c>
      <c r="G61" s="6">
        <f t="shared" si="1"/>
        <v>92.092328879768885</v>
      </c>
      <c r="H61" s="2">
        <f t="shared" si="2"/>
        <v>43.13052403989137</v>
      </c>
      <c r="I61" s="2">
        <f t="shared" si="3"/>
        <v>1774.5411223096253</v>
      </c>
      <c r="J61" s="1">
        <f t="shared" si="8"/>
        <v>343.65000000000032</v>
      </c>
      <c r="K61" s="1">
        <f t="shared" si="4"/>
        <v>0.9103750111600859</v>
      </c>
      <c r="L61" s="1">
        <f t="shared" si="5"/>
        <v>312.85037258516383</v>
      </c>
      <c r="M61" s="1">
        <f t="shared" si="6"/>
        <v>2844.078650142626</v>
      </c>
      <c r="N61" s="1">
        <f>$L61*'TABELA AUXILIAR'!$I$3*(B61-A61)</f>
        <v>705.79044055213126</v>
      </c>
      <c r="O61" s="1">
        <f>$L61*'TABELA AUXILIAR'!$I$4*(B61-A61)</f>
        <v>765.8577120884828</v>
      </c>
      <c r="P61" s="1">
        <f>$L61*'TABELA AUXILIAR'!$I$5*(B61-A61)</f>
        <v>884.11515292567503</v>
      </c>
      <c r="Q61" s="1">
        <f>$M61*'TABELA AUXILIAR'!$J$3+SUM(N$2:N61)</f>
        <v>29134.287453706915</v>
      </c>
      <c r="R61" s="1">
        <f>$M61*'TABELA AUXILIAR'!$J$4+SUM(O$2:O61)</f>
        <v>31880.660574174082</v>
      </c>
      <c r="S61" s="1">
        <f>$M61*'TABELA AUXILIAR'!$J$5+SUM(P$2:P61)</f>
        <v>37475.114091087584</v>
      </c>
      <c r="T61" s="2">
        <f t="shared" si="7"/>
        <v>14567</v>
      </c>
      <c r="U61" s="2">
        <f t="shared" si="7"/>
        <v>15940</v>
      </c>
      <c r="V61" s="2">
        <f t="shared" si="7"/>
        <v>18737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18</v>
      </c>
      <c r="E62" s="1" t="s">
        <v>2</v>
      </c>
      <c r="F62" s="1" cm="1">
        <f t="array" ref="F62">_xlfn.XLOOKUP(D62,'TABELA AUXILIAR'!$A$2:$A$5,IF('SPT-02'!A62&lt;3,'TABELA AUXILIAR'!$B$2:$B$5,'TABELA AUXILIAR'!$C$2:$C$5),"",0,1)</f>
        <v>8.5</v>
      </c>
      <c r="G62" s="6">
        <f t="shared" si="1"/>
        <v>92.773168585948454</v>
      </c>
      <c r="H62" s="2">
        <f t="shared" si="2"/>
        <v>43.13052403989137</v>
      </c>
      <c r="I62" s="2">
        <f t="shared" si="3"/>
        <v>1785.0287491876131</v>
      </c>
      <c r="J62" s="1">
        <f t="shared" si="8"/>
        <v>348.75000000000034</v>
      </c>
      <c r="K62" s="1">
        <f t="shared" si="4"/>
        <v>0.90489031118149121</v>
      </c>
      <c r="L62" s="1">
        <f t="shared" si="5"/>
        <v>315.58049602454537</v>
      </c>
      <c r="M62" s="1">
        <f t="shared" si="6"/>
        <v>2869.3288368329686</v>
      </c>
      <c r="N62" s="1">
        <f>$L62*'TABELA AUXILIAR'!$I$3*(B62-A62)</f>
        <v>711.94959903137601</v>
      </c>
      <c r="O62" s="1">
        <f>$L62*'TABELA AUXILIAR'!$I$4*(B62-A62)</f>
        <v>772.54105426808894</v>
      </c>
      <c r="P62" s="1">
        <f>$L62*'TABELA AUXILIAR'!$I$5*(B62-A62)</f>
        <v>891.83048176536727</v>
      </c>
      <c r="Q62" s="1">
        <f>$M62*'TABELA AUXILIAR'!$J$3+SUM(N$2:N62)</f>
        <v>29874.769763698379</v>
      </c>
      <c r="R62" s="1">
        <f>$M62*'TABELA AUXILIAR'!$J$4+SUM(O$2:O62)</f>
        <v>32686.531874873421</v>
      </c>
      <c r="S62" s="1">
        <f>$M62*'TABELA AUXILIAR'!$J$5+SUM(P$2:P62)</f>
        <v>38411.384901427955</v>
      </c>
      <c r="T62" s="2">
        <f t="shared" si="7"/>
        <v>14937</v>
      </c>
      <c r="U62" s="2">
        <f t="shared" si="7"/>
        <v>16343</v>
      </c>
      <c r="V62" s="2">
        <f t="shared" si="7"/>
        <v>19205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18</v>
      </c>
      <c r="E63" s="1" t="s">
        <v>2</v>
      </c>
      <c r="F63" s="1" cm="1">
        <f t="array" ref="F63">_xlfn.XLOOKUP(D63,'TABELA AUXILIAR'!$A$2:$A$5,IF('SPT-02'!A63&lt;3,'TABELA AUXILIAR'!$B$2:$B$5,'TABELA AUXILIAR'!$C$2:$C$5),"",0,1)</f>
        <v>8.5</v>
      </c>
      <c r="G63" s="6">
        <f t="shared" si="1"/>
        <v>93.449048044665005</v>
      </c>
      <c r="H63" s="2">
        <f t="shared" si="2"/>
        <v>43.13052403989137</v>
      </c>
      <c r="I63" s="2">
        <f t="shared" si="3"/>
        <v>1795.4247538951624</v>
      </c>
      <c r="J63" s="1">
        <f t="shared" si="8"/>
        <v>353.85000000000036</v>
      </c>
      <c r="K63" s="1">
        <f t="shared" si="4"/>
        <v>0.89951756647857606</v>
      </c>
      <c r="L63" s="1">
        <f t="shared" si="5"/>
        <v>318.29429089844444</v>
      </c>
      <c r="M63" s="1">
        <f t="shared" si="6"/>
        <v>2894.4317483673849</v>
      </c>
      <c r="N63" s="1">
        <f>$L63*'TABELA AUXILIAR'!$I$3*(B63-A63)</f>
        <v>718.07192026689233</v>
      </c>
      <c r="O63" s="1">
        <f>$L63*'TABELA AUXILIAR'!$I$4*(B63-A63)</f>
        <v>779.18442411939384</v>
      </c>
      <c r="P63" s="1">
        <f>$L63*'TABELA AUXILIAR'!$I$5*(B63-A63)</f>
        <v>899.49966607900615</v>
      </c>
      <c r="Q63" s="1">
        <f>$M63*'TABELA AUXILIAR'!$J$3+SUM(N$2:N63)</f>
        <v>30621.20797399916</v>
      </c>
      <c r="R63" s="1">
        <f>$M63*'TABELA AUXILIAR'!$J$4+SUM(O$2:O63)</f>
        <v>33498.852142218246</v>
      </c>
      <c r="S63" s="1">
        <f>$M63*'TABELA AUXILIAR'!$J$5+SUM(P$2:P63)</f>
        <v>39355.065691807526</v>
      </c>
      <c r="T63" s="2">
        <f t="shared" si="7"/>
        <v>15310</v>
      </c>
      <c r="U63" s="2">
        <f t="shared" si="7"/>
        <v>16749</v>
      </c>
      <c r="V63" s="2">
        <f t="shared" si="7"/>
        <v>19677</v>
      </c>
    </row>
    <row r="64" spans="1:22" x14ac:dyDescent="0.25">
      <c r="A64" s="1">
        <v>37.200000000000003</v>
      </c>
      <c r="B64" s="1">
        <v>37.799999999999997</v>
      </c>
      <c r="C64" s="1">
        <v>28</v>
      </c>
      <c r="D64" s="1" t="s">
        <v>18</v>
      </c>
      <c r="E64" s="1" t="s">
        <v>2</v>
      </c>
      <c r="F64" s="1" cm="1">
        <f t="array" ref="F64">_xlfn.XLOOKUP(D64,'TABELA AUXILIAR'!$A$2:$A$5,IF('SPT-02'!A64&lt;3,'TABELA AUXILIAR'!$B$2:$B$5,'TABELA AUXILIAR'!$C$2:$C$5),"",0,1)</f>
        <v>8.5</v>
      </c>
      <c r="G64" s="6">
        <f t="shared" si="1"/>
        <v>52.707241504454458</v>
      </c>
      <c r="H64" s="2">
        <f t="shared" si="2"/>
        <v>40.813853888348419</v>
      </c>
      <c r="I64" s="2">
        <f t="shared" si="3"/>
        <v>1135.5428662501076</v>
      </c>
      <c r="J64" s="1">
        <f t="shared" si="8"/>
        <v>358.95000000000033</v>
      </c>
      <c r="K64" s="1">
        <f t="shared" si="4"/>
        <v>0.63503558274450367</v>
      </c>
      <c r="L64" s="1">
        <f t="shared" si="5"/>
        <v>227.94602242613979</v>
      </c>
      <c r="M64" s="1">
        <f t="shared" si="6"/>
        <v>1835.8728085156968</v>
      </c>
      <c r="N64" s="1">
        <f>$L64*'TABELA AUXILIAR'!$I$3*(B64-A64)</f>
        <v>514.24622659336649</v>
      </c>
      <c r="O64" s="1">
        <f>$L64*'TABELA AUXILIAR'!$I$4*(B64-A64)</f>
        <v>558.01186289918496</v>
      </c>
      <c r="P64" s="1">
        <f>$L64*'TABELA AUXILIAR'!$I$5*(B64-A64)</f>
        <v>644.17545937626494</v>
      </c>
      <c r="Q64" s="1">
        <f>$M64*'TABELA AUXILIAR'!$J$3+SUM(N$2:N64)</f>
        <v>29939.282598560119</v>
      </c>
      <c r="R64" s="1">
        <f>$M64*'TABELA AUXILIAR'!$J$4+SUM(O$2:O64)</f>
        <v>32659.566204513201</v>
      </c>
      <c r="S64" s="1">
        <f>$M64*'TABELA AUXILIAR'!$J$5+SUM(P$2:P64)</f>
        <v>38136.177417044826</v>
      </c>
      <c r="T64" s="2">
        <f t="shared" si="7"/>
        <v>14969</v>
      </c>
      <c r="U64" s="2">
        <f t="shared" si="7"/>
        <v>16329</v>
      </c>
      <c r="V64" s="2">
        <f t="shared" si="7"/>
        <v>19068</v>
      </c>
    </row>
    <row r="65" spans="1:22" x14ac:dyDescent="0.25">
      <c r="A65" s="1">
        <v>37.799999999999997</v>
      </c>
      <c r="B65" s="1">
        <v>38.4</v>
      </c>
      <c r="C65" s="1">
        <v>50</v>
      </c>
      <c r="D65" s="1" t="s">
        <v>18</v>
      </c>
      <c r="E65" s="1" t="s">
        <v>2</v>
      </c>
      <c r="F65" s="1" cm="1">
        <f t="array" ref="F65">_xlfn.XLOOKUP(D65,'TABELA AUXILIAR'!$A$2:$A$5,IF('SPT-02'!A65&lt;3,'TABELA AUXILIAR'!$B$2:$B$5,'TABELA AUXILIAR'!$C$2:$C$5),"",0,1)</f>
        <v>8.5</v>
      </c>
      <c r="G65" s="6">
        <f t="shared" si="1"/>
        <v>94.786349873854164</v>
      </c>
      <c r="H65" s="2">
        <f t="shared" si="2"/>
        <v>43.13052403989137</v>
      </c>
      <c r="I65" s="2">
        <f t="shared" si="3"/>
        <v>1815.9502350039295</v>
      </c>
      <c r="J65" s="1">
        <f t="shared" si="8"/>
        <v>364.0500000000003</v>
      </c>
      <c r="K65" s="1">
        <f t="shared" si="4"/>
        <v>0.88909272720389265</v>
      </c>
      <c r="L65" s="1">
        <f t="shared" si="5"/>
        <v>323.67420733857739</v>
      </c>
      <c r="M65" s="1">
        <f t="shared" si="6"/>
        <v>2944.2074987177152</v>
      </c>
      <c r="N65" s="1">
        <f>$L65*'TABELA AUXILIAR'!$I$3*(B65-A65)</f>
        <v>730.20901175583231</v>
      </c>
      <c r="O65" s="1">
        <f>$L65*'TABELA AUXILIAR'!$I$4*(B65-A65)</f>
        <v>792.35445956483943</v>
      </c>
      <c r="P65" s="1">
        <f>$L65*'TABELA AUXILIAR'!$I$5*(B65-A65)</f>
        <v>914.70330993882192</v>
      </c>
      <c r="Q65" s="1">
        <f>$M65*'TABELA AUXILIAR'!$J$3+SUM(N$2:N65)</f>
        <v>31921.909810244233</v>
      </c>
      <c r="R65" s="1">
        <f>$M65*'TABELA AUXILIAR'!$J$4+SUM(O$2:O65)</f>
        <v>34914.922455144704</v>
      </c>
      <c r="S65" s="1">
        <f>$M65*'TABELA AUXILIAR'!$J$5+SUM(P$2:P65)</f>
        <v>41001.549781739202</v>
      </c>
      <c r="T65" s="2">
        <f t="shared" si="7"/>
        <v>15960</v>
      </c>
      <c r="U65" s="2">
        <f t="shared" si="7"/>
        <v>17457</v>
      </c>
      <c r="V65" s="2">
        <f t="shared" si="7"/>
        <v>20500</v>
      </c>
    </row>
    <row r="66" spans="1:22" x14ac:dyDescent="0.25">
      <c r="A66" s="1">
        <v>38.4</v>
      </c>
      <c r="B66" s="1">
        <v>39</v>
      </c>
      <c r="C66" s="1">
        <v>50</v>
      </c>
      <c r="D66" s="1" t="s">
        <v>18</v>
      </c>
      <c r="E66" s="1" t="s">
        <v>2</v>
      </c>
      <c r="F66" s="1" cm="1">
        <f t="array" ref="F66">_xlfn.XLOOKUP(D66,'TABELA AUXILIAR'!$A$2:$A$5,IF('SPT-02'!A66&lt;3,'TABELA AUXILIAR'!$B$2:$B$5,'TABELA AUXILIAR'!$C$2:$C$5),"",0,1)</f>
        <v>8.5</v>
      </c>
      <c r="G66" s="6">
        <f t="shared" si="1"/>
        <v>95.447974799814318</v>
      </c>
      <c r="H66" s="2">
        <f t="shared" si="2"/>
        <v>43.13052403989137</v>
      </c>
      <c r="I66" s="2">
        <f t="shared" si="3"/>
        <v>1826.0836909022771</v>
      </c>
      <c r="J66" s="1">
        <f t="shared" si="8"/>
        <v>369.15000000000032</v>
      </c>
      <c r="K66" s="1">
        <f t="shared" si="4"/>
        <v>0.8840334752451432</v>
      </c>
      <c r="L66" s="1">
        <f t="shared" si="5"/>
        <v>326.34095738674489</v>
      </c>
      <c r="M66" s="1">
        <f t="shared" si="6"/>
        <v>2968.8859667636434</v>
      </c>
      <c r="N66" s="1">
        <f>$L66*'TABELA AUXILIAR'!$I$3*(B66-A66)</f>
        <v>736.22519986449822</v>
      </c>
      <c r="O66" s="1">
        <f>$L66*'TABELA AUXILIAR'!$I$4*(B66-A66)</f>
        <v>798.88266368275333</v>
      </c>
      <c r="P66" s="1">
        <f>$L66*'TABELA AUXILIAR'!$I$5*(B66-A66)</f>
        <v>922.23954557494324</v>
      </c>
      <c r="Q66" s="1">
        <f>$M66*'TABELA AUXILIAR'!$J$3+SUM(N$2:N66)</f>
        <v>32686.021679000631</v>
      </c>
      <c r="R66" s="1">
        <f>$M66*'TABELA AUXILIAR'!$J$4+SUM(O$2:O66)</f>
        <v>35746.380696648084</v>
      </c>
      <c r="S66" s="1">
        <f>$M66*'TABELA AUXILIAR'!$J$5+SUM(P$2:P66)</f>
        <v>41967.223431074977</v>
      </c>
      <c r="T66" s="2">
        <f t="shared" si="7"/>
        <v>16343</v>
      </c>
      <c r="U66" s="2">
        <f t="shared" si="7"/>
        <v>17873</v>
      </c>
      <c r="V66" s="2">
        <f t="shared" si="7"/>
        <v>20983</v>
      </c>
    </row>
    <row r="67" spans="1:22" x14ac:dyDescent="0.25">
      <c r="A67" s="1">
        <v>39</v>
      </c>
      <c r="B67" s="1">
        <v>39.6</v>
      </c>
      <c r="C67" s="1">
        <v>50</v>
      </c>
      <c r="D67" s="1" t="s">
        <v>18</v>
      </c>
      <c r="E67" s="1" t="s">
        <v>2</v>
      </c>
      <c r="F67" s="1" cm="1">
        <f t="array" ref="F67">_xlfn.XLOOKUP(D67,'TABELA AUXILIAR'!$A$2:$A$5,IF('SPT-02'!A67&lt;3,'TABELA AUXILIAR'!$B$2:$B$5,'TABELA AUXILIAR'!$C$2:$C$5),"",0,1)</f>
        <v>8.5</v>
      </c>
      <c r="G67" s="6">
        <f t="shared" ref="G67:G75" si="9">C67 / MIN(2, SQRT(101.3/J67))</f>
        <v>96.105044947511914</v>
      </c>
      <c r="H67" s="2">
        <f t="shared" ref="H67:H75" si="10">27.5+9.2*LOG10(C67)</f>
        <v>43.13052403989137</v>
      </c>
      <c r="I67" s="2">
        <f t="shared" ref="I67:I75" si="11">IF(D67="Areias",101.3*0.47*(G67)^0.8,101.3*0.15*(G67))</f>
        <v>1836.1334911532251</v>
      </c>
      <c r="J67" s="1">
        <f t="shared" si="8"/>
        <v>374.25000000000034</v>
      </c>
      <c r="K67" s="1">
        <f t="shared" ref="K67:K75" si="12">(1-SIN(RADIANS(H67)))*(I67/J67)^SIN(RADIANS(H67))*TAN(RADIANS(H67))</f>
        <v>0.87907184202359889</v>
      </c>
      <c r="L67" s="1">
        <f t="shared" ref="L67:L75" si="13">K67*J67</f>
        <v>328.99263687733219</v>
      </c>
      <c r="M67" s="1">
        <f t="shared" ref="M67:M75" si="14">0.59*(G67*101.3/J67)^0.8*J67</f>
        <v>2993.4284273975022</v>
      </c>
      <c r="N67" s="1">
        <f>$L67*'TABELA AUXILIAR'!$I$3*(B67-A67)</f>
        <v>742.20738879526311</v>
      </c>
      <c r="O67" s="1">
        <f>$L67*'TABELA AUXILIAR'!$I$4*(B67-A67)</f>
        <v>805.3739750757112</v>
      </c>
      <c r="P67" s="1">
        <f>$L67*'TABELA AUXILIAR'!$I$5*(B67-A67)</f>
        <v>929.73319181534305</v>
      </c>
      <c r="Q67" s="1">
        <f>$M67*'TABELA AUXILIAR'!$J$3+SUM(N$2:N67)</f>
        <v>33455.962048312154</v>
      </c>
      <c r="R67" s="1">
        <f>$M67*'TABELA AUXILIAR'!$J$4+SUM(O$2:O67)</f>
        <v>36584.150719760488</v>
      </c>
      <c r="S67" s="1">
        <f>$M67*'TABELA AUXILIAR'!$J$5+SUM(P$2:P67)</f>
        <v>42940.151353605906</v>
      </c>
      <c r="T67" s="2">
        <f t="shared" ref="T67:V75" si="15">ROUNDDOWN(Q67/2,0)</f>
        <v>16727</v>
      </c>
      <c r="U67" s="2">
        <f t="shared" si="15"/>
        <v>18292</v>
      </c>
      <c r="V67" s="2">
        <f t="shared" si="15"/>
        <v>21470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18</v>
      </c>
      <c r="E68" s="1" t="s">
        <v>2</v>
      </c>
      <c r="F68" s="1" cm="1">
        <f t="array" ref="F68">_xlfn.XLOOKUP(D68,'TABELA AUXILIAR'!$A$2:$A$5,IF('SPT-02'!A68&lt;3,'TABELA AUXILIAR'!$B$2:$B$5,'TABELA AUXILIAR'!$C$2:$C$5),"",0,1)</f>
        <v>8.5</v>
      </c>
      <c r="G68" s="6">
        <f t="shared" si="9"/>
        <v>96.75765310992503</v>
      </c>
      <c r="H68" s="2">
        <f t="shared" si="10"/>
        <v>43.13052403989137</v>
      </c>
      <c r="I68" s="2">
        <f t="shared" si="11"/>
        <v>1846.1014524278269</v>
      </c>
      <c r="J68" s="1">
        <f t="shared" ref="J68:J75" si="16">J67+(B67-A67)/2*F67+(B68-A68)/2*F68</f>
        <v>379.35000000000036</v>
      </c>
      <c r="K68" s="1">
        <f t="shared" si="12"/>
        <v>0.87420465172817219</v>
      </c>
      <c r="L68" s="1">
        <f t="shared" si="13"/>
        <v>331.62953463308241</v>
      </c>
      <c r="M68" s="1">
        <f t="shared" si="14"/>
        <v>3017.8374684917017</v>
      </c>
      <c r="N68" s="1">
        <f>$L68*'TABELA AUXILIAR'!$I$3*(B68-A68)</f>
        <v>748.15623013223569</v>
      </c>
      <c r="O68" s="1">
        <f>$L68*'TABELA AUXILIAR'!$I$4*(B68-A68)</f>
        <v>811.8291007817877</v>
      </c>
      <c r="P68" s="1">
        <f>$L68*'TABELA AUXILIAR'!$I$5*(B68-A68)</f>
        <v>937.18506487309321</v>
      </c>
      <c r="Q68" s="1">
        <f>$M68*'TABELA AUXILIAR'!$J$3+SUM(N$2:N68)</f>
        <v>34231.700494880839</v>
      </c>
      <c r="R68" s="1">
        <f>$M68*'TABELA AUXILIAR'!$J$4+SUM(O$2:O68)</f>
        <v>37428.199754786619</v>
      </c>
      <c r="S68" s="1">
        <f>$M68*'TABELA AUXILIAR'!$J$5+SUM(P$2:P68)</f>
        <v>43920.296330804791</v>
      </c>
      <c r="T68" s="2">
        <f t="shared" si="15"/>
        <v>17115</v>
      </c>
      <c r="U68" s="2">
        <f t="shared" si="15"/>
        <v>18714</v>
      </c>
      <c r="V68" s="2">
        <f t="shared" si="15"/>
        <v>21960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18</v>
      </c>
      <c r="E69" s="1" t="s">
        <v>2</v>
      </c>
      <c r="F69" s="1" cm="1">
        <f t="array" ref="F69">_xlfn.XLOOKUP(D69,'TABELA AUXILIAR'!$A$2:$A$5,IF('SPT-02'!A69&lt;3,'TABELA AUXILIAR'!$B$2:$B$5,'TABELA AUXILIAR'!$C$2:$C$5),"",0,1)</f>
        <v>8.5</v>
      </c>
      <c r="G69" s="6">
        <f t="shared" si="9"/>
        <v>97.405888971447084</v>
      </c>
      <c r="H69" s="2">
        <f t="shared" si="10"/>
        <v>43.13052403989137</v>
      </c>
      <c r="I69" s="2">
        <f t="shared" si="11"/>
        <v>1855.9893281464913</v>
      </c>
      <c r="J69" s="1">
        <f t="shared" si="16"/>
        <v>384.45000000000033</v>
      </c>
      <c r="K69" s="1">
        <f t="shared" si="12"/>
        <v>0.86942887278718206</v>
      </c>
      <c r="L69" s="1">
        <f t="shared" si="13"/>
        <v>334.25193014303244</v>
      </c>
      <c r="M69" s="1">
        <f t="shared" si="14"/>
        <v>3042.1155946360918</v>
      </c>
      <c r="N69" s="1">
        <f>$L69*'TABELA AUXILIAR'!$I$3*(B69-A69)</f>
        <v>754.07235440267402</v>
      </c>
      <c r="O69" s="1">
        <f>$L69*'TABELA AUXILIAR'!$I$4*(B69-A69)</f>
        <v>818.24872499013566</v>
      </c>
      <c r="P69" s="1">
        <f>$L69*'TABELA AUXILIAR'!$I$5*(B69-A69)</f>
        <v>944.59595458420074</v>
      </c>
      <c r="Q69" s="1">
        <f>$M69*'TABELA AUXILIAR'!$J$3+SUM(N$2:N69)</f>
        <v>35013.207131826668</v>
      </c>
      <c r="R69" s="1">
        <f>$M69*'TABELA AUXILIAR'!$J$4+SUM(O$2:O69)</f>
        <v>38278.495606287353</v>
      </c>
      <c r="S69" s="1">
        <f>$M69*'TABELA AUXILIAR'!$J$5+SUM(P$2:P69)</f>
        <v>44907.621787403114</v>
      </c>
      <c r="T69" s="2">
        <f t="shared" si="15"/>
        <v>17506</v>
      </c>
      <c r="U69" s="2">
        <f t="shared" si="15"/>
        <v>19139</v>
      </c>
      <c r="V69" s="2">
        <f t="shared" si="15"/>
        <v>22453</v>
      </c>
    </row>
    <row r="70" spans="1:22" x14ac:dyDescent="0.25">
      <c r="A70" s="1">
        <v>40.799999999999997</v>
      </c>
      <c r="B70" s="1">
        <v>41.4</v>
      </c>
      <c r="C70" s="1">
        <v>50</v>
      </c>
      <c r="D70" s="1" t="s">
        <v>18</v>
      </c>
      <c r="E70" s="1" t="s">
        <v>2</v>
      </c>
      <c r="F70" s="1" cm="1">
        <f t="array" ref="F70">_xlfn.XLOOKUP(D70,'TABELA AUXILIAR'!$A$2:$A$5,IF('SPT-02'!A70&lt;3,'TABELA AUXILIAR'!$B$2:$B$5,'TABELA AUXILIAR'!$C$2:$C$5),"",0,1)</f>
        <v>8.5</v>
      </c>
      <c r="G70" s="6">
        <f t="shared" si="9"/>
        <v>98.049839251755884</v>
      </c>
      <c r="H70" s="2">
        <f t="shared" si="10"/>
        <v>43.13052403989137</v>
      </c>
      <c r="I70" s="2">
        <f t="shared" si="11"/>
        <v>1865.7988114879295</v>
      </c>
      <c r="J70" s="1">
        <f t="shared" si="16"/>
        <v>389.5500000000003</v>
      </c>
      <c r="K70" s="1">
        <f t="shared" si="12"/>
        <v>0.8647416095075221</v>
      </c>
      <c r="L70" s="1">
        <f t="shared" si="13"/>
        <v>336.86009398365547</v>
      </c>
      <c r="M70" s="1">
        <f t="shared" si="14"/>
        <v>3066.2652308847651</v>
      </c>
      <c r="N70" s="1">
        <f>$L70*'TABELA AUXILIAR'!$I$3*(B70-A70)</f>
        <v>759.95637202712851</v>
      </c>
      <c r="O70" s="1">
        <f>$L70*'TABELA AUXILIAR'!$I$4*(B70-A70)</f>
        <v>824.6335100719906</v>
      </c>
      <c r="P70" s="1">
        <f>$L70*'TABELA AUXILIAR'!$I$5*(B70-A70)</f>
        <v>951.96662559781259</v>
      </c>
      <c r="Q70" s="1">
        <f>$M70*'TABELA AUXILIAR'!$J$3+SUM(N$2:N70)</f>
        <v>35800.4525928148</v>
      </c>
      <c r="R70" s="1">
        <f>$M70*'TABELA AUXILIAR'!$J$4+SUM(O$2:O70)</f>
        <v>39135.006636207589</v>
      </c>
      <c r="S70" s="1">
        <f>$M70*'TABELA AUXILIAR'!$J$5+SUM(P$2:P70)</f>
        <v>45902.091772798594</v>
      </c>
      <c r="T70" s="2">
        <f t="shared" si="15"/>
        <v>17900</v>
      </c>
      <c r="U70" s="2">
        <f t="shared" si="15"/>
        <v>19567</v>
      </c>
      <c r="V70" s="2">
        <f t="shared" si="15"/>
        <v>22951</v>
      </c>
    </row>
    <row r="71" spans="1:22" x14ac:dyDescent="0.25">
      <c r="A71" s="1">
        <v>41.4</v>
      </c>
      <c r="B71" s="1">
        <v>42</v>
      </c>
      <c r="C71" s="1">
        <v>34</v>
      </c>
      <c r="D71" s="1" t="s">
        <v>18</v>
      </c>
      <c r="E71" s="1" t="s">
        <v>6</v>
      </c>
      <c r="F71" s="1" cm="1">
        <f t="array" ref="F71">_xlfn.XLOOKUP(D71,'TABELA AUXILIAR'!$A$2:$A$5,IF('SPT-02'!A71&lt;3,'TABELA AUXILIAR'!$B$2:$B$5,'TABELA AUXILIAR'!$C$2:$C$5),"",0,1)</f>
        <v>8.5</v>
      </c>
      <c r="G71" s="6">
        <f t="shared" si="9"/>
        <v>67.108919732038515</v>
      </c>
      <c r="H71" s="2">
        <f t="shared" si="10"/>
        <v>41.589606036788744</v>
      </c>
      <c r="I71" s="2">
        <f t="shared" si="11"/>
        <v>1377.6265424142496</v>
      </c>
      <c r="J71" s="1">
        <f t="shared" si="16"/>
        <v>394.65000000000032</v>
      </c>
      <c r="K71" s="1">
        <f t="shared" si="12"/>
        <v>0.68418170654022359</v>
      </c>
      <c r="L71" s="1">
        <f t="shared" si="13"/>
        <v>270.01231048609947</v>
      </c>
      <c r="M71" s="1">
        <f t="shared" si="14"/>
        <v>2269.8971925063456</v>
      </c>
      <c r="N71" s="1">
        <f>$L71*'TABELA AUXILIAR'!$I$3*(B71-A71)</f>
        <v>609.14777245664175</v>
      </c>
      <c r="O71" s="1">
        <f>$L71*'TABELA AUXILIAR'!$I$4*(B71-A71)</f>
        <v>660.99013606997312</v>
      </c>
      <c r="P71" s="1">
        <f>$L71*'TABELA AUXILIAR'!$I$5*(B71-A71)</f>
        <v>763.05478943371884</v>
      </c>
      <c r="Q71" s="1">
        <f>$M71*'TABELA AUXILIAR'!$J$3+SUM(N$2:N71)</f>
        <v>35509.704481903827</v>
      </c>
      <c r="R71" s="1">
        <f>$M71*'TABELA AUXILIAR'!$J$4+SUM(O$2:O71)</f>
        <v>38744.790961618048</v>
      </c>
      <c r="S71" s="1">
        <f>$M71*'TABELA AUXILIAR'!$J$5+SUM(P$2:P71)</f>
        <v>45263.538814686297</v>
      </c>
      <c r="T71" s="2">
        <f t="shared" si="15"/>
        <v>17754</v>
      </c>
      <c r="U71" s="2">
        <f t="shared" si="15"/>
        <v>19372</v>
      </c>
      <c r="V71" s="2">
        <f t="shared" si="15"/>
        <v>22631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18</v>
      </c>
      <c r="E72" s="1" t="s">
        <v>6</v>
      </c>
      <c r="F72" s="1" cm="1">
        <f t="array" ref="F72">_xlfn.XLOOKUP(D72,'TABELA AUXILIAR'!$A$2:$A$5,IF('SPT-02'!A72&lt;3,'TABELA AUXILIAR'!$B$2:$B$5,'TABELA AUXILIAR'!$C$2:$C$5),"",0,1)</f>
        <v>8.5</v>
      </c>
      <c r="G72" s="6">
        <f t="shared" si="9"/>
        <v>99.325215928533282</v>
      </c>
      <c r="H72" s="2">
        <f t="shared" si="10"/>
        <v>43.13052403989137</v>
      </c>
      <c r="I72" s="2">
        <f t="shared" si="11"/>
        <v>1885.1890893485654</v>
      </c>
      <c r="J72" s="1">
        <f t="shared" si="16"/>
        <v>399.75000000000034</v>
      </c>
      <c r="K72" s="1">
        <f t="shared" si="12"/>
        <v>0.85562168044720144</v>
      </c>
      <c r="L72" s="1">
        <f t="shared" si="13"/>
        <v>342.03476675876908</v>
      </c>
      <c r="M72" s="1">
        <f t="shared" si="14"/>
        <v>3114.1883572210581</v>
      </c>
      <c r="N72" s="1">
        <f>$L72*'TABELA AUXILIAR'!$I$3*(B72-A72)</f>
        <v>771.63043380778481</v>
      </c>
      <c r="O72" s="1">
        <f>$L72*'TABELA AUXILIAR'!$I$4*(B72-A72)</f>
        <v>837.30110902546869</v>
      </c>
      <c r="P72" s="1">
        <f>$L72*'TABELA AUXILIAR'!$I$5*(B72-A72)</f>
        <v>966.59025086028373</v>
      </c>
      <c r="Q72" s="1">
        <f>$M72*'TABELA AUXILIAR'!$J$3+SUM(N$2:N72)</f>
        <v>37235.383931839235</v>
      </c>
      <c r="R72" s="1">
        <f>$M72*'TABELA AUXILIAR'!$J$4+SUM(O$2:O72)</f>
        <v>40696.556408066936</v>
      </c>
      <c r="S72" s="1">
        <f>$M72*'TABELA AUXILIAR'!$J$5+SUM(P$2:P72)</f>
        <v>47716.081515444472</v>
      </c>
      <c r="T72" s="2">
        <f t="shared" si="15"/>
        <v>18617</v>
      </c>
      <c r="U72" s="2">
        <f t="shared" si="15"/>
        <v>20348</v>
      </c>
      <c r="V72" s="2">
        <f t="shared" si="15"/>
        <v>23858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18</v>
      </c>
      <c r="E73" s="1" t="s">
        <v>6</v>
      </c>
      <c r="F73" s="1" cm="1">
        <f t="array" ref="F73">_xlfn.XLOOKUP(D73,'TABELA AUXILIAR'!$A$2:$A$5,IF('SPT-02'!A73&lt;3,'TABELA AUXILIAR'!$B$2:$B$5,'TABELA AUXILIAR'!$C$2:$C$5),"",0,1)</f>
        <v>8.5</v>
      </c>
      <c r="G73" s="6">
        <f t="shared" si="9"/>
        <v>99.956802120851478</v>
      </c>
      <c r="H73" s="2">
        <f t="shared" si="10"/>
        <v>43.13052403989137</v>
      </c>
      <c r="I73" s="2">
        <f t="shared" si="11"/>
        <v>1894.772993646942</v>
      </c>
      <c r="J73" s="1">
        <f t="shared" si="16"/>
        <v>404.85000000000036</v>
      </c>
      <c r="K73" s="1">
        <f t="shared" si="12"/>
        <v>0.85118383535662412</v>
      </c>
      <c r="L73" s="1">
        <f t="shared" si="13"/>
        <v>344.60177574412961</v>
      </c>
      <c r="M73" s="1">
        <f t="shared" si="14"/>
        <v>3137.9663305335862</v>
      </c>
      <c r="N73" s="1">
        <f>$L73*'TABELA AUXILIAR'!$I$3*(B73-A73)</f>
        <v>777.42160607875826</v>
      </c>
      <c r="O73" s="1">
        <f>$L73*'TABELA AUXILIAR'!$I$4*(B73-A73)</f>
        <v>843.58514702163131</v>
      </c>
      <c r="P73" s="1">
        <f>$L73*'TABELA AUXILIAR'!$I$5*(B73-A73)</f>
        <v>973.8446182529126</v>
      </c>
      <c r="Q73" s="1">
        <f>$M73*'TABELA AUXILIAR'!$J$3+SUM(N$2:N73)</f>
        <v>38039.674647761152</v>
      </c>
      <c r="R73" s="1">
        <f>$M73*'TABELA AUXILIAR'!$J$4+SUM(O$2:O73)</f>
        <v>41571.528479861103</v>
      </c>
      <c r="S73" s="1">
        <f>$M73*'TABELA AUXILIAR'!$J$5+SUM(P$2:P73)</f>
        <v>48731.775366727437</v>
      </c>
      <c r="T73" s="2">
        <f t="shared" si="15"/>
        <v>19019</v>
      </c>
      <c r="U73" s="2">
        <f t="shared" si="15"/>
        <v>20785</v>
      </c>
      <c r="V73" s="2">
        <f t="shared" si="15"/>
        <v>24365</v>
      </c>
    </row>
    <row r="74" spans="1:22" x14ac:dyDescent="0.25">
      <c r="A74" s="1">
        <v>43.2</v>
      </c>
      <c r="B74" s="1">
        <v>43.8</v>
      </c>
      <c r="C74" s="1">
        <v>50</v>
      </c>
      <c r="D74" s="1" t="s">
        <v>18</v>
      </c>
      <c r="E74" s="1" t="s">
        <v>6</v>
      </c>
      <c r="F74" s="1" cm="1">
        <f t="array" ref="F74">_xlfn.XLOOKUP(D74,'TABELA AUXILIAR'!$A$2:$A$5,IF('SPT-02'!A74&lt;3,'TABELA AUXILIAR'!$B$2:$B$5,'TABELA AUXILIAR'!$C$2:$C$5),"",0,1)</f>
        <v>8.5</v>
      </c>
      <c r="G74" s="6">
        <f t="shared" si="9"/>
        <v>100.58442255739381</v>
      </c>
      <c r="H74" s="2">
        <f t="shared" si="10"/>
        <v>43.13052403989137</v>
      </c>
      <c r="I74" s="2">
        <f t="shared" si="11"/>
        <v>1904.2847299924861</v>
      </c>
      <c r="J74" s="1">
        <f t="shared" si="16"/>
        <v>409.95000000000033</v>
      </c>
      <c r="K74" s="1">
        <f t="shared" si="12"/>
        <v>0.84682413428212333</v>
      </c>
      <c r="L74" s="1">
        <f t="shared" si="13"/>
        <v>347.15555384895674</v>
      </c>
      <c r="M74" s="1">
        <f t="shared" si="14"/>
        <v>3161.6247865155888</v>
      </c>
      <c r="N74" s="1">
        <f>$L74*'TABELA AUXILIAR'!$I$3*(B74-A74)</f>
        <v>783.18292948323892</v>
      </c>
      <c r="O74" s="1">
        <f>$L74*'TABELA AUXILIAR'!$I$4*(B74-A74)</f>
        <v>849.83679582223817</v>
      </c>
      <c r="P74" s="1">
        <f>$L74*'TABELA AUXILIAR'!$I$5*(B74-A74)</f>
        <v>981.06159517714241</v>
      </c>
      <c r="Q74" s="1">
        <f>$M74*'TABELA AUXILIAR'!$J$3+SUM(N$2:N74)</f>
        <v>38849.59163250406</v>
      </c>
      <c r="R74" s="1">
        <f>$M74*'TABELA AUXILIAR'!$J$4+SUM(O$2:O74)</f>
        <v>42452.594437579581</v>
      </c>
      <c r="S74" s="1">
        <f>$M74*'TABELA AUXILIAR'!$J$5+SUM(P$2:P74)</f>
        <v>49754.475844432905</v>
      </c>
      <c r="T74" s="2">
        <f t="shared" si="15"/>
        <v>19424</v>
      </c>
      <c r="U74" s="2">
        <f t="shared" si="15"/>
        <v>21226</v>
      </c>
      <c r="V74" s="2">
        <f t="shared" si="15"/>
        <v>24877</v>
      </c>
    </row>
    <row r="75" spans="1:22" x14ac:dyDescent="0.25">
      <c r="A75" s="1">
        <v>43.8</v>
      </c>
      <c r="B75" s="1">
        <v>44.4</v>
      </c>
      <c r="C75" s="1">
        <v>50</v>
      </c>
      <c r="D75" s="1" t="s">
        <v>18</v>
      </c>
      <c r="E75" s="1" t="s">
        <v>6</v>
      </c>
      <c r="F75" s="1" cm="1">
        <f t="array" ref="F75">_xlfn.XLOOKUP(D75,'TABELA AUXILIAR'!$A$2:$A$5,IF('SPT-02'!A75&lt;3,'TABELA AUXILIAR'!$B$2:$B$5,'TABELA AUXILIAR'!$C$2:$C$5),"",0,1)</f>
        <v>8.5</v>
      </c>
      <c r="G75" s="6">
        <f t="shared" si="9"/>
        <v>101.20815101651471</v>
      </c>
      <c r="H75" s="2">
        <f t="shared" si="10"/>
        <v>43.13052403989137</v>
      </c>
      <c r="I75" s="2">
        <f t="shared" si="11"/>
        <v>1913.7257296047349</v>
      </c>
      <c r="J75" s="1">
        <f t="shared" si="16"/>
        <v>415.0500000000003</v>
      </c>
      <c r="K75" s="1">
        <f t="shared" si="12"/>
        <v>0.84254025445500635</v>
      </c>
      <c r="L75" s="1">
        <f t="shared" si="13"/>
        <v>349.69633261155064</v>
      </c>
      <c r="M75" s="1">
        <f t="shared" si="14"/>
        <v>3185.1658017083419</v>
      </c>
      <c r="N75" s="1">
        <f>$L75*'TABELA AUXILIAR'!$I$3*(B75-A75)</f>
        <v>788.91492637166004</v>
      </c>
      <c r="O75" s="1">
        <f>$L75*'TABELA AUXILIAR'!$I$4*(B75-A75)</f>
        <v>856.05662223307809</v>
      </c>
      <c r="P75" s="1">
        <f>$L75*'TABELA AUXILIAR'!$I$5*(B75-A75)</f>
        <v>988.24183596024443</v>
      </c>
      <c r="Q75" s="1">
        <f>$M75*'TABELA AUXILIAR'!$J$3+SUM(N$2:N75)</f>
        <v>39665.10790604353</v>
      </c>
      <c r="R75" s="1">
        <f>$M75*'TABELA AUXILIAR'!$J$4+SUM(O$2:O75)</f>
        <v>43339.725199867098</v>
      </c>
      <c r="S75" s="1">
        <f>$M75*'TABELA AUXILIAR'!$J$5+SUM(P$2:P75)</f>
        <v>50784.149867132393</v>
      </c>
      <c r="T75" s="2">
        <f t="shared" si="15"/>
        <v>19832</v>
      </c>
      <c r="U75" s="2">
        <f t="shared" si="15"/>
        <v>21669</v>
      </c>
      <c r="V75" s="2">
        <f t="shared" si="15"/>
        <v>25392</v>
      </c>
    </row>
    <row r="76" spans="1:22" x14ac:dyDescent="0.25">
      <c r="A76" s="1">
        <v>44.4</v>
      </c>
      <c r="B76" s="1">
        <v>45</v>
      </c>
      <c r="C76" s="1">
        <v>50</v>
      </c>
      <c r="D76" s="1" t="s">
        <v>19</v>
      </c>
      <c r="E76" s="1" t="s">
        <v>5</v>
      </c>
      <c r="F76" s="1" cm="1">
        <f t="array" ref="F76">_xlfn.XLOOKUP(D76,'TABELA AUXILIAR'!$A$2:$A$5,IF('SPT-02'!A76&lt;3,'TABELA AUXILIAR'!$B$2:$B$5,'TABELA AUXILIAR'!$C$2:$C$5),"",0,1)</f>
        <v>10.5</v>
      </c>
      <c r="G76" s="6">
        <f t="shared" ref="G76:G81" si="17">C76 / MIN(2, SQRT(101.3/J76))</f>
        <v>101.90074143806245</v>
      </c>
      <c r="H76" s="2">
        <f t="shared" ref="H76:H81" si="18">27.5+9.2*LOG10(C76)</f>
        <v>43.13052403989137</v>
      </c>
      <c r="I76" s="2">
        <f t="shared" ref="I76:I81" si="19">IF(D76="Areias",101.3*0.47*(G76)^0.8,101.3*0.15*(G76))</f>
        <v>1548.3817661513588</v>
      </c>
      <c r="J76" s="1">
        <f t="shared" ref="J76:J81" si="20">J75+(B75-A75)/2*F75+(B76-A76)/2*F76</f>
        <v>420.75000000000034</v>
      </c>
      <c r="K76" s="1">
        <f t="shared" ref="K76:K81" si="21">(1-SIN(RADIANS(H76)))*(I76/J76)^SIN(RADIANS(H76))*TAN(RADIANS(H76))</f>
        <v>0.72217550017190746</v>
      </c>
      <c r="L76" s="1">
        <f t="shared" ref="L76:L81" si="22">K76*J76</f>
        <v>303.85534169733029</v>
      </c>
      <c r="M76" s="1">
        <f t="shared" ref="M76:M81" si="23">0.59*(G76*101.3/J76)^0.8*J76</f>
        <v>3211.3398461888519</v>
      </c>
      <c r="N76" s="1">
        <f>$L76*'TABELA AUXILIAR'!$I$3*(B76-A76)</f>
        <v>685.49765086917876</v>
      </c>
      <c r="O76" s="1">
        <f>$L76*'TABELA AUXILIAR'!$I$4*(B76-A76)</f>
        <v>743.83787647506631</v>
      </c>
      <c r="P76" s="1">
        <f>$L76*'TABELA AUXILIAR'!$I$5*(B76-A76)</f>
        <v>858.69519563665744</v>
      </c>
      <c r="Q76" s="1">
        <f>$M76*'TABELA AUXILIAR'!$J$3+SUM(N$2:N76)</f>
        <v>40380.182227175683</v>
      </c>
      <c r="R76" s="1">
        <f>$M76*'TABELA AUXILIAR'!$J$4+SUM(O$2:O76)</f>
        <v>44118.11281505644</v>
      </c>
      <c r="S76" s="1">
        <f>$M76*'TABELA AUXILIAR'!$J$5+SUM(P$2:P76)</f>
        <v>51688.911381054757</v>
      </c>
    </row>
    <row r="77" spans="1:22" x14ac:dyDescent="0.25">
      <c r="A77" s="1">
        <v>45</v>
      </c>
      <c r="B77" s="1">
        <v>45.6</v>
      </c>
      <c r="C77" s="1">
        <v>50</v>
      </c>
      <c r="D77" s="1" t="s">
        <v>19</v>
      </c>
      <c r="E77" s="1" t="s">
        <v>5</v>
      </c>
      <c r="F77" s="1" cm="1">
        <f t="array" ref="F77">_xlfn.XLOOKUP(D77,'TABELA AUXILIAR'!$A$2:$A$5,IF('SPT-02'!A77&lt;3,'TABELA AUXILIAR'!$B$2:$B$5,'TABELA AUXILIAR'!$C$2:$C$5),"",0,1)</f>
        <v>10.5</v>
      </c>
      <c r="G77" s="6">
        <f t="shared" si="17"/>
        <v>102.66080012127313</v>
      </c>
      <c r="H77" s="2">
        <f t="shared" si="18"/>
        <v>43.13052403989137</v>
      </c>
      <c r="I77" s="2">
        <f t="shared" si="19"/>
        <v>1559.9308578427449</v>
      </c>
      <c r="J77" s="1">
        <f t="shared" si="20"/>
        <v>427.05000000000041</v>
      </c>
      <c r="K77" s="1">
        <f t="shared" si="21"/>
        <v>0.71851587149917062</v>
      </c>
      <c r="L77" s="1">
        <f t="shared" si="22"/>
        <v>306.84220292372112</v>
      </c>
      <c r="M77" s="1">
        <f t="shared" si="23"/>
        <v>3240.104586979372</v>
      </c>
      <c r="N77" s="1">
        <f>$L77*'TABELA AUXILIAR'!$I$3*(B77-A77)</f>
        <v>692.23600979591652</v>
      </c>
      <c r="O77" s="1">
        <f>$L77*'TABELA AUXILIAR'!$I$4*(B77-A77)</f>
        <v>751.14971275727112</v>
      </c>
      <c r="P77" s="1">
        <f>$L77*'TABELA AUXILIAR'!$I$5*(B77-A77)</f>
        <v>867.13606546243784</v>
      </c>
      <c r="Q77" s="1">
        <f>$M77*'TABELA AUXILIAR'!$J$3+SUM(N$2:N77)</f>
        <v>41104.922394064888</v>
      </c>
      <c r="R77" s="1">
        <f>$M77*'TABELA AUXILIAR'!$J$4+SUM(O$2:O77)</f>
        <v>44907.231985657199</v>
      </c>
      <c r="S77" s="1">
        <f>$M77*'TABELA AUXILIAR'!$J$5+SUM(P$2:P77)</f>
        <v>52606.673390308504</v>
      </c>
    </row>
    <row r="78" spans="1:22" x14ac:dyDescent="0.25">
      <c r="A78" s="1">
        <v>45.6</v>
      </c>
      <c r="B78" s="1">
        <v>46.2</v>
      </c>
      <c r="C78" s="1">
        <v>50</v>
      </c>
      <c r="D78" s="1" t="s">
        <v>19</v>
      </c>
      <c r="E78" s="1" t="s">
        <v>5</v>
      </c>
      <c r="F78" s="1" cm="1">
        <f t="array" ref="F78">_xlfn.XLOOKUP(D78,'TABELA AUXILIAR'!$A$2:$A$5,IF('SPT-02'!A78&lt;3,'TABELA AUXILIAR'!$B$2:$B$5,'TABELA AUXILIAR'!$C$2:$C$5),"",0,1)</f>
        <v>10.5</v>
      </c>
      <c r="G78" s="6">
        <f t="shared" si="17"/>
        <v>103.41527284426185</v>
      </c>
      <c r="H78" s="2">
        <f t="shared" si="18"/>
        <v>43.13052403989137</v>
      </c>
      <c r="I78" s="2">
        <f t="shared" si="19"/>
        <v>1571.3950708685586</v>
      </c>
      <c r="J78" s="1">
        <f t="shared" si="20"/>
        <v>433.35000000000048</v>
      </c>
      <c r="K78" s="1">
        <f t="shared" si="21"/>
        <v>0.71492797788498874</v>
      </c>
      <c r="L78" s="1">
        <f t="shared" si="22"/>
        <v>309.81403921646023</v>
      </c>
      <c r="M78" s="1">
        <f t="shared" si="23"/>
        <v>3268.7000810019294</v>
      </c>
      <c r="N78" s="1">
        <f>$L78*'TABELA AUXILIAR'!$I$3*(B78-A78)</f>
        <v>698.94047247233595</v>
      </c>
      <c r="O78" s="1">
        <f>$L78*'TABELA AUXILIAR'!$I$4*(B78-A78)</f>
        <v>758.42476800189638</v>
      </c>
      <c r="P78" s="1">
        <f>$L78*'TABELA AUXILIAR'!$I$5*(B78-A78)</f>
        <v>875.53447482571858</v>
      </c>
      <c r="Q78" s="1">
        <f>$M78*'TABELA AUXILIAR'!$J$3+SUM(N$2:N78)</f>
        <v>41836.175774782714</v>
      </c>
      <c r="R78" s="1">
        <f>$M78*'TABELA AUXILIAR'!$J$4+SUM(O$2:O78)</f>
        <v>45703.40280576887</v>
      </c>
      <c r="S78" s="1">
        <f>$M78*'TABELA AUXILIAR'!$J$5+SUM(P$2:P78)</f>
        <v>53532.535934613923</v>
      </c>
    </row>
    <row r="79" spans="1:22" x14ac:dyDescent="0.25">
      <c r="A79" s="1">
        <v>46.2</v>
      </c>
      <c r="B79" s="1">
        <v>46.8</v>
      </c>
      <c r="C79" s="1">
        <v>50</v>
      </c>
      <c r="D79" s="1" t="s">
        <v>19</v>
      </c>
      <c r="E79" s="1" t="s">
        <v>5</v>
      </c>
      <c r="F79" s="1" cm="1">
        <f t="array" ref="F79">_xlfn.XLOOKUP(D79,'TABELA AUXILIAR'!$A$2:$A$5,IF('SPT-02'!A79&lt;3,'TABELA AUXILIAR'!$B$2:$B$5,'TABELA AUXILIAR'!$C$2:$C$5),"",0,1)</f>
        <v>10.5</v>
      </c>
      <c r="G79" s="6">
        <f t="shared" si="17"/>
        <v>104.16428098617229</v>
      </c>
      <c r="H79" s="2">
        <f t="shared" si="18"/>
        <v>43.13052403989137</v>
      </c>
      <c r="I79" s="2">
        <f t="shared" si="19"/>
        <v>1582.7762495848876</v>
      </c>
      <c r="J79" s="1">
        <f t="shared" si="20"/>
        <v>439.65000000000049</v>
      </c>
      <c r="K79" s="1">
        <f t="shared" si="21"/>
        <v>0.71140940058400548</v>
      </c>
      <c r="L79" s="1">
        <f t="shared" si="22"/>
        <v>312.77114296675836</v>
      </c>
      <c r="M79" s="1">
        <f t="shared" si="23"/>
        <v>3297.1297631933976</v>
      </c>
      <c r="N79" s="1">
        <f>$L79*'TABELA AUXILIAR'!$I$3*(B79-A79)</f>
        <v>705.61169853300021</v>
      </c>
      <c r="O79" s="1">
        <f>$L79*'TABELA AUXILIAR'!$I$4*(B79-A79)</f>
        <v>765.6637579826172</v>
      </c>
      <c r="P79" s="1">
        <f>$L79*'TABELA AUXILIAR'!$I$5*(B79-A79)</f>
        <v>883.89125002405081</v>
      </c>
      <c r="Q79" s="1">
        <f>$M79*'TABELA AUXILIAR'!$J$3+SUM(N$2:N79)</f>
        <v>42573.913014192076</v>
      </c>
      <c r="R79" s="1">
        <f>$M79*'TABELA AUXILIAR'!$J$4+SUM(O$2:O79)</f>
        <v>46506.59374424423</v>
      </c>
      <c r="S79" s="1">
        <f>$M79*'TABELA AUXILIAR'!$J$5+SUM(P$2:P79)</f>
        <v>54466.463425294955</v>
      </c>
    </row>
    <row r="80" spans="1:22" x14ac:dyDescent="0.25">
      <c r="A80" s="1">
        <v>46.8</v>
      </c>
      <c r="B80" s="1">
        <v>47.4</v>
      </c>
      <c r="C80" s="1">
        <v>50</v>
      </c>
      <c r="D80" s="1" t="s">
        <v>19</v>
      </c>
      <c r="E80" s="1" t="s">
        <v>5</v>
      </c>
      <c r="F80" s="1" cm="1">
        <f t="array" ref="F80">_xlfn.XLOOKUP(D80,'TABELA AUXILIAR'!$A$2:$A$5,IF('SPT-02'!A80&lt;3,'TABELA AUXILIAR'!$B$2:$B$5,'TABELA AUXILIAR'!$C$2:$C$5),"",0,1)</f>
        <v>10.5</v>
      </c>
      <c r="G80" s="6">
        <f t="shared" si="17"/>
        <v>104.90794159299563</v>
      </c>
      <c r="H80" s="2">
        <f t="shared" si="18"/>
        <v>43.13052403989137</v>
      </c>
      <c r="I80" s="2">
        <f t="shared" si="19"/>
        <v>1594.0761725055684</v>
      </c>
      <c r="J80" s="1">
        <f t="shared" si="20"/>
        <v>445.9500000000005</v>
      </c>
      <c r="K80" s="1">
        <f t="shared" si="21"/>
        <v>0.70795783558011527</v>
      </c>
      <c r="L80" s="1">
        <f t="shared" si="22"/>
        <v>315.71379677695273</v>
      </c>
      <c r="M80" s="1">
        <f t="shared" si="23"/>
        <v>3325.3969506862545</v>
      </c>
      <c r="N80" s="1">
        <f>$L80*'TABELA AUXILIAR'!$I$3*(B80-A80)</f>
        <v>712.25032552880702</v>
      </c>
      <c r="O80" s="1">
        <f>$L80*'TABELA AUXILIAR'!$I$4*(B80-A80)</f>
        <v>772.86737450998214</v>
      </c>
      <c r="P80" s="1">
        <f>$L80*'TABELA AUXILIAR'!$I$5*(B80-A80)</f>
        <v>892.20718969167058</v>
      </c>
      <c r="Q80" s="1">
        <f>$M80*'TABELA AUXILIAR'!$J$3+SUM(N$2:N80)</f>
        <v>43318.105261587814</v>
      </c>
      <c r="R80" s="1">
        <f>$M80*'TABELA AUXILIAR'!$J$4+SUM(O$2:O80)</f>
        <v>47316.773806244775</v>
      </c>
      <c r="S80" s="1">
        <f>$M80*'TABELA AUXILIAR'!$J$5+SUM(P$2:P80)</f>
        <v>55408.420864974054</v>
      </c>
    </row>
    <row r="81" spans="1:19" x14ac:dyDescent="0.25">
      <c r="A81" s="1">
        <v>47.4</v>
      </c>
      <c r="B81" s="1">
        <v>48</v>
      </c>
      <c r="C81" s="1">
        <v>50</v>
      </c>
      <c r="D81" s="1" t="s">
        <v>19</v>
      </c>
      <c r="E81" s="1" t="s">
        <v>5</v>
      </c>
      <c r="F81" s="1" cm="1">
        <f t="array" ref="F81">_xlfn.XLOOKUP(D81,'TABELA AUXILIAR'!$A$2:$A$5,IF('SPT-02'!A81&lt;3,'TABELA AUXILIAR'!$B$2:$B$5,'TABELA AUXILIAR'!$C$2:$C$5),"",0,1)</f>
        <v>10.5</v>
      </c>
      <c r="G81" s="6">
        <f t="shared" si="17"/>
        <v>105.64636759109378</v>
      </c>
      <c r="H81" s="2">
        <f t="shared" si="18"/>
        <v>43.13052403989137</v>
      </c>
      <c r="I81" s="2">
        <f t="shared" si="19"/>
        <v>1605.2965555466699</v>
      </c>
      <c r="J81" s="1">
        <f t="shared" si="20"/>
        <v>452.25000000000057</v>
      </c>
      <c r="K81" s="1">
        <f t="shared" si="21"/>
        <v>0.70457108661489676</v>
      </c>
      <c r="L81" s="1">
        <f t="shared" si="22"/>
        <v>318.64227392158745</v>
      </c>
      <c r="M81" s="1">
        <f t="shared" si="23"/>
        <v>3353.5048484517256</v>
      </c>
      <c r="N81" s="1">
        <f>$L81*'TABELA AUXILIAR'!$I$3*(B81-A81)</f>
        <v>718.85696996710294</v>
      </c>
      <c r="O81" s="1">
        <f>$L81*'TABELA AUXILIAR'!$I$4*(B81-A81)</f>
        <v>780.03628656004798</v>
      </c>
      <c r="P81" s="1">
        <f>$L81*'TABELA AUXILIAR'!$I$5*(B81-A81)</f>
        <v>900.48306610240832</v>
      </c>
      <c r="Q81" s="1">
        <f>$M81*'TABELA AUXILIAR'!$J$3+SUM(N$2:N81)</f>
        <v>44068.724156029901</v>
      </c>
      <c r="R81" s="1">
        <f>$M81*'TABELA AUXILIAR'!$J$4+SUM(O$2:O81)</f>
        <v>48133.912517855249</v>
      </c>
      <c r="S81" s="1">
        <f>$M81*'TABELA AUXILIAR'!$J$5+SUM(P$2:P81)</f>
        <v>56358.37383114369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590E-4DCD-4BEA-BF80-63A36BFFF4B1}">
  <dimension ref="A1:V80"/>
  <sheetViews>
    <sheetView topLeftCell="A63" workbookViewId="0">
      <selection sqref="A1:XFD1048576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16384" width="9.140625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36</v>
      </c>
      <c r="D2" s="1" t="s">
        <v>18</v>
      </c>
      <c r="E2" s="1" t="s">
        <v>3</v>
      </c>
      <c r="F2" s="1" cm="1">
        <f t="array" ref="F2">_xlfn.XLOOKUP(D2,'TABELA AUXILIAR'!$A$2:$A$5,IF('SPT-03'!A2&lt;3,'TABELA AUXILIAR'!$B$2:$B$5,'TABELA AUXILIAR'!$C$2:$C$5),"",0,1)</f>
        <v>18.5</v>
      </c>
      <c r="G2" s="6">
        <f>C2 / MIN(2, SQRT(101.3/J2))</f>
        <v>18</v>
      </c>
      <c r="H2" s="2">
        <f>27.5+9.2*LOG10(C2)</f>
        <v>41.817983007059041</v>
      </c>
      <c r="I2" s="2">
        <f>IF(D2="Areias",101.3*0.47*(G2)^0.8,101.3*0.15*(G2))</f>
        <v>480.75665786855103</v>
      </c>
      <c r="J2" s="1">
        <f>(B2-A2)/2*F2</f>
        <v>5.55</v>
      </c>
      <c r="K2" s="1">
        <f>(1-SIN(RADIANS(H2)))*(I2/J2)^SIN(RADIANS(H2))*TAN(RADIANS(H2))</f>
        <v>5.8392744259298821</v>
      </c>
      <c r="L2" s="1">
        <f>K2*J2</f>
        <v>32.407973063910845</v>
      </c>
      <c r="M2" s="1">
        <f>0.59*(G2*101.3/J2)^0.8*J2</f>
        <v>337.61067375333317</v>
      </c>
      <c r="N2" s="1">
        <f>$L2*'TABELA AUXILIAR'!$I$3*(B2-A2)</f>
        <v>73.112387232182854</v>
      </c>
      <c r="O2" s="1">
        <f>$L2*'TABELA AUXILIAR'!$I$4*(B2-A2)</f>
        <v>79.334718060453753</v>
      </c>
      <c r="P2" s="1">
        <f>$L2*'TABELA AUXILIAR'!$I$5*(B2-A2)</f>
        <v>91.584931878612053</v>
      </c>
      <c r="Q2" s="1">
        <f>$M2*'TABELA AUXILIAR'!$J$3+SUM(N$2:N2)</f>
        <v>454.61244857344934</v>
      </c>
      <c r="R2" s="1">
        <f>$M2*'TABELA AUXILIAR'!$J$4+SUM(O$2:O2)</f>
        <v>524.98080741485353</v>
      </c>
      <c r="S2" s="1">
        <f>$M2*'TABELA AUXILIAR'!$J$5+SUM(P$2:P2)</f>
        <v>685.77971768447856</v>
      </c>
      <c r="T2" s="2">
        <f>ROUNDDOWN(Q2/2,0)</f>
        <v>227</v>
      </c>
      <c r="U2" s="2">
        <f t="shared" ref="U2:V17" si="0">ROUNDDOWN(R2/2,0)</f>
        <v>262</v>
      </c>
      <c r="V2" s="2">
        <f t="shared" si="0"/>
        <v>342</v>
      </c>
    </row>
    <row r="3" spans="1:22" x14ac:dyDescent="0.25">
      <c r="A3" s="1">
        <v>0.6</v>
      </c>
      <c r="B3" s="1">
        <v>1.2</v>
      </c>
      <c r="C3" s="1">
        <v>13</v>
      </c>
      <c r="D3" s="1" t="s">
        <v>18</v>
      </c>
      <c r="E3" s="1" t="s">
        <v>3</v>
      </c>
      <c r="F3" s="1" cm="1">
        <f t="array" ref="F3">_xlfn.XLOOKUP(D3,'TABELA AUXILIAR'!$A$2:$A$5,IF('SPT-03'!A3&lt;3,'TABELA AUXILIAR'!$B$2:$B$5,'TABELA AUXILIAR'!$C$2:$C$5),"",0,1)</f>
        <v>18.5</v>
      </c>
      <c r="G3" s="6">
        <f t="shared" ref="G3:G66" si="1">C3 / MIN(2, SQRT(101.3/J3))</f>
        <v>6.5</v>
      </c>
      <c r="H3" s="2">
        <f t="shared" ref="H3:H66" si="2">27.5+9.2*LOG10(C3)</f>
        <v>37.748278841222898</v>
      </c>
      <c r="I3" s="2">
        <f t="shared" ref="I3:I66" si="3">IF(D3="Areias",101.3*0.47*(G3)^0.8,101.3*0.15*(G3))</f>
        <v>212.83252067196213</v>
      </c>
      <c r="J3" s="1">
        <f>J2+(B2-A2)/2*F2+(B3-A3)/2*F3</f>
        <v>16.649999999999999</v>
      </c>
      <c r="K3" s="1">
        <f t="shared" ref="K3:K66" si="4">(1-SIN(RADIANS(H3)))*(I3/J3)^SIN(RADIANS(H3))*TAN(RADIANS(H3))</f>
        <v>1.4287477887420323</v>
      </c>
      <c r="L3" s="1">
        <f t="shared" ref="L3:L66" si="5">K3*J3</f>
        <v>23.788650682554838</v>
      </c>
      <c r="M3" s="1">
        <f t="shared" ref="M3:M66" si="6">0.59*(G3*101.3/J3)^0.8*J3</f>
        <v>186.18860619058987</v>
      </c>
      <c r="N3" s="1">
        <f>$L3*'TABELA AUXILIAR'!$I$3*(B3-A3)</f>
        <v>53.667195939843708</v>
      </c>
      <c r="O3" s="1">
        <f>$L3*'TABELA AUXILIAR'!$I$4*(B3-A3)</f>
        <v>58.234616870894243</v>
      </c>
      <c r="P3" s="1">
        <f>$L3*'TABELA AUXILIAR'!$I$5*(B3-A3)</f>
        <v>67.22672682889997</v>
      </c>
      <c r="Q3" s="1">
        <f>$M3*'TABELA AUXILIAR'!$J$3+SUM(N$2:N3)</f>
        <v>337.17270816739307</v>
      </c>
      <c r="R3" s="1">
        <f>$M3*'TABELA AUXILIAR'!$J$4+SUM(O$2:O3)</f>
        <v>383.33829510292662</v>
      </c>
      <c r="S3" s="1">
        <f>$M3*'TABELA AUXILIAR'!$J$5+SUM(P$2:P3)</f>
        <v>486.50360560295019</v>
      </c>
      <c r="T3" s="2">
        <f t="shared" ref="T3:V66" si="7">ROUNDDOWN(Q3/2,0)</f>
        <v>168</v>
      </c>
      <c r="U3" s="2">
        <f t="shared" si="0"/>
        <v>191</v>
      </c>
      <c r="V3" s="2">
        <f t="shared" si="0"/>
        <v>243</v>
      </c>
    </row>
    <row r="4" spans="1:22" x14ac:dyDescent="0.25">
      <c r="A4" s="1">
        <v>1.2</v>
      </c>
      <c r="B4" s="1">
        <v>1.8</v>
      </c>
      <c r="C4" s="1">
        <v>13</v>
      </c>
      <c r="D4" s="1" t="s">
        <v>20</v>
      </c>
      <c r="E4" s="1" t="s">
        <v>9</v>
      </c>
      <c r="F4" s="1" cm="1">
        <f t="array" ref="F4">_xlfn.XLOOKUP(D4,'TABELA AUXILIAR'!$A$2:$A$5,IF('SPT-03'!A4&lt;3,'TABELA AUXILIAR'!$B$2:$B$5,'TABELA AUXILIAR'!$C$2:$C$5),"",0,1)</f>
        <v>18</v>
      </c>
      <c r="G4" s="6">
        <f t="shared" si="1"/>
        <v>6.7856768029604053</v>
      </c>
      <c r="H4" s="2">
        <f t="shared" si="2"/>
        <v>37.748278841222898</v>
      </c>
      <c r="I4" s="2">
        <f t="shared" si="3"/>
        <v>103.10835902098334</v>
      </c>
      <c r="J4" s="1">
        <f t="shared" ref="J4:J67" si="8">J3+(B3-A3)/2*F3+(B4-A4)/2*F4</f>
        <v>27.6</v>
      </c>
      <c r="K4" s="1">
        <f t="shared" si="4"/>
        <v>0.67281852280910082</v>
      </c>
      <c r="L4" s="1">
        <f t="shared" si="5"/>
        <v>18.569791229531184</v>
      </c>
      <c r="M4" s="1">
        <f t="shared" si="6"/>
        <v>213.20428104160584</v>
      </c>
      <c r="N4" s="1">
        <f>$L4*'TABELA AUXILIAR'!$I$3*(B4-A4)</f>
        <v>41.893449013822355</v>
      </c>
      <c r="O4" s="1">
        <f>$L4*'TABELA AUXILIAR'!$I$4*(B4-A4)</f>
        <v>45.458848929892348</v>
      </c>
      <c r="P4" s="1">
        <f>$L4*'TABELA AUXILIAR'!$I$5*(B4-A4)</f>
        <v>52.478230014655132</v>
      </c>
      <c r="Q4" s="1">
        <f>$M4*'TABELA AUXILIAR'!$J$3+SUM(N$2:N4)</f>
        <v>409.59386976286351</v>
      </c>
      <c r="R4" s="1">
        <f>$M4*'TABELA AUXILIAR'!$J$4+SUM(O$2:O4)</f>
        <v>464.45783483616003</v>
      </c>
      <c r="S4" s="1">
        <f>$M4*'TABELA AUXILIAR'!$J$5+SUM(P$2:P4)</f>
        <v>586.52942335539342</v>
      </c>
      <c r="T4" s="2">
        <f t="shared" si="7"/>
        <v>204</v>
      </c>
      <c r="U4" s="2">
        <f t="shared" si="0"/>
        <v>232</v>
      </c>
      <c r="V4" s="2">
        <f t="shared" si="0"/>
        <v>293</v>
      </c>
    </row>
    <row r="5" spans="1:22" x14ac:dyDescent="0.25">
      <c r="A5" s="1">
        <v>1.8</v>
      </c>
      <c r="B5" s="1">
        <v>2.4</v>
      </c>
      <c r="C5" s="1">
        <v>23</v>
      </c>
      <c r="D5" s="1" t="s">
        <v>20</v>
      </c>
      <c r="E5" s="1" t="s">
        <v>9</v>
      </c>
      <c r="F5" s="1" cm="1">
        <f t="array" ref="F5">_xlfn.XLOOKUP(D5,'TABELA AUXILIAR'!$A$2:$A$5,IF('SPT-03'!A5&lt;3,'TABELA AUXILIAR'!$B$2:$B$5,'TABELA AUXILIAR'!$C$2:$C$5),"",0,1)</f>
        <v>18</v>
      </c>
      <c r="G5" s="6">
        <f t="shared" si="1"/>
        <v>14.160830534312606</v>
      </c>
      <c r="H5" s="2">
        <f t="shared" si="2"/>
        <v>40.027896091361853</v>
      </c>
      <c r="I5" s="2">
        <f t="shared" si="3"/>
        <v>215.17381996888003</v>
      </c>
      <c r="J5" s="1">
        <f t="shared" si="8"/>
        <v>38.4</v>
      </c>
      <c r="K5" s="1">
        <f t="shared" si="4"/>
        <v>0.9080182735552299</v>
      </c>
      <c r="L5" s="1">
        <f t="shared" si="5"/>
        <v>34.867901704520825</v>
      </c>
      <c r="M5" s="1">
        <f t="shared" si="6"/>
        <v>410.27664288934773</v>
      </c>
      <c r="N5" s="1">
        <f>$L5*'TABELA AUXILIAR'!$I$3*(B5-A5)</f>
        <v>78.66198624539895</v>
      </c>
      <c r="O5" s="1">
        <f>$L5*'TABELA AUXILIAR'!$I$4*(B5-A5)</f>
        <v>85.356623372666974</v>
      </c>
      <c r="P5" s="1">
        <f>$L5*'TABELA AUXILIAR'!$I$5*(B5-A5)</f>
        <v>98.536690216975828</v>
      </c>
      <c r="Q5" s="1">
        <f>$M5*'TABELA AUXILIAR'!$J$3+SUM(N$2:N5)</f>
        <v>710.94762489621075</v>
      </c>
      <c r="R5" s="1">
        <f>$M5*'TABELA AUXILIAR'!$J$4+SUM(O$2:O5)</f>
        <v>809.94997584784642</v>
      </c>
      <c r="S5" s="1">
        <f>$M5*'TABELA AUXILIAR'!$J$5+SUM(P$2:P5)</f>
        <v>1031.913470424395</v>
      </c>
      <c r="T5" s="2">
        <f t="shared" si="7"/>
        <v>355</v>
      </c>
      <c r="U5" s="2">
        <f t="shared" si="0"/>
        <v>404</v>
      </c>
      <c r="V5" s="2">
        <f t="shared" si="0"/>
        <v>515</v>
      </c>
    </row>
    <row r="6" spans="1:22" x14ac:dyDescent="0.25">
      <c r="A6" s="1">
        <v>2.4</v>
      </c>
      <c r="B6" s="1">
        <v>3</v>
      </c>
      <c r="C6" s="1">
        <v>45</v>
      </c>
      <c r="D6" s="1" t="s">
        <v>20</v>
      </c>
      <c r="E6" s="1" t="s">
        <v>9</v>
      </c>
      <c r="F6" s="1" cm="1">
        <f t="array" ref="F6">_xlfn.XLOOKUP(D6,'TABELA AUXILIAR'!$A$2:$A$5,IF('SPT-03'!A6&lt;3,'TABELA AUXILIAR'!$B$2:$B$5,'TABELA AUXILIAR'!$C$2:$C$5),"",0,1)</f>
        <v>18</v>
      </c>
      <c r="G6" s="6">
        <f t="shared" si="1"/>
        <v>31.361031773828046</v>
      </c>
      <c r="H6" s="2">
        <f t="shared" si="2"/>
        <v>42.709555126733164</v>
      </c>
      <c r="I6" s="2">
        <f t="shared" si="3"/>
        <v>476.53087780331708</v>
      </c>
      <c r="J6" s="1">
        <f t="shared" si="8"/>
        <v>49.199999999999996</v>
      </c>
      <c r="K6" s="1">
        <f t="shared" si="4"/>
        <v>1.3854382161802863</v>
      </c>
      <c r="L6" s="1">
        <f t="shared" si="5"/>
        <v>68.163560236070083</v>
      </c>
      <c r="M6" s="1">
        <f t="shared" si="6"/>
        <v>814.41330947205893</v>
      </c>
      <c r="N6" s="1">
        <f>$L6*'TABELA AUXILIAR'!$I$3*(B6-A6)</f>
        <v>153.7769918925741</v>
      </c>
      <c r="O6" s="1">
        <f>$L6*'TABELA AUXILIAR'!$I$4*(B6-A6)</f>
        <v>166.86439545789958</v>
      </c>
      <c r="P6" s="1">
        <f>$L6*'TABELA AUXILIAR'!$I$5*(B6-A6)</f>
        <v>192.63022122713409</v>
      </c>
      <c r="Q6" s="1">
        <f>$M6*'TABELA AUXILIAR'!$J$3+SUM(N$2:N6)</f>
        <v>1321.3990500272484</v>
      </c>
      <c r="R6" s="1">
        <f>$M6*'TABELA AUXILIAR'!$J$4+SUM(O$2:O6)</f>
        <v>1510.2747711949248</v>
      </c>
      <c r="S6" s="1">
        <f>$M6*'TABELA AUXILIAR'!$J$5+SUM(P$2:P6)</f>
        <v>1935.8242248371009</v>
      </c>
      <c r="T6" s="2">
        <f t="shared" si="7"/>
        <v>660</v>
      </c>
      <c r="U6" s="2">
        <f t="shared" si="0"/>
        <v>755</v>
      </c>
      <c r="V6" s="2">
        <f t="shared" si="0"/>
        <v>967</v>
      </c>
    </row>
    <row r="7" spans="1:22" x14ac:dyDescent="0.25">
      <c r="A7" s="1">
        <v>3</v>
      </c>
      <c r="B7" s="1">
        <v>3.6</v>
      </c>
      <c r="C7" s="1">
        <v>41</v>
      </c>
      <c r="D7" s="1" t="s">
        <v>18</v>
      </c>
      <c r="E7" s="1" t="s">
        <v>3</v>
      </c>
      <c r="F7" s="1" cm="1">
        <f t="array" ref="F7">_xlfn.XLOOKUP(D7,'TABELA AUXILIAR'!$A$2:$A$5,IF('SPT-03'!A7&lt;3,'TABELA AUXILIAR'!$B$2:$B$5,'TABELA AUXILIAR'!$C$2:$C$5),"",0,1)</f>
        <v>8.5</v>
      </c>
      <c r="G7" s="6">
        <f t="shared" si="1"/>
        <v>30.795499408362645</v>
      </c>
      <c r="H7" s="2">
        <f t="shared" si="2"/>
        <v>42.337611481821568</v>
      </c>
      <c r="I7" s="2">
        <f t="shared" si="3"/>
        <v>738.74933749979914</v>
      </c>
      <c r="J7" s="1">
        <f t="shared" si="8"/>
        <v>57.149999999999991</v>
      </c>
      <c r="K7" s="1">
        <f t="shared" si="4"/>
        <v>1.6674264116318853</v>
      </c>
      <c r="L7" s="1">
        <f t="shared" si="5"/>
        <v>95.293419424762234</v>
      </c>
      <c r="M7" s="1">
        <f t="shared" si="6"/>
        <v>827.05161873625741</v>
      </c>
      <c r="N7" s="1">
        <f>$L7*'TABELA AUXILIAR'!$I$3*(B7-A7)</f>
        <v>214.98195422226362</v>
      </c>
      <c r="O7" s="1">
        <f>$L7*'TABELA AUXILIAR'!$I$4*(B7-A7)</f>
        <v>233.27829075181799</v>
      </c>
      <c r="P7" s="1">
        <f>$L7*'TABELA AUXILIAR'!$I$5*(B7-A7)</f>
        <v>269.29920329437812</v>
      </c>
      <c r="Q7" s="1">
        <f>$M7*'TABELA AUXILIAR'!$J$3+SUM(N$2:N7)</f>
        <v>1550.6622937180564</v>
      </c>
      <c r="R7" s="1">
        <f>$M7*'TABELA AUXILIAR'!$J$4+SUM(O$2:O7)</f>
        <v>1760.2356301754849</v>
      </c>
      <c r="S7" s="1">
        <f>$M7*'TABELA AUXILIAR'!$J$5+SUM(P$2:P7)</f>
        <v>2227.3668524364684</v>
      </c>
      <c r="T7" s="2">
        <f t="shared" si="7"/>
        <v>775</v>
      </c>
      <c r="U7" s="2">
        <f t="shared" si="0"/>
        <v>880</v>
      </c>
      <c r="V7" s="2">
        <f t="shared" si="0"/>
        <v>1113</v>
      </c>
    </row>
    <row r="8" spans="1:22" x14ac:dyDescent="0.25">
      <c r="A8" s="1">
        <v>3.6</v>
      </c>
      <c r="B8" s="1">
        <v>4.2</v>
      </c>
      <c r="C8" s="1">
        <v>37</v>
      </c>
      <c r="D8" s="1" t="s">
        <v>18</v>
      </c>
      <c r="E8" s="1" t="s">
        <v>3</v>
      </c>
      <c r="F8" s="1" cm="1">
        <f t="array" ref="F8">_xlfn.XLOOKUP(D8,'TABELA AUXILIAR'!$A$2:$A$5,IF('SPT-03'!A8&lt;3,'TABELA AUXILIAR'!$B$2:$B$5,'TABELA AUXILIAR'!$C$2:$C$5),"",0,1)</f>
        <v>8.5</v>
      </c>
      <c r="G8" s="6">
        <f t="shared" si="1"/>
        <v>29.00458655904281</v>
      </c>
      <c r="H8" s="2">
        <f t="shared" si="2"/>
        <v>41.927455861416355</v>
      </c>
      <c r="I8" s="2">
        <f t="shared" si="3"/>
        <v>704.17507176623485</v>
      </c>
      <c r="J8" s="1">
        <f t="shared" si="8"/>
        <v>62.249999999999986</v>
      </c>
      <c r="K8" s="1">
        <f t="shared" si="4"/>
        <v>1.5072556613937724</v>
      </c>
      <c r="L8" s="1">
        <f t="shared" si="5"/>
        <v>93.826664921762315</v>
      </c>
      <c r="M8" s="1">
        <f t="shared" si="6"/>
        <v>801.93798043008701</v>
      </c>
      <c r="N8" s="1">
        <f>$L8*'TABELA AUXILIAR'!$I$3*(B8-A8)</f>
        <v>211.6729560634958</v>
      </c>
      <c r="O8" s="1">
        <f>$L8*'TABELA AUXILIAR'!$I$4*(B8-A8)</f>
        <v>229.68767572847418</v>
      </c>
      <c r="P8" s="1">
        <f>$L8*'TABELA AUXILIAR'!$I$5*(B8-A8)</f>
        <v>265.15415506890031</v>
      </c>
      <c r="Q8" s="1">
        <f>$M8*'TABELA AUXILIAR'!$J$3+SUM(N$2:N8)</f>
        <v>1733.9568384955796</v>
      </c>
      <c r="R8" s="1">
        <f>$M8*'TABELA AUXILIAR'!$J$4+SUM(O$2:O8)</f>
        <v>1956.7733033398138</v>
      </c>
      <c r="S8" s="1">
        <f>$M8*'TABELA AUXILIAR'!$J$5+SUM(P$2:P8)</f>
        <v>2448.3210040865088</v>
      </c>
      <c r="T8" s="2">
        <f t="shared" si="7"/>
        <v>866</v>
      </c>
      <c r="U8" s="2">
        <f t="shared" si="0"/>
        <v>978</v>
      </c>
      <c r="V8" s="2">
        <f t="shared" si="0"/>
        <v>1224</v>
      </c>
    </row>
    <row r="9" spans="1:22" x14ac:dyDescent="0.25">
      <c r="A9" s="1">
        <v>4.2</v>
      </c>
      <c r="B9" s="1">
        <v>4.8</v>
      </c>
      <c r="C9" s="1">
        <v>41</v>
      </c>
      <c r="D9" s="1" t="s">
        <v>18</v>
      </c>
      <c r="E9" s="1" t="s">
        <v>3</v>
      </c>
      <c r="F9" s="1" cm="1">
        <f t="array" ref="F9">_xlfn.XLOOKUP(D9,'TABELA AUXILIAR'!$A$2:$A$5,IF('SPT-03'!A9&lt;3,'TABELA AUXILIAR'!$B$2:$B$5,'TABELA AUXILIAR'!$C$2:$C$5),"",0,1)</f>
        <v>8.5</v>
      </c>
      <c r="G9" s="6">
        <f t="shared" si="1"/>
        <v>33.430889653443714</v>
      </c>
      <c r="H9" s="2">
        <f t="shared" si="2"/>
        <v>42.337611481821568</v>
      </c>
      <c r="I9" s="2">
        <f t="shared" si="3"/>
        <v>788.90671110594155</v>
      </c>
      <c r="J9" s="1">
        <f t="shared" si="8"/>
        <v>67.34999999999998</v>
      </c>
      <c r="K9" s="1">
        <f t="shared" si="4"/>
        <v>1.5603635716292705</v>
      </c>
      <c r="L9" s="1">
        <f t="shared" si="5"/>
        <v>105.09048654923134</v>
      </c>
      <c r="M9" s="1">
        <f t="shared" si="6"/>
        <v>912.6945037133479</v>
      </c>
      <c r="N9" s="1">
        <f>$L9*'TABELA AUXILIAR'!$I$3*(B9-A9)</f>
        <v>237.08413765506577</v>
      </c>
      <c r="O9" s="1">
        <f>$L9*'TABELA AUXILIAR'!$I$4*(B9-A9)</f>
        <v>257.2615110725182</v>
      </c>
      <c r="P9" s="1">
        <f>$L9*'TABELA AUXILIAR'!$I$5*(B9-A9)</f>
        <v>296.9857149881276</v>
      </c>
      <c r="Q9" s="1">
        <f>$M9*'TABELA AUXILIAR'!$J$3+SUM(N$2:N9)</f>
        <v>2096.19584746073</v>
      </c>
      <c r="R9" s="1">
        <f>$M9*'TABELA AUXILIAR'!$J$4+SUM(O$2:O9)</f>
        <v>2360.2334251462362</v>
      </c>
      <c r="S9" s="1">
        <f>$M9*'TABELA AUXILIAR'!$J$5+SUM(P$2:P9)</f>
        <v>2940.2382000531752</v>
      </c>
      <c r="T9" s="2">
        <f t="shared" si="7"/>
        <v>1048</v>
      </c>
      <c r="U9" s="2">
        <f t="shared" si="0"/>
        <v>1180</v>
      </c>
      <c r="V9" s="2">
        <f t="shared" si="0"/>
        <v>1470</v>
      </c>
    </row>
    <row r="10" spans="1:22" x14ac:dyDescent="0.25">
      <c r="A10" s="1">
        <v>4.8</v>
      </c>
      <c r="B10" s="1">
        <v>5.4</v>
      </c>
      <c r="C10" s="1">
        <v>32</v>
      </c>
      <c r="D10" s="1" t="s">
        <v>18</v>
      </c>
      <c r="E10" s="1" t="s">
        <v>3</v>
      </c>
      <c r="F10" s="1" cm="1">
        <f t="array" ref="F10">_xlfn.XLOOKUP(D10,'TABELA AUXILIAR'!$A$2:$A$5,IF('SPT-03'!A10&lt;3,'TABELA AUXILIAR'!$B$2:$B$5,'TABELA AUXILIAR'!$C$2:$C$5),"",0,1)</f>
        <v>8.5</v>
      </c>
      <c r="G10" s="6">
        <f t="shared" si="1"/>
        <v>27.06228419888469</v>
      </c>
      <c r="H10" s="2">
        <f t="shared" si="2"/>
        <v>41.347379800543138</v>
      </c>
      <c r="I10" s="2">
        <f t="shared" si="3"/>
        <v>666.19115722742436</v>
      </c>
      <c r="J10" s="1">
        <f t="shared" si="8"/>
        <v>72.449999999999974</v>
      </c>
      <c r="K10" s="1">
        <f t="shared" si="4"/>
        <v>1.2933298883531712</v>
      </c>
      <c r="L10" s="1">
        <f t="shared" si="5"/>
        <v>93.70175041118722</v>
      </c>
      <c r="M10" s="1">
        <f t="shared" si="6"/>
        <v>782.0577179323634</v>
      </c>
      <c r="N10" s="1">
        <f>$L10*'TABELA AUXILIAR'!$I$3*(B10-A10)</f>
        <v>211.39114892763854</v>
      </c>
      <c r="O10" s="1">
        <f>$L10*'TABELA AUXILIAR'!$I$4*(B10-A10)</f>
        <v>229.38188500658651</v>
      </c>
      <c r="P10" s="1">
        <f>$L10*'TABELA AUXILIAR'!$I$5*(B10-A10)</f>
        <v>264.80114666201536</v>
      </c>
      <c r="Q10" s="1">
        <f>$M10*'TABELA AUXILIAR'!$J$3+SUM(N$2:N10)</f>
        <v>2159.9674284558564</v>
      </c>
      <c r="R10" s="1">
        <f>$M10*'TABELA AUXILIAR'!$J$4+SUM(O$2:O10)</f>
        <v>2417.1747529219238</v>
      </c>
      <c r="S10" s="1">
        <f>$M10*'TABELA AUXILIAR'!$J$5+SUM(P$2:P10)</f>
        <v>2975.1186037406578</v>
      </c>
      <c r="T10" s="2">
        <f t="shared" si="7"/>
        <v>1079</v>
      </c>
      <c r="U10" s="2">
        <f t="shared" si="0"/>
        <v>1208</v>
      </c>
      <c r="V10" s="2">
        <f t="shared" si="0"/>
        <v>1487</v>
      </c>
    </row>
    <row r="11" spans="1:22" x14ac:dyDescent="0.25">
      <c r="A11" s="1">
        <v>5.4</v>
      </c>
      <c r="B11" s="1">
        <v>6</v>
      </c>
      <c r="C11" s="1">
        <v>26</v>
      </c>
      <c r="D11" s="1" t="s">
        <v>18</v>
      </c>
      <c r="E11" s="1" t="s">
        <v>3</v>
      </c>
      <c r="F11" s="1" cm="1">
        <f t="array" ref="F11">_xlfn.XLOOKUP(D11,'TABELA AUXILIAR'!$A$2:$A$5,IF('SPT-03'!A11&lt;3,'TABELA AUXILIAR'!$B$2:$B$5,'TABELA AUXILIAR'!$C$2:$C$5),"",0,1)</f>
        <v>8.5</v>
      </c>
      <c r="G11" s="6">
        <f t="shared" si="1"/>
        <v>22.74885415250024</v>
      </c>
      <c r="H11" s="2">
        <f t="shared" si="2"/>
        <v>40.51775480133152</v>
      </c>
      <c r="I11" s="2">
        <f t="shared" si="3"/>
        <v>579.79561223712369</v>
      </c>
      <c r="J11" s="1">
        <f t="shared" si="8"/>
        <v>77.549999999999969</v>
      </c>
      <c r="K11" s="1">
        <f t="shared" si="4"/>
        <v>1.106256775939541</v>
      </c>
      <c r="L11" s="1">
        <f t="shared" si="5"/>
        <v>85.79021297411137</v>
      </c>
      <c r="M11" s="1">
        <f t="shared" si="6"/>
        <v>689.95942161627488</v>
      </c>
      <c r="N11" s="1">
        <f>$L11*'TABELA AUXILIAR'!$I$3*(B11-A11)</f>
        <v>193.54272046959511</v>
      </c>
      <c r="O11" s="1">
        <f>$L11*'TABELA AUXILIAR'!$I$4*(B11-A11)</f>
        <v>210.01444136062452</v>
      </c>
      <c r="P11" s="1">
        <f>$L11*'TABELA AUXILIAR'!$I$5*(B11-A11)</f>
        <v>242.44314186483857</v>
      </c>
      <c r="Q11" s="1">
        <f>$M11*'TABELA AUXILIAR'!$J$3+SUM(N$2:N11)</f>
        <v>2249.4390740882714</v>
      </c>
      <c r="R11" s="1">
        <f>$M11*'TABELA AUXILIAR'!$J$4+SUM(O$2:O11)</f>
        <v>2505.6194431453114</v>
      </c>
      <c r="S11" s="1">
        <f>$M11*'TABELA AUXILIAR'!$J$5+SUM(P$2:P11)</f>
        <v>3055.4687440891803</v>
      </c>
      <c r="T11" s="2">
        <f t="shared" si="7"/>
        <v>1124</v>
      </c>
      <c r="U11" s="2">
        <f t="shared" si="0"/>
        <v>1252</v>
      </c>
      <c r="V11" s="2">
        <f t="shared" si="0"/>
        <v>1527</v>
      </c>
    </row>
    <row r="12" spans="1:22" x14ac:dyDescent="0.25">
      <c r="A12" s="1">
        <v>6</v>
      </c>
      <c r="B12" s="1">
        <v>6.6</v>
      </c>
      <c r="C12" s="1">
        <v>35</v>
      </c>
      <c r="D12" s="1" t="s">
        <v>18</v>
      </c>
      <c r="E12" s="1" t="s">
        <v>3</v>
      </c>
      <c r="F12" s="1" cm="1">
        <f t="array" ref="F12">_xlfn.XLOOKUP(D12,'TABELA AUXILIAR'!$A$2:$A$5,IF('SPT-03'!A12&lt;3,'TABELA AUXILIAR'!$B$2:$B$5,'TABELA AUXILIAR'!$C$2:$C$5),"",0,1)</f>
        <v>8.5</v>
      </c>
      <c r="G12" s="6">
        <f t="shared" si="1"/>
        <v>31.614385931538077</v>
      </c>
      <c r="H12" s="2">
        <f t="shared" si="2"/>
        <v>41.705426008022535</v>
      </c>
      <c r="I12" s="2">
        <f t="shared" si="3"/>
        <v>754.42331890501418</v>
      </c>
      <c r="J12" s="1">
        <f t="shared" si="8"/>
        <v>82.649999999999963</v>
      </c>
      <c r="K12" s="1">
        <f t="shared" si="4"/>
        <v>1.2987802547189415</v>
      </c>
      <c r="L12" s="1">
        <f t="shared" si="5"/>
        <v>107.34418805252047</v>
      </c>
      <c r="M12" s="1">
        <f t="shared" si="6"/>
        <v>909.27644346955174</v>
      </c>
      <c r="N12" s="1">
        <f>$L12*'TABELA AUXILIAR'!$I$3*(B12-A12)</f>
        <v>242.16848824648599</v>
      </c>
      <c r="O12" s="1">
        <f>$L12*'TABELA AUXILIAR'!$I$4*(B12-A12)</f>
        <v>262.77857235256994</v>
      </c>
      <c r="P12" s="1">
        <f>$L12*'TABELA AUXILIAR'!$I$5*(B12-A12)</f>
        <v>303.35467543642267</v>
      </c>
      <c r="Q12" s="1">
        <f>$M12*'TABELA AUXILIAR'!$J$3+SUM(N$2:N12)</f>
        <v>2739.4357970289602</v>
      </c>
      <c r="R12" s="1">
        <f>$M12*'TABELA AUXILIAR'!$J$4+SUM(O$2:O12)</f>
        <v>3057.8964843442063</v>
      </c>
      <c r="S12" s="1">
        <f>$M12*'TABELA AUXILIAR'!$J$5+SUM(P$2:P12)</f>
        <v>3744.8213779873704</v>
      </c>
      <c r="T12" s="2">
        <f t="shared" si="7"/>
        <v>1369</v>
      </c>
      <c r="U12" s="2">
        <f t="shared" si="0"/>
        <v>1528</v>
      </c>
      <c r="V12" s="2">
        <f t="shared" si="0"/>
        <v>1872</v>
      </c>
    </row>
    <row r="13" spans="1:22" x14ac:dyDescent="0.25">
      <c r="A13" s="1">
        <v>6.6</v>
      </c>
      <c r="B13" s="1">
        <v>7.2</v>
      </c>
      <c r="C13" s="1">
        <v>19</v>
      </c>
      <c r="D13" s="1" t="s">
        <v>18</v>
      </c>
      <c r="E13" s="1" t="s">
        <v>3</v>
      </c>
      <c r="F13" s="1" cm="1">
        <f t="array" ref="F13">_xlfn.XLOOKUP(D13,'TABELA AUXILIAR'!$A$2:$A$5,IF('SPT-03'!A13&lt;3,'TABELA AUXILIAR'!$B$2:$B$5,'TABELA AUXILIAR'!$C$2:$C$5),"",0,1)</f>
        <v>8.5</v>
      </c>
      <c r="G13" s="6">
        <f t="shared" si="1"/>
        <v>17.683671589031128</v>
      </c>
      <c r="H13" s="2">
        <f t="shared" si="2"/>
        <v>39.264533128766026</v>
      </c>
      <c r="I13" s="2">
        <f t="shared" si="3"/>
        <v>473.98571814544016</v>
      </c>
      <c r="J13" s="1">
        <f t="shared" si="8"/>
        <v>87.749999999999957</v>
      </c>
      <c r="K13" s="1">
        <f t="shared" si="4"/>
        <v>0.87268883939986552</v>
      </c>
      <c r="L13" s="1">
        <f t="shared" si="5"/>
        <v>76.578445657338165</v>
      </c>
      <c r="M13" s="1">
        <f t="shared" si="6"/>
        <v>578.158540833247</v>
      </c>
      <c r="N13" s="1">
        <f>$L13*'TABELA AUXILIAR'!$I$3*(B13-A13)</f>
        <v>172.76097340295505</v>
      </c>
      <c r="O13" s="1">
        <f>$L13*'TABELA AUXILIAR'!$I$4*(B13-A13)</f>
        <v>187.464034969164</v>
      </c>
      <c r="P13" s="1">
        <f>$L13*'TABELA AUXILIAR'!$I$5*(B13-A13)</f>
        <v>216.41068742763784</v>
      </c>
      <c r="Q13" s="1">
        <f>$M13*'TABELA AUXILIAR'!$J$3+SUM(N$2:N13)</f>
        <v>2538.033540452891</v>
      </c>
      <c r="R13" s="1">
        <f>$M13*'TABELA AUXILIAR'!$J$4+SUM(O$2:O13)</f>
        <v>2808.284887833448</v>
      </c>
      <c r="S13" s="1">
        <f>$M13*'TABELA AUXILIAR'!$J$5+SUM(P$2:P13)</f>
        <v>3378.4645567751113</v>
      </c>
      <c r="T13" s="2">
        <f t="shared" si="7"/>
        <v>1269</v>
      </c>
      <c r="U13" s="2">
        <f t="shared" si="0"/>
        <v>1404</v>
      </c>
      <c r="V13" s="2">
        <f t="shared" si="0"/>
        <v>1689</v>
      </c>
    </row>
    <row r="14" spans="1:22" x14ac:dyDescent="0.25">
      <c r="A14" s="1">
        <v>7.2</v>
      </c>
      <c r="B14" s="1">
        <v>7.8</v>
      </c>
      <c r="C14" s="1">
        <v>28</v>
      </c>
      <c r="D14" s="1" t="s">
        <v>19</v>
      </c>
      <c r="E14" s="1" t="s">
        <v>10</v>
      </c>
      <c r="F14" s="1" cm="1">
        <f t="array" ref="F14">_xlfn.XLOOKUP(D14,'TABELA AUXILIAR'!$A$2:$A$5,IF('SPT-03'!A14&lt;3,'TABELA AUXILIAR'!$B$2:$B$5,'TABELA AUXILIAR'!$C$2:$C$5),"",0,1)</f>
        <v>10.5</v>
      </c>
      <c r="G14" s="6">
        <f t="shared" si="1"/>
        <v>26.893229715691774</v>
      </c>
      <c r="H14" s="2">
        <f t="shared" si="2"/>
        <v>40.813853888348419</v>
      </c>
      <c r="I14" s="2">
        <f t="shared" si="3"/>
        <v>408.64262552993648</v>
      </c>
      <c r="J14" s="1">
        <f t="shared" si="8"/>
        <v>93.449999999999946</v>
      </c>
      <c r="K14" s="1">
        <f t="shared" si="4"/>
        <v>0.78467771959076749</v>
      </c>
      <c r="L14" s="1">
        <f t="shared" si="5"/>
        <v>73.328132895757179</v>
      </c>
      <c r="M14" s="1">
        <f t="shared" si="6"/>
        <v>818.78484997665657</v>
      </c>
      <c r="N14" s="1">
        <f>$L14*'TABELA AUXILIAR'!$I$3*(B14-A14)</f>
        <v>165.4282678128281</v>
      </c>
      <c r="O14" s="1">
        <f>$L14*'TABELA AUXILIAR'!$I$4*(B14-A14)</f>
        <v>179.50726932881346</v>
      </c>
      <c r="P14" s="1">
        <f>$L14*'TABELA AUXILIAR'!$I$5*(B14-A14)</f>
        <v>207.22530356340965</v>
      </c>
      <c r="Q14" s="1">
        <f>$M14*'TABELA AUXILIAR'!$J$3+SUM(N$2:N14)</f>
        <v>2975.3695375977718</v>
      </c>
      <c r="R14" s="1">
        <f>$M14*'TABELA AUXILIAR'!$J$4+SUM(O$2:O14)</f>
        <v>3305.4188852315624</v>
      </c>
      <c r="S14" s="1">
        <f>$M14*'TABELA AUXILIAR'!$J$5+SUM(P$2:P14)</f>
        <v>4009.1921644309223</v>
      </c>
      <c r="T14" s="2">
        <f t="shared" si="7"/>
        <v>1487</v>
      </c>
      <c r="U14" s="2">
        <f t="shared" si="0"/>
        <v>1652</v>
      </c>
      <c r="V14" s="2">
        <f t="shared" si="0"/>
        <v>2004</v>
      </c>
    </row>
    <row r="15" spans="1:22" x14ac:dyDescent="0.25">
      <c r="A15" s="1">
        <v>7.8</v>
      </c>
      <c r="B15" s="1">
        <v>8.4</v>
      </c>
      <c r="C15" s="1">
        <v>50</v>
      </c>
      <c r="D15" s="1" t="s">
        <v>19</v>
      </c>
      <c r="E15" s="1" t="s">
        <v>10</v>
      </c>
      <c r="F15" s="1" cm="1">
        <f t="array" ref="F15">_xlfn.XLOOKUP(D15,'TABELA AUXILIAR'!$A$2:$A$5,IF('SPT-03'!A15&lt;3,'TABELA AUXILIAR'!$B$2:$B$5,'TABELA AUXILIAR'!$C$2:$C$5),"",0,1)</f>
        <v>10.5</v>
      </c>
      <c r="G15" s="6">
        <f t="shared" si="1"/>
        <v>49.615998279700193</v>
      </c>
      <c r="H15" s="2">
        <f t="shared" si="2"/>
        <v>43.13052403989137</v>
      </c>
      <c r="I15" s="2">
        <f t="shared" si="3"/>
        <v>753.91509386004441</v>
      </c>
      <c r="J15" s="1">
        <f t="shared" si="8"/>
        <v>99.749999999999943</v>
      </c>
      <c r="K15" s="1">
        <f t="shared" si="4"/>
        <v>1.1812052073936199</v>
      </c>
      <c r="L15" s="1">
        <f t="shared" si="5"/>
        <v>117.82521943751351</v>
      </c>
      <c r="M15" s="1">
        <f t="shared" si="6"/>
        <v>1354.0027171446131</v>
      </c>
      <c r="N15" s="1">
        <f>$L15*'TABELA AUXILIAR'!$I$3*(B15-A15)</f>
        <v>265.81369505103072</v>
      </c>
      <c r="O15" s="1">
        <f>$L15*'TABELA AUXILIAR'!$I$4*(B15-A15)</f>
        <v>288.43613718303334</v>
      </c>
      <c r="P15" s="1">
        <f>$L15*'TABELA AUXILIAR'!$I$5*(B15-A15)</f>
        <v>332.97407013041351</v>
      </c>
      <c r="Q15" s="1">
        <f>$M15*'TABELA AUXILIAR'!$J$3+SUM(N$2:N15)</f>
        <v>3845.9794225485934</v>
      </c>
      <c r="R15" s="1">
        <f>$M15*'TABELA AUXILIAR'!$J$4+SUM(O$2:O15)</f>
        <v>4300.342607076298</v>
      </c>
      <c r="S15" s="1">
        <f>$M15*'TABELA AUXILIAR'!$J$5+SUM(P$2:P15)</f>
        <v>5284.1496807769399</v>
      </c>
      <c r="T15" s="2">
        <f t="shared" si="7"/>
        <v>1922</v>
      </c>
      <c r="U15" s="2">
        <f t="shared" si="0"/>
        <v>2150</v>
      </c>
      <c r="V15" s="2">
        <f t="shared" si="0"/>
        <v>2642</v>
      </c>
    </row>
    <row r="16" spans="1:22" x14ac:dyDescent="0.25">
      <c r="A16" s="1">
        <v>8.4</v>
      </c>
      <c r="B16" s="1">
        <v>9</v>
      </c>
      <c r="C16" s="1">
        <v>44</v>
      </c>
      <c r="D16" s="1" t="s">
        <v>19</v>
      </c>
      <c r="E16" s="1" t="s">
        <v>10</v>
      </c>
      <c r="F16" s="1" cm="1">
        <f t="array" ref="F16">_xlfn.XLOOKUP(D16,'TABELA AUXILIAR'!$A$2:$A$5,IF('SPT-03'!A16&lt;3,'TABELA AUXILIAR'!$B$2:$B$5,'TABELA AUXILIAR'!$C$2:$C$5),"",0,1)</f>
        <v>10.5</v>
      </c>
      <c r="G16" s="6">
        <f t="shared" si="1"/>
        <v>45.019771898540789</v>
      </c>
      <c r="H16" s="2">
        <f t="shared" si="2"/>
        <v>42.619764623672921</v>
      </c>
      <c r="I16" s="2">
        <f t="shared" si="3"/>
        <v>684.07543399832718</v>
      </c>
      <c r="J16" s="1">
        <f t="shared" si="8"/>
        <v>106.04999999999994</v>
      </c>
      <c r="K16" s="1">
        <f t="shared" si="4"/>
        <v>1.0497898474646556</v>
      </c>
      <c r="L16" s="1">
        <f t="shared" si="5"/>
        <v>111.33021332362667</v>
      </c>
      <c r="M16" s="1">
        <f t="shared" si="6"/>
        <v>1268.1316292427571</v>
      </c>
      <c r="N16" s="1">
        <f>$L16*'TABELA AUXILIAR'!$I$3*(B16-A16)</f>
        <v>251.16096125810159</v>
      </c>
      <c r="O16" s="1">
        <f>$L16*'TABELA AUXILIAR'!$I$4*(B16-A16)</f>
        <v>272.53636221623793</v>
      </c>
      <c r="P16" s="1">
        <f>$L16*'TABELA AUXILIAR'!$I$5*(B16-A16)</f>
        <v>314.61918285256877</v>
      </c>
      <c r="Q16" s="1">
        <f>$M16*'TABELA AUXILIAR'!$J$3+SUM(N$2:N16)</f>
        <v>4000.1060544775974</v>
      </c>
      <c r="R16" s="1">
        <f>$M16*'TABELA AUXILIAR'!$J$4+SUM(O$2:O16)</f>
        <v>4459.5291332620864</v>
      </c>
      <c r="S16" s="1">
        <f>$M16*'TABELA AUXILIAR'!$J$5+SUM(P$2:P16)</f>
        <v>5447.635748922241</v>
      </c>
      <c r="T16" s="2">
        <f t="shared" si="7"/>
        <v>2000</v>
      </c>
      <c r="U16" s="2">
        <f t="shared" si="0"/>
        <v>2229</v>
      </c>
      <c r="V16" s="2">
        <f t="shared" si="0"/>
        <v>2723</v>
      </c>
    </row>
    <row r="17" spans="1:22" x14ac:dyDescent="0.25">
      <c r="A17" s="1">
        <v>9</v>
      </c>
      <c r="B17" s="1">
        <v>9.6</v>
      </c>
      <c r="C17" s="1">
        <v>36</v>
      </c>
      <c r="D17" s="1" t="s">
        <v>19</v>
      </c>
      <c r="E17" s="1" t="s">
        <v>10</v>
      </c>
      <c r="F17" s="1" cm="1">
        <f t="array" ref="F17">_xlfn.XLOOKUP(D17,'TABELA AUXILIAR'!$A$2:$A$5,IF('SPT-03'!A17&lt;3,'TABELA AUXILIAR'!$B$2:$B$5,'TABELA AUXILIAR'!$C$2:$C$5),"",0,1)</f>
        <v>10.5</v>
      </c>
      <c r="G17" s="6">
        <f t="shared" si="1"/>
        <v>37.912665265867247</v>
      </c>
      <c r="H17" s="2">
        <f t="shared" si="2"/>
        <v>41.817983007059041</v>
      </c>
      <c r="I17" s="2">
        <f t="shared" si="3"/>
        <v>576.08294871485271</v>
      </c>
      <c r="J17" s="1">
        <f t="shared" si="8"/>
        <v>112.34999999999992</v>
      </c>
      <c r="K17" s="1">
        <f t="shared" si="4"/>
        <v>0.8866580679766991</v>
      </c>
      <c r="L17" s="1">
        <f t="shared" si="5"/>
        <v>99.616033937182081</v>
      </c>
      <c r="M17" s="1">
        <f t="shared" si="6"/>
        <v>1118.102546151234</v>
      </c>
      <c r="N17" s="1">
        <f>$L17*'TABELA AUXILIAR'!$I$3*(B17-A17)</f>
        <v>224.73377256228264</v>
      </c>
      <c r="O17" s="1">
        <f>$L17*'TABELA AUXILIAR'!$I$4*(B17-A17)</f>
        <v>243.86005107822157</v>
      </c>
      <c r="P17" s="1">
        <f>$L17*'TABELA AUXILIAR'!$I$5*(B17-A17)</f>
        <v>281.51491190647636</v>
      </c>
      <c r="Q17" s="1">
        <f>$M17*'TABELA AUXILIAR'!$J$3+SUM(N$2:N17)</f>
        <v>4055.3069631464596</v>
      </c>
      <c r="R17" s="1">
        <f>$M17*'TABELA AUXILIAR'!$J$4+SUM(O$2:O17)</f>
        <v>4505.3507946594973</v>
      </c>
      <c r="S17" s="1">
        <f>$M17*'TABELA AUXILIAR'!$J$5+SUM(P$2:P17)</f>
        <v>5465.0994745876378</v>
      </c>
      <c r="T17" s="2">
        <f t="shared" si="7"/>
        <v>2027</v>
      </c>
      <c r="U17" s="2">
        <f t="shared" si="0"/>
        <v>2252</v>
      </c>
      <c r="V17" s="2">
        <f t="shared" si="0"/>
        <v>2732</v>
      </c>
    </row>
    <row r="18" spans="1:22" x14ac:dyDescent="0.25">
      <c r="A18" s="1">
        <v>9.6</v>
      </c>
      <c r="B18" s="1">
        <v>10.199999999999999</v>
      </c>
      <c r="C18" s="1">
        <v>50</v>
      </c>
      <c r="D18" s="1" t="s">
        <v>19</v>
      </c>
      <c r="E18" s="1" t="s">
        <v>10</v>
      </c>
      <c r="F18" s="1" cm="1">
        <f t="array" ref="F18">_xlfn.XLOOKUP(D18,'TABELA AUXILIAR'!$A$2:$A$5,IF('SPT-03'!A18&lt;3,'TABELA AUXILIAR'!$B$2:$B$5,'TABELA AUXILIAR'!$C$2:$C$5),"",0,1)</f>
        <v>10.5</v>
      </c>
      <c r="G18" s="6">
        <f t="shared" si="1"/>
        <v>54.11269364049992</v>
      </c>
      <c r="H18" s="2">
        <f t="shared" si="2"/>
        <v>43.13052403989137</v>
      </c>
      <c r="I18" s="2">
        <f t="shared" si="3"/>
        <v>822.24237986739615</v>
      </c>
      <c r="J18" s="1">
        <f t="shared" si="8"/>
        <v>118.64999999999991</v>
      </c>
      <c r="K18" s="1">
        <f t="shared" si="4"/>
        <v>1.1131833657759791</v>
      </c>
      <c r="L18" s="1">
        <f t="shared" si="5"/>
        <v>132.0792063493198</v>
      </c>
      <c r="M18" s="1">
        <f t="shared" si="6"/>
        <v>1502.5621297822822</v>
      </c>
      <c r="N18" s="1">
        <f>$L18*'TABELA AUXILIAR'!$I$3*(B18-A18)</f>
        <v>297.97068952406528</v>
      </c>
      <c r="O18" s="1">
        <f>$L18*'TABELA AUXILIAR'!$I$4*(B18-A18)</f>
        <v>323.3298971431347</v>
      </c>
      <c r="P18" s="1">
        <f>$L18*'TABELA AUXILIAR'!$I$5*(B18-A18)</f>
        <v>373.25583714317753</v>
      </c>
      <c r="Q18" s="1">
        <f>$M18*'TABELA AUXILIAR'!$J$3+SUM(N$2:N18)</f>
        <v>4787.7169821736088</v>
      </c>
      <c r="R18" s="1">
        <f>$M18*'TABELA AUXILIAR'!$J$4+SUM(O$2:O18)</f>
        <v>5336.1673421956157</v>
      </c>
      <c r="S18" s="1">
        <f>$M18*'TABELA AUXILIAR'!$J$5+SUM(P$2:P18)</f>
        <v>6515.0041789214592</v>
      </c>
      <c r="T18" s="2">
        <f t="shared" si="7"/>
        <v>2393</v>
      </c>
      <c r="U18" s="2">
        <f t="shared" si="7"/>
        <v>2668</v>
      </c>
      <c r="V18" s="2">
        <f t="shared" si="7"/>
        <v>3257</v>
      </c>
    </row>
    <row r="19" spans="1:22" x14ac:dyDescent="0.25">
      <c r="A19" s="1">
        <v>10.199999999999999</v>
      </c>
      <c r="B19" s="1">
        <v>10.8</v>
      </c>
      <c r="C19" s="1">
        <v>31</v>
      </c>
      <c r="D19" s="1" t="s">
        <v>19</v>
      </c>
      <c r="E19" s="1" t="s">
        <v>10</v>
      </c>
      <c r="F19" s="1" cm="1">
        <f t="array" ref="F19">_xlfn.XLOOKUP(D19,'TABELA AUXILIAR'!$A$2:$A$5,IF('SPT-03'!A19&lt;3,'TABELA AUXILIAR'!$B$2:$B$5,'TABELA AUXILIAR'!$C$2:$C$5),"",0,1)</f>
        <v>10.5</v>
      </c>
      <c r="G19" s="6">
        <f t="shared" si="1"/>
        <v>34.429054914562634</v>
      </c>
      <c r="H19" s="2">
        <f t="shared" si="2"/>
        <v>41.220527583275306</v>
      </c>
      <c r="I19" s="2">
        <f t="shared" si="3"/>
        <v>523.14948942677916</v>
      </c>
      <c r="J19" s="1">
        <f t="shared" si="8"/>
        <v>124.9499999999999</v>
      </c>
      <c r="K19" s="1">
        <f t="shared" si="4"/>
        <v>0.76761520908012282</v>
      </c>
      <c r="L19" s="1">
        <f t="shared" si="5"/>
        <v>95.913520374561273</v>
      </c>
      <c r="M19" s="1">
        <f t="shared" si="6"/>
        <v>1057.3697974655679</v>
      </c>
      <c r="N19" s="1">
        <f>$L19*'TABELA AUXILIAR'!$I$3*(B19-A19)</f>
        <v>216.38090196501074</v>
      </c>
      <c r="O19" s="1">
        <f>$L19*'TABELA AUXILIAR'!$I$4*(B19-A19)</f>
        <v>234.79629787692653</v>
      </c>
      <c r="P19" s="1">
        <f>$L19*'TABELA AUXILIAR'!$I$5*(B19-A19)</f>
        <v>271.05160857851081</v>
      </c>
      <c r="Q19" s="1">
        <f>$M19*'TABELA AUXILIAR'!$J$3+SUM(N$2:N19)</f>
        <v>4501.0305486207326</v>
      </c>
      <c r="R19" s="1">
        <f>$M19*'TABELA AUXILIAR'!$J$4+SUM(O$2:O19)</f>
        <v>4983.309761414479</v>
      </c>
      <c r="S19" s="1">
        <f>$M19*'TABELA AUXILIAR'!$J$5+SUM(P$2:P19)</f>
        <v>6002.5172826225535</v>
      </c>
      <c r="T19" s="2">
        <f t="shared" si="7"/>
        <v>2250</v>
      </c>
      <c r="U19" s="2">
        <f t="shared" si="7"/>
        <v>2491</v>
      </c>
      <c r="V19" s="2">
        <f t="shared" si="7"/>
        <v>3001</v>
      </c>
    </row>
    <row r="20" spans="1:22" x14ac:dyDescent="0.25">
      <c r="A20" s="1">
        <v>10.8</v>
      </c>
      <c r="B20" s="1">
        <v>11.4</v>
      </c>
      <c r="C20" s="1">
        <v>50</v>
      </c>
      <c r="D20" s="1" t="s">
        <v>19</v>
      </c>
      <c r="E20" s="1" t="s">
        <v>11</v>
      </c>
      <c r="F20" s="1" cm="1">
        <f t="array" ref="F20">_xlfn.XLOOKUP(D20,'TABELA AUXILIAR'!$A$2:$A$5,IF('SPT-03'!A20&lt;3,'TABELA AUXILIAR'!$B$2:$B$5,'TABELA AUXILIAR'!$C$2:$C$5),"",0,1)</f>
        <v>10.5</v>
      </c>
      <c r="G20" s="6">
        <f t="shared" si="1"/>
        <v>56.913453285289755</v>
      </c>
      <c r="H20" s="2">
        <f t="shared" si="2"/>
        <v>43.13052403989137</v>
      </c>
      <c r="I20" s="2">
        <f t="shared" si="3"/>
        <v>864.79992266997772</v>
      </c>
      <c r="J20" s="1">
        <f t="shared" si="8"/>
        <v>131.24999999999991</v>
      </c>
      <c r="K20" s="1">
        <f t="shared" si="4"/>
        <v>1.0754338553281368</v>
      </c>
      <c r="L20" s="1">
        <f t="shared" si="5"/>
        <v>141.15069351181788</v>
      </c>
      <c r="M20" s="1">
        <f t="shared" si="6"/>
        <v>1596.3619973049824</v>
      </c>
      <c r="N20" s="1">
        <f>$L20*'TABELA AUXILIAR'!$I$3*(B20-A20)</f>
        <v>318.43596456266096</v>
      </c>
      <c r="O20" s="1">
        <f>$L20*'TABELA AUXILIAR'!$I$4*(B20-A20)</f>
        <v>345.53689771692996</v>
      </c>
      <c r="P20" s="1">
        <f>$L20*'TABELA AUXILIAR'!$I$5*(B20-A20)</f>
        <v>398.89185986439708</v>
      </c>
      <c r="Q20" s="1">
        <f>$M20*'TABELA AUXILIAR'!$J$3+SUM(N$2:N20)</f>
        <v>5428.527699001932</v>
      </c>
      <c r="R20" s="1">
        <f>$M20*'TABELA AUXILIAR'!$J$4+SUM(O$2:O20)</f>
        <v>6040.3163629194369</v>
      </c>
      <c r="S20" s="1">
        <f>$M20*'TABELA AUXILIAR'!$J$5+SUM(P$2:P20)</f>
        <v>7350.0354142043197</v>
      </c>
      <c r="T20" s="2">
        <f t="shared" si="7"/>
        <v>2714</v>
      </c>
      <c r="U20" s="2">
        <f t="shared" si="7"/>
        <v>3020</v>
      </c>
      <c r="V20" s="2">
        <f t="shared" si="7"/>
        <v>3675</v>
      </c>
    </row>
    <row r="21" spans="1:22" x14ac:dyDescent="0.25">
      <c r="A21" s="1">
        <v>11.4</v>
      </c>
      <c r="B21" s="1">
        <v>12</v>
      </c>
      <c r="C21" s="1">
        <v>50</v>
      </c>
      <c r="D21" s="1" t="s">
        <v>19</v>
      </c>
      <c r="E21" s="1" t="s">
        <v>11</v>
      </c>
      <c r="F21" s="1" cm="1">
        <f t="array" ref="F21">_xlfn.XLOOKUP(D21,'TABELA AUXILIAR'!$A$2:$A$5,IF('SPT-03'!A21&lt;3,'TABELA AUXILIAR'!$B$2:$B$5,'TABELA AUXILIAR'!$C$2:$C$5),"",0,1)</f>
        <v>10.5</v>
      </c>
      <c r="G21" s="6">
        <f t="shared" si="1"/>
        <v>58.263367056581863</v>
      </c>
      <c r="H21" s="2">
        <f t="shared" si="2"/>
        <v>43.13052403989137</v>
      </c>
      <c r="I21" s="2">
        <f t="shared" si="3"/>
        <v>885.31186242476133</v>
      </c>
      <c r="J21" s="1">
        <f t="shared" si="8"/>
        <v>137.54999999999993</v>
      </c>
      <c r="K21" s="1">
        <f t="shared" si="4"/>
        <v>1.058336025894139</v>
      </c>
      <c r="L21" s="1">
        <f t="shared" si="5"/>
        <v>145.57412036173875</v>
      </c>
      <c r="M21" s="1">
        <f t="shared" si="6"/>
        <v>1641.9054714214556</v>
      </c>
      <c r="N21" s="1">
        <f>$L21*'TABELA AUXILIAR'!$I$3*(B21-A21)</f>
        <v>328.41521553608243</v>
      </c>
      <c r="O21" s="1">
        <f>$L21*'TABELA AUXILIAR'!$I$4*(B21-A21)</f>
        <v>356.36544664553628</v>
      </c>
      <c r="P21" s="1">
        <f>$L21*'TABELA AUXILIAR'!$I$5*(B21-A21)</f>
        <v>411.39246414227347</v>
      </c>
      <c r="Q21" s="1">
        <f>$M21*'TABELA AUXILIAR'!$J$3+SUM(N$2:N21)</f>
        <v>5808.4070402896286</v>
      </c>
      <c r="R21" s="1">
        <f>$M21*'TABELA AUXILIAR'!$J$4+SUM(O$2:O21)</f>
        <v>6456.7991953987166</v>
      </c>
      <c r="S21" s="1">
        <f>$M21*'TABELA AUXILIAR'!$J$5+SUM(P$2:P21)</f>
        <v>7841.5843927915867</v>
      </c>
      <c r="T21" s="2">
        <f t="shared" si="7"/>
        <v>2904</v>
      </c>
      <c r="U21" s="2">
        <f t="shared" si="7"/>
        <v>3228</v>
      </c>
      <c r="V21" s="2">
        <f t="shared" si="7"/>
        <v>3920</v>
      </c>
    </row>
    <row r="22" spans="1:22" x14ac:dyDescent="0.25">
      <c r="A22" s="1">
        <v>12</v>
      </c>
      <c r="B22" s="1">
        <v>12.6</v>
      </c>
      <c r="C22" s="1">
        <v>50</v>
      </c>
      <c r="D22" s="1" t="s">
        <v>19</v>
      </c>
      <c r="E22" s="1" t="s">
        <v>11</v>
      </c>
      <c r="F22" s="1" cm="1">
        <f t="array" ref="F22">_xlfn.XLOOKUP(D22,'TABELA AUXILIAR'!$A$2:$A$5,IF('SPT-03'!A22&lt;3,'TABELA AUXILIAR'!$B$2:$B$5,'TABELA AUXILIAR'!$C$2:$C$5),"",0,1)</f>
        <v>10.5</v>
      </c>
      <c r="G22" s="6">
        <f t="shared" si="1"/>
        <v>59.582704845308243</v>
      </c>
      <c r="H22" s="2">
        <f t="shared" si="2"/>
        <v>43.13052403989137</v>
      </c>
      <c r="I22" s="2">
        <f t="shared" si="3"/>
        <v>905.35920012445865</v>
      </c>
      <c r="J22" s="1">
        <f t="shared" si="8"/>
        <v>143.84999999999994</v>
      </c>
      <c r="K22" s="1">
        <f t="shared" si="4"/>
        <v>1.0422579330551689</v>
      </c>
      <c r="L22" s="1">
        <f t="shared" si="5"/>
        <v>149.92880366998597</v>
      </c>
      <c r="M22" s="1">
        <f t="shared" si="6"/>
        <v>1686.6218139845469</v>
      </c>
      <c r="N22" s="1">
        <f>$L22*'TABELA AUXILIAR'!$I$3*(B22-A22)</f>
        <v>338.23938107948811</v>
      </c>
      <c r="O22" s="1">
        <f>$L22*'TABELA AUXILIAR'!$I$4*(B22-A22)</f>
        <v>367.02571138412549</v>
      </c>
      <c r="P22" s="1">
        <f>$L22*'TABELA AUXILIAR'!$I$5*(B22-A22)</f>
        <v>423.69879917138007</v>
      </c>
      <c r="Q22" s="1">
        <f>$M22*'TABELA AUXILIAR'!$J$3+SUM(N$2:N22)</f>
        <v>6197.17588846541</v>
      </c>
      <c r="R22" s="1">
        <f>$M22*'TABELA AUXILIAR'!$J$4+SUM(O$2:O22)</f>
        <v>6882.8504789661229</v>
      </c>
      <c r="S22" s="1">
        <f>$M22*'TABELA AUXILIAR'!$J$5+SUM(P$2:P22)</f>
        <v>8343.9839548740074</v>
      </c>
      <c r="T22" s="2">
        <f t="shared" si="7"/>
        <v>3098</v>
      </c>
      <c r="U22" s="2">
        <f t="shared" si="7"/>
        <v>3441</v>
      </c>
      <c r="V22" s="2">
        <f t="shared" si="7"/>
        <v>4171</v>
      </c>
    </row>
    <row r="23" spans="1:22" x14ac:dyDescent="0.25">
      <c r="A23" s="1">
        <v>12.6</v>
      </c>
      <c r="B23" s="1">
        <v>13.2</v>
      </c>
      <c r="C23" s="1">
        <v>47</v>
      </c>
      <c r="D23" s="1" t="s">
        <v>19</v>
      </c>
      <c r="E23" s="1" t="s">
        <v>11</v>
      </c>
      <c r="F23" s="1" cm="1">
        <f t="array" ref="F23">_xlfn.XLOOKUP(D23,'TABELA AUXILIAR'!$A$2:$A$5,IF('SPT-03'!A23&lt;3,'TABELA AUXILIAR'!$B$2:$B$5,'TABELA AUXILIAR'!$C$2:$C$5),"",0,1)</f>
        <v>10.5</v>
      </c>
      <c r="G23" s="6">
        <f t="shared" si="1"/>
        <v>57.221047460336173</v>
      </c>
      <c r="H23" s="2">
        <f t="shared" si="2"/>
        <v>42.883300293008602</v>
      </c>
      <c r="I23" s="2">
        <f t="shared" si="3"/>
        <v>869.47381615980805</v>
      </c>
      <c r="J23" s="1">
        <f t="shared" si="8"/>
        <v>150.14999999999995</v>
      </c>
      <c r="K23" s="1">
        <f t="shared" si="4"/>
        <v>0.98036365890116628</v>
      </c>
      <c r="L23" s="1">
        <f t="shared" si="5"/>
        <v>147.20160338401007</v>
      </c>
      <c r="M23" s="1">
        <f t="shared" si="6"/>
        <v>1646.9836128720856</v>
      </c>
      <c r="N23" s="1">
        <f>$L23*'TABELA AUXILIAR'!$I$3*(B23-A23)</f>
        <v>332.08681723432653</v>
      </c>
      <c r="O23" s="1">
        <f>$L23*'TABELA AUXILIAR'!$I$4*(B23-A23)</f>
        <v>360.34952508405644</v>
      </c>
      <c r="P23" s="1">
        <f>$L23*'TABELA AUXILIAR'!$I$5*(B23-A23)</f>
        <v>415.99173116321225</v>
      </c>
      <c r="Q23" s="1">
        <f>$M23*'TABELA AUXILIAR'!$J$3+SUM(N$2:N23)</f>
        <v>6484.4715384426554</v>
      </c>
      <c r="R23" s="1">
        <f>$M23*'TABELA AUXILIAR'!$J$4+SUM(O$2:O23)</f>
        <v>7190.8775785817306</v>
      </c>
      <c r="S23" s="1">
        <f>$M23*'TABELA AUXILIAR'!$J$5+SUM(P$2:P23)</f>
        <v>8690.2124520792877</v>
      </c>
      <c r="T23" s="2">
        <f t="shared" si="7"/>
        <v>3242</v>
      </c>
      <c r="U23" s="2">
        <f t="shared" si="7"/>
        <v>3595</v>
      </c>
      <c r="V23" s="2">
        <f t="shared" si="7"/>
        <v>4345</v>
      </c>
    </row>
    <row r="24" spans="1:22" x14ac:dyDescent="0.25">
      <c r="A24" s="1">
        <v>13.2</v>
      </c>
      <c r="B24" s="1">
        <v>13.8</v>
      </c>
      <c r="C24" s="1">
        <v>50</v>
      </c>
      <c r="D24" s="1" t="s">
        <v>19</v>
      </c>
      <c r="E24" s="1" t="s">
        <v>11</v>
      </c>
      <c r="F24" s="1" cm="1">
        <f t="array" ref="F24">_xlfn.XLOOKUP(D24,'TABELA AUXILIAR'!$A$2:$A$5,IF('SPT-03'!A24&lt;3,'TABELA AUXILIAR'!$B$2:$B$5,'TABELA AUXILIAR'!$C$2:$C$5),"",0,1)</f>
        <v>10.5</v>
      </c>
      <c r="G24" s="6">
        <f t="shared" si="1"/>
        <v>62.137398308179733</v>
      </c>
      <c r="H24" s="2">
        <f t="shared" si="2"/>
        <v>43.13052403989137</v>
      </c>
      <c r="I24" s="2">
        <f t="shared" si="3"/>
        <v>944.17776729279092</v>
      </c>
      <c r="J24" s="1">
        <f t="shared" si="8"/>
        <v>156.44999999999996</v>
      </c>
      <c r="K24" s="1">
        <f t="shared" si="4"/>
        <v>1.0127682785466818</v>
      </c>
      <c r="L24" s="1">
        <f t="shared" si="5"/>
        <v>158.44759717862834</v>
      </c>
      <c r="M24" s="1">
        <f t="shared" si="6"/>
        <v>1773.7692991376557</v>
      </c>
      <c r="N24" s="1">
        <f>$L24*'TABELA AUXILIAR'!$I$3*(B24-A24)</f>
        <v>357.45777923498633</v>
      </c>
      <c r="O24" s="1">
        <f>$L24*'TABELA AUXILIAR'!$I$4*(B24-A24)</f>
        <v>387.87971789328316</v>
      </c>
      <c r="P24" s="1">
        <f>$L24*'TABELA AUXILIAR'!$I$5*(B24-A24)</f>
        <v>447.77290962680473</v>
      </c>
      <c r="Q24" s="1">
        <f>$M24*'TABELA AUXILIAR'!$J$3+SUM(N$2:N24)</f>
        <v>6985.1971431577358</v>
      </c>
      <c r="R24" s="1">
        <f>$M24*'TABELA AUXILIAR'!$J$4+SUM(O$2:O24)</f>
        <v>7746.1144023455654</v>
      </c>
      <c r="S24" s="1">
        <f>$M24*'TABELA AUXILIAR'!$J$5+SUM(P$2:P24)</f>
        <v>9361.1281695334965</v>
      </c>
      <c r="T24" s="2">
        <f t="shared" si="7"/>
        <v>3492</v>
      </c>
      <c r="U24" s="2">
        <f t="shared" si="7"/>
        <v>3873</v>
      </c>
      <c r="V24" s="2">
        <f t="shared" si="7"/>
        <v>4680</v>
      </c>
    </row>
    <row r="25" spans="1:22" x14ac:dyDescent="0.25">
      <c r="A25" s="1">
        <v>13.8</v>
      </c>
      <c r="B25" s="1">
        <v>14.4</v>
      </c>
      <c r="C25" s="1">
        <v>37</v>
      </c>
      <c r="D25" s="1" t="s">
        <v>19</v>
      </c>
      <c r="E25" s="1" t="s">
        <v>11</v>
      </c>
      <c r="F25" s="1" cm="1">
        <f t="array" ref="F25">_xlfn.XLOOKUP(D25,'TABELA AUXILIAR'!$A$2:$A$5,IF('SPT-03'!A25&lt;3,'TABELA AUXILIAR'!$B$2:$B$5,'TABELA AUXILIAR'!$C$2:$C$5),"",0,1)</f>
        <v>10.5</v>
      </c>
      <c r="G25" s="6">
        <f t="shared" si="1"/>
        <v>46.898343151179283</v>
      </c>
      <c r="H25" s="2">
        <f t="shared" si="2"/>
        <v>41.927455861416355</v>
      </c>
      <c r="I25" s="2">
        <f t="shared" si="3"/>
        <v>712.62032418216916</v>
      </c>
      <c r="J25" s="1">
        <f t="shared" si="8"/>
        <v>162.74999999999997</v>
      </c>
      <c r="K25" s="1">
        <f t="shared" si="4"/>
        <v>0.79938616516213401</v>
      </c>
      <c r="L25" s="1">
        <f t="shared" si="5"/>
        <v>130.1000983801373</v>
      </c>
      <c r="M25" s="1">
        <f t="shared" si="6"/>
        <v>1427.4791296142255</v>
      </c>
      <c r="N25" s="1">
        <f>$L25*'TABELA AUXILIAR'!$I$3*(B25-A25)</f>
        <v>293.50582194558956</v>
      </c>
      <c r="O25" s="1">
        <f>$L25*'TABELA AUXILIAR'!$I$4*(B25-A25)</f>
        <v>318.4850408345759</v>
      </c>
      <c r="P25" s="1">
        <f>$L25*'TABELA AUXILIAR'!$I$5*(B25-A25)</f>
        <v>367.66287802226776</v>
      </c>
      <c r="Q25" s="1">
        <f>$M25*'TABELA AUXILIAR'!$J$3+SUM(N$2:N25)</f>
        <v>6887.3950735418493</v>
      </c>
      <c r="R25" s="1">
        <f>$M25*'TABELA AUXILIAR'!$J$4+SUM(O$2:O25)</f>
        <v>7607.4964194092126</v>
      </c>
      <c r="S25" s="1">
        <f>$M25*'TABELA AUXILIAR'!$J$5+SUM(P$2:P25)</f>
        <v>9119.3203491945278</v>
      </c>
      <c r="T25" s="2">
        <f t="shared" si="7"/>
        <v>3443</v>
      </c>
      <c r="U25" s="2">
        <f t="shared" si="7"/>
        <v>3803</v>
      </c>
      <c r="V25" s="2">
        <f t="shared" si="7"/>
        <v>4559</v>
      </c>
    </row>
    <row r="26" spans="1:22" x14ac:dyDescent="0.25">
      <c r="A26" s="1">
        <v>14.4</v>
      </c>
      <c r="B26" s="1">
        <v>15</v>
      </c>
      <c r="C26" s="1">
        <v>50</v>
      </c>
      <c r="D26" s="1" t="s">
        <v>19</v>
      </c>
      <c r="E26" s="1" t="s">
        <v>4</v>
      </c>
      <c r="F26" s="1" cm="1">
        <f t="array" ref="F26">_xlfn.XLOOKUP(D26,'TABELA AUXILIAR'!$A$2:$A$5,IF('SPT-03'!A26&lt;3,'TABELA AUXILIAR'!$B$2:$B$5,'TABELA AUXILIAR'!$C$2:$C$5),"",0,1)</f>
        <v>10.5</v>
      </c>
      <c r="G26" s="6">
        <f t="shared" si="1"/>
        <v>64.591128031143995</v>
      </c>
      <c r="H26" s="2">
        <f t="shared" si="2"/>
        <v>43.13052403989137</v>
      </c>
      <c r="I26" s="2">
        <f t="shared" si="3"/>
        <v>981.46219043323288</v>
      </c>
      <c r="J26" s="1">
        <f t="shared" si="8"/>
        <v>169.04999999999998</v>
      </c>
      <c r="K26" s="1">
        <f t="shared" si="4"/>
        <v>0.98630450816821924</v>
      </c>
      <c r="L26" s="1">
        <f t="shared" si="5"/>
        <v>166.73477710583745</v>
      </c>
      <c r="M26" s="1">
        <f t="shared" si="6"/>
        <v>1858.1505503271469</v>
      </c>
      <c r="N26" s="1">
        <f>$L26*'TABELA AUXILIAR'!$I$3*(B26-A26)</f>
        <v>376.15365715076905</v>
      </c>
      <c r="O26" s="1">
        <f>$L26*'TABELA AUXILIAR'!$I$4*(B26-A26)</f>
        <v>408.16673435508983</v>
      </c>
      <c r="P26" s="1">
        <f>$L26*'TABELA AUXILIAR'!$I$5*(B26-A26)</f>
        <v>471.19248010109635</v>
      </c>
      <c r="Q26" s="1">
        <f>$M26*'TABELA AUXILIAR'!$J$3+SUM(N$2:N26)</f>
        <v>7750.2074360982187</v>
      </c>
      <c r="R26" s="1">
        <f>$M26*'TABELA AUXILIAR'!$J$4+SUM(O$2:O26)</f>
        <v>8584.1494291053586</v>
      </c>
      <c r="S26" s="1">
        <f>$M26*'TABELA AUXILIAR'!$J$5+SUM(P$2:P26)</f>
        <v>10348.494529750365</v>
      </c>
      <c r="T26" s="2">
        <f t="shared" si="7"/>
        <v>3875</v>
      </c>
      <c r="U26" s="2">
        <f t="shared" si="7"/>
        <v>4292</v>
      </c>
      <c r="V26" s="2">
        <f t="shared" si="7"/>
        <v>5174</v>
      </c>
    </row>
    <row r="27" spans="1:22" x14ac:dyDescent="0.25">
      <c r="A27" s="1">
        <v>15</v>
      </c>
      <c r="B27" s="1">
        <v>15.6</v>
      </c>
      <c r="C27" s="1">
        <v>42</v>
      </c>
      <c r="D27" s="1" t="s">
        <v>19</v>
      </c>
      <c r="E27" s="1" t="s">
        <v>4</v>
      </c>
      <c r="F27" s="1" cm="1">
        <f t="array" ref="F27">_xlfn.XLOOKUP(D27,'TABELA AUXILIAR'!$A$2:$A$5,IF('SPT-03'!A27&lt;3,'TABELA AUXILIAR'!$B$2:$B$5,'TABELA AUXILIAR'!$C$2:$C$5),"",0,1)</f>
        <v>10.5</v>
      </c>
      <c r="G27" s="6">
        <f t="shared" si="1"/>
        <v>55.258291467553796</v>
      </c>
      <c r="H27" s="2">
        <f t="shared" si="2"/>
        <v>42.433893471660681</v>
      </c>
      <c r="I27" s="2">
        <f t="shared" si="3"/>
        <v>839.64973884947983</v>
      </c>
      <c r="J27" s="1">
        <f t="shared" si="8"/>
        <v>175.35</v>
      </c>
      <c r="K27" s="1">
        <f t="shared" si="4"/>
        <v>0.85552091027379462</v>
      </c>
      <c r="L27" s="1">
        <f t="shared" si="5"/>
        <v>150.01559161650988</v>
      </c>
      <c r="M27" s="1">
        <f t="shared" si="6"/>
        <v>1652.1089512033966</v>
      </c>
      <c r="N27" s="1">
        <f>$L27*'TABELA AUXILIAR'!$I$3*(B27-A27)</f>
        <v>338.4351746868461</v>
      </c>
      <c r="O27" s="1">
        <f>$L27*'TABELA AUXILIAR'!$I$4*(B27-A27)</f>
        <v>367.23816827721595</v>
      </c>
      <c r="P27" s="1">
        <f>$L27*'TABELA AUXILIAR'!$I$5*(B27-A27)</f>
        <v>423.94406190825669</v>
      </c>
      <c r="Q27" s="1">
        <f>$M27*'TABELA AUXILIAR'!$J$3+SUM(N$2:N27)</f>
        <v>7855.8156037752278</v>
      </c>
      <c r="R27" s="1">
        <f>$M27*'TABELA AUXILIAR'!$J$4+SUM(O$2:O27)</f>
        <v>8679.4126865392245</v>
      </c>
      <c r="S27" s="1">
        <f>$M27*'TABELA AUXILIAR'!$J$5+SUM(P$2:P27)</f>
        <v>10409.805377200822</v>
      </c>
      <c r="T27" s="2">
        <f t="shared" si="7"/>
        <v>3927</v>
      </c>
      <c r="U27" s="2">
        <f t="shared" si="7"/>
        <v>4339</v>
      </c>
      <c r="V27" s="2">
        <f t="shared" si="7"/>
        <v>5204</v>
      </c>
    </row>
    <row r="28" spans="1:22" x14ac:dyDescent="0.25">
      <c r="A28" s="1">
        <v>15.6</v>
      </c>
      <c r="B28" s="1">
        <v>16.2</v>
      </c>
      <c r="C28" s="1">
        <v>38</v>
      </c>
      <c r="D28" s="1" t="s">
        <v>19</v>
      </c>
      <c r="E28" s="1" t="s">
        <v>4</v>
      </c>
      <c r="F28" s="1" cm="1">
        <f t="array" ref="F28">_xlfn.XLOOKUP(D28,'TABELA AUXILIAR'!$A$2:$A$5,IF('SPT-03'!A28&lt;3,'TABELA AUXILIAR'!$B$2:$B$5,'TABELA AUXILIAR'!$C$2:$C$5),"",0,1)</f>
        <v>10.5</v>
      </c>
      <c r="G28" s="6">
        <f t="shared" si="1"/>
        <v>50.885796294847452</v>
      </c>
      <c r="H28" s="2">
        <f t="shared" si="2"/>
        <v>42.034009088874654</v>
      </c>
      <c r="I28" s="2">
        <f t="shared" si="3"/>
        <v>773.20967470020696</v>
      </c>
      <c r="J28" s="1">
        <f t="shared" si="8"/>
        <v>181.65</v>
      </c>
      <c r="K28" s="1">
        <f t="shared" si="4"/>
        <v>0.7856609186758976</v>
      </c>
      <c r="L28" s="1">
        <f t="shared" si="5"/>
        <v>142.71530587747679</v>
      </c>
      <c r="M28" s="1">
        <f t="shared" si="6"/>
        <v>1557.6285843140247</v>
      </c>
      <c r="N28" s="1">
        <f>$L28*'TABELA AUXILIAR'!$I$3*(B28-A28)</f>
        <v>321.96573005958743</v>
      </c>
      <c r="O28" s="1">
        <f>$L28*'TABELA AUXILIAR'!$I$4*(B28-A28)</f>
        <v>349.36706878806297</v>
      </c>
      <c r="P28" s="1">
        <f>$L28*'TABELA AUXILIAR'!$I$5*(B28-A28)</f>
        <v>403.31345440974917</v>
      </c>
      <c r="Q28" s="1">
        <f>$M28*'TABELA AUXILIAR'!$J$3+SUM(N$2:N28)</f>
        <v>8071.0185192498247</v>
      </c>
      <c r="R28" s="1">
        <f>$M28*'TABELA AUXILIAR'!$J$4+SUM(O$2:O28)</f>
        <v>8904.0656710333169</v>
      </c>
      <c r="S28" s="1">
        <f>$M28*'TABELA AUXILIAR'!$J$5+SUM(P$2:P28)</f>
        <v>10646.833385885277</v>
      </c>
      <c r="T28" s="2">
        <f t="shared" si="7"/>
        <v>4035</v>
      </c>
      <c r="U28" s="2">
        <f t="shared" si="7"/>
        <v>4452</v>
      </c>
      <c r="V28" s="2">
        <f t="shared" si="7"/>
        <v>5323</v>
      </c>
    </row>
    <row r="29" spans="1:22" x14ac:dyDescent="0.25">
      <c r="A29" s="1">
        <v>16.2</v>
      </c>
      <c r="B29" s="1">
        <v>16.8</v>
      </c>
      <c r="C29" s="1">
        <v>27</v>
      </c>
      <c r="D29" s="1" t="s">
        <v>19</v>
      </c>
      <c r="E29" s="1" t="s">
        <v>4</v>
      </c>
      <c r="F29" s="1" cm="1">
        <f t="array" ref="F29">_xlfn.XLOOKUP(D29,'TABELA AUXILIAR'!$A$2:$A$5,IF('SPT-03'!A29&lt;3,'TABELA AUXILIAR'!$B$2:$B$5,'TABELA AUXILIAR'!$C$2:$C$5),"",0,1)</f>
        <v>10.5</v>
      </c>
      <c r="G29" s="6">
        <f t="shared" si="1"/>
        <v>36.77733083271103</v>
      </c>
      <c r="H29" s="2">
        <f t="shared" si="2"/>
        <v>40.668546630262682</v>
      </c>
      <c r="I29" s="2">
        <f t="shared" si="3"/>
        <v>558.83154200304409</v>
      </c>
      <c r="J29" s="1">
        <f t="shared" si="8"/>
        <v>187.95000000000002</v>
      </c>
      <c r="K29" s="1">
        <f t="shared" si="4"/>
        <v>0.60878168218545925</v>
      </c>
      <c r="L29" s="1">
        <f t="shared" si="5"/>
        <v>114.42051716675708</v>
      </c>
      <c r="M29" s="1">
        <f t="shared" si="6"/>
        <v>1209.5176191313028</v>
      </c>
      <c r="N29" s="1">
        <f>$L29*'TABELA AUXILIAR'!$I$3*(B29-A29)</f>
        <v>258.13268672820459</v>
      </c>
      <c r="O29" s="1">
        <f>$L29*'TABELA AUXILIAR'!$I$4*(B29-A29)</f>
        <v>280.10142602422201</v>
      </c>
      <c r="P29" s="1">
        <f>$L29*'TABELA AUXILIAR'!$I$5*(B29-A29)</f>
        <v>323.35238151325626</v>
      </c>
      <c r="Q29" s="1">
        <f>$M29*'TABELA AUXILIAR'!$J$3+SUM(N$2:N29)</f>
        <v>7935.7858153215529</v>
      </c>
      <c r="R29" s="1">
        <f>$M29*'TABELA AUXILIAR'!$J$4+SUM(O$2:O29)</f>
        <v>8724.6606230163452</v>
      </c>
      <c r="S29" s="1">
        <f>$M29*'TABELA AUXILIAR'!$J$5+SUM(P$2:P29)</f>
        <v>10357.510468676941</v>
      </c>
      <c r="T29" s="2">
        <f t="shared" si="7"/>
        <v>3967</v>
      </c>
      <c r="U29" s="2">
        <f t="shared" si="7"/>
        <v>4362</v>
      </c>
      <c r="V29" s="2">
        <f t="shared" si="7"/>
        <v>5178</v>
      </c>
    </row>
    <row r="30" spans="1:22" x14ac:dyDescent="0.25">
      <c r="A30" s="1">
        <v>16.8</v>
      </c>
      <c r="B30" s="1">
        <v>17.399999999999999</v>
      </c>
      <c r="C30" s="1">
        <v>39</v>
      </c>
      <c r="D30" s="1" t="s">
        <v>19</v>
      </c>
      <c r="E30" s="1" t="s">
        <v>4</v>
      </c>
      <c r="F30" s="1" cm="1">
        <f t="array" ref="F30">_xlfn.XLOOKUP(D30,'TABELA AUXILIAR'!$A$2:$A$5,IF('SPT-03'!A30&lt;3,'TABELA AUXILIAR'!$B$2:$B$5,'TABELA AUXILIAR'!$C$2:$C$5),"",0,1)</f>
        <v>10.5</v>
      </c>
      <c r="G30" s="6">
        <f t="shared" si="1"/>
        <v>54.005799293727641</v>
      </c>
      <c r="H30" s="2">
        <f t="shared" si="2"/>
        <v>42.13779438464379</v>
      </c>
      <c r="I30" s="2">
        <f t="shared" si="3"/>
        <v>820.61812026819143</v>
      </c>
      <c r="J30" s="1">
        <f t="shared" si="8"/>
        <v>194.25</v>
      </c>
      <c r="K30" s="1">
        <f t="shared" si="4"/>
        <v>0.78287070849067519</v>
      </c>
      <c r="L30" s="1">
        <f t="shared" si="5"/>
        <v>152.07263512431365</v>
      </c>
      <c r="M30" s="1">
        <f t="shared" si="6"/>
        <v>1655.6330676245204</v>
      </c>
      <c r="N30" s="1">
        <f>$L30*'TABELA AUXILIAR'!$I$3*(B30-A30)</f>
        <v>343.07586484045038</v>
      </c>
      <c r="O30" s="1">
        <f>$L30*'TABELA AUXILIAR'!$I$4*(B30-A30)</f>
        <v>372.27381078431853</v>
      </c>
      <c r="P30" s="1">
        <f>$L30*'TABELA AUXILIAR'!$I$5*(B30-A30)</f>
        <v>429.75726686130884</v>
      </c>
      <c r="Q30" s="1">
        <f>$M30*'TABELA AUXILIAR'!$J$3+SUM(N$2:N30)</f>
        <v>8782.972136959339</v>
      </c>
      <c r="R30" s="1">
        <f>$M30*'TABELA AUXILIAR'!$J$4+SUM(O$2:O30)</f>
        <v>9685.806825811711</v>
      </c>
      <c r="S30" s="1">
        <f>$M30*'TABELA AUXILIAR'!$J$5+SUM(P$2:P30)</f>
        <v>11572.430924886314</v>
      </c>
      <c r="T30" s="2">
        <f t="shared" si="7"/>
        <v>4391</v>
      </c>
      <c r="U30" s="2">
        <f t="shared" si="7"/>
        <v>4842</v>
      </c>
      <c r="V30" s="2">
        <f t="shared" si="7"/>
        <v>5786</v>
      </c>
    </row>
    <row r="31" spans="1:22" x14ac:dyDescent="0.25">
      <c r="A31" s="1">
        <v>17.399999999999999</v>
      </c>
      <c r="B31" s="1">
        <v>18</v>
      </c>
      <c r="C31" s="1">
        <v>47</v>
      </c>
      <c r="D31" s="1" t="s">
        <v>19</v>
      </c>
      <c r="E31" s="1" t="s">
        <v>4</v>
      </c>
      <c r="F31" s="1" cm="1">
        <f t="array" ref="F31">_xlfn.XLOOKUP(D31,'TABELA AUXILIAR'!$A$2:$A$5,IF('SPT-03'!A31&lt;3,'TABELA AUXILIAR'!$B$2:$B$5,'TABELA AUXILIAR'!$C$2:$C$5),"",0,1)</f>
        <v>10.5</v>
      </c>
      <c r="G31" s="6">
        <f t="shared" si="1"/>
        <v>66.130905359240117</v>
      </c>
      <c r="H31" s="2">
        <f t="shared" si="2"/>
        <v>42.883300293008602</v>
      </c>
      <c r="I31" s="2">
        <f t="shared" si="3"/>
        <v>1004.8591069336535</v>
      </c>
      <c r="J31" s="1">
        <f t="shared" si="8"/>
        <v>200.54999999999998</v>
      </c>
      <c r="K31" s="1">
        <f t="shared" si="4"/>
        <v>0.88841979571591378</v>
      </c>
      <c r="L31" s="1">
        <f t="shared" si="5"/>
        <v>178.17259003082648</v>
      </c>
      <c r="M31" s="1">
        <f t="shared" si="6"/>
        <v>1959.3303959155699</v>
      </c>
      <c r="N31" s="1">
        <f>$L31*'TABELA AUXILIAR'!$I$3*(B31-A31)</f>
        <v>401.9573631095455</v>
      </c>
      <c r="O31" s="1">
        <f>$L31*'TABELA AUXILIAR'!$I$4*(B31-A31)</f>
        <v>436.16650039546425</v>
      </c>
      <c r="P31" s="1">
        <f>$L31*'TABELA AUXILIAR'!$I$5*(B31-A31)</f>
        <v>503.51573942711678</v>
      </c>
      <c r="Q31" s="1">
        <f>$M31*'TABELA AUXILIAR'!$J$3+SUM(N$2:N31)</f>
        <v>9528.1074810377704</v>
      </c>
      <c r="R31" s="1">
        <f>$M31*'TABELA AUXILIAR'!$J$4+SUM(O$2:O31)</f>
        <v>10522.853799551362</v>
      </c>
      <c r="S31" s="1">
        <f>$M31*'TABELA AUXILIAR'!$J$5+SUM(P$2:P31)</f>
        <v>12610.453962105677</v>
      </c>
      <c r="T31" s="2">
        <f t="shared" si="7"/>
        <v>4764</v>
      </c>
      <c r="U31" s="2">
        <f t="shared" si="7"/>
        <v>5261</v>
      </c>
      <c r="V31" s="2">
        <f t="shared" si="7"/>
        <v>6305</v>
      </c>
    </row>
    <row r="32" spans="1:22" x14ac:dyDescent="0.25">
      <c r="A32" s="1">
        <v>18</v>
      </c>
      <c r="B32" s="1">
        <v>18.600000000000001</v>
      </c>
      <c r="C32" s="1">
        <v>50</v>
      </c>
      <c r="D32" s="1" t="s">
        <v>18</v>
      </c>
      <c r="E32" s="1" t="s">
        <v>2</v>
      </c>
      <c r="F32" s="1" cm="1">
        <f t="array" ref="F32">_xlfn.XLOOKUP(D32,'TABELA AUXILIAR'!$A$2:$A$5,IF('SPT-03'!A32&lt;3,'TABELA AUXILIAR'!$B$2:$B$5,'TABELA AUXILIAR'!$C$2:$C$5),"",0,1)</f>
        <v>8.5</v>
      </c>
      <c r="G32" s="6">
        <f t="shared" si="1"/>
        <v>71.344789391703273</v>
      </c>
      <c r="H32" s="2">
        <f t="shared" si="2"/>
        <v>43.13052403989137</v>
      </c>
      <c r="I32" s="2">
        <f t="shared" si="3"/>
        <v>1446.7620608082029</v>
      </c>
      <c r="J32" s="1">
        <f t="shared" si="8"/>
        <v>206.25</v>
      </c>
      <c r="K32" s="1">
        <f t="shared" si="4"/>
        <v>1.1224585722062561</v>
      </c>
      <c r="L32" s="1">
        <f t="shared" si="5"/>
        <v>231.50708051754032</v>
      </c>
      <c r="M32" s="1">
        <f t="shared" si="6"/>
        <v>2093.6696985171993</v>
      </c>
      <c r="N32" s="1">
        <f>$L32*'TABELA AUXILIAR'!$I$3*(B32-A32)</f>
        <v>522.27997364757221</v>
      </c>
      <c r="O32" s="1">
        <f>$L32*'TABELA AUXILIAR'!$I$4*(B32-A32)</f>
        <v>566.72933310694009</v>
      </c>
      <c r="P32" s="1">
        <f>$L32*'TABELA AUXILIAR'!$I$5*(B32-A32)</f>
        <v>654.23900954257044</v>
      </c>
      <c r="Q32" s="1">
        <f>$M32*'TABELA AUXILIAR'!$J$3+SUM(N$2:N32)</f>
        <v>10202.190866625184</v>
      </c>
      <c r="R32" s="1">
        <f>$M32*'TABELA AUXILIAR'!$J$4+SUM(O$2:O32)</f>
        <v>11266.911012092452</v>
      </c>
      <c r="S32" s="1">
        <f>$M32*'TABELA AUXILIAR'!$J$5+SUM(P$2:P32)</f>
        <v>13501.130144227116</v>
      </c>
      <c r="T32" s="2">
        <f t="shared" si="7"/>
        <v>5101</v>
      </c>
      <c r="U32" s="2">
        <f t="shared" si="7"/>
        <v>5633</v>
      </c>
      <c r="V32" s="2">
        <f t="shared" si="7"/>
        <v>6750</v>
      </c>
    </row>
    <row r="33" spans="1:22" x14ac:dyDescent="0.25">
      <c r="A33" s="1">
        <v>18.600000000000001</v>
      </c>
      <c r="B33" s="1">
        <v>19.2</v>
      </c>
      <c r="C33" s="1">
        <v>36</v>
      </c>
      <c r="D33" s="1" t="s">
        <v>18</v>
      </c>
      <c r="E33" s="1" t="s">
        <v>2</v>
      </c>
      <c r="F33" s="1" cm="1">
        <f t="array" ref="F33">_xlfn.XLOOKUP(D33,'TABELA AUXILIAR'!$A$2:$A$5,IF('SPT-03'!A33&lt;3,'TABELA AUXILIAR'!$B$2:$B$5,'TABELA AUXILIAR'!$C$2:$C$5),"",0,1)</f>
        <v>8.5</v>
      </c>
      <c r="G33" s="6">
        <f t="shared" si="1"/>
        <v>51.999468445912527</v>
      </c>
      <c r="H33" s="2">
        <f t="shared" si="2"/>
        <v>41.817983007059041</v>
      </c>
      <c r="I33" s="2">
        <f t="shared" si="3"/>
        <v>1123.3275924029931</v>
      </c>
      <c r="J33" s="1">
        <f t="shared" si="8"/>
        <v>211.35</v>
      </c>
      <c r="K33" s="1">
        <f t="shared" si="4"/>
        <v>0.90813945769779203</v>
      </c>
      <c r="L33" s="1">
        <f t="shared" si="5"/>
        <v>191.93527438442834</v>
      </c>
      <c r="M33" s="1">
        <f t="shared" si="6"/>
        <v>1633.5752380488943</v>
      </c>
      <c r="N33" s="1">
        <f>$L33*'TABELA AUXILIAR'!$I$3*(B33-A33)</f>
        <v>433.00597901126878</v>
      </c>
      <c r="O33" s="1">
        <f>$L33*'TABELA AUXILIAR'!$I$4*(B33-A33)</f>
        <v>469.8575516930789</v>
      </c>
      <c r="P33" s="1">
        <f>$L33*'TABELA AUXILIAR'!$I$5*(B33-A33)</f>
        <v>542.40908541039255</v>
      </c>
      <c r="Q33" s="1">
        <f>$M33*'TABELA AUXILIAR'!$J$3+SUM(N$2:N33)</f>
        <v>10115.290105307267</v>
      </c>
      <c r="R33" s="1">
        <f>$M33*'TABELA AUXILIAR'!$J$4+SUM(O$2:O33)</f>
        <v>11129.443875967369</v>
      </c>
      <c r="S33" s="1">
        <f>$M33*'TABELA AUXILIAR'!$J$5+SUM(P$2:P33)</f>
        <v>13233.772979213292</v>
      </c>
      <c r="T33" s="2">
        <f t="shared" si="7"/>
        <v>5057</v>
      </c>
      <c r="U33" s="2">
        <f t="shared" si="7"/>
        <v>5564</v>
      </c>
      <c r="V33" s="2">
        <f t="shared" si="7"/>
        <v>6616</v>
      </c>
    </row>
    <row r="34" spans="1:22" x14ac:dyDescent="0.25">
      <c r="A34" s="1">
        <v>19.2</v>
      </c>
      <c r="B34" s="1">
        <v>19.8</v>
      </c>
      <c r="C34" s="1">
        <v>50</v>
      </c>
      <c r="D34" s="1" t="s">
        <v>18</v>
      </c>
      <c r="E34" s="1" t="s">
        <v>2</v>
      </c>
      <c r="F34" s="1" cm="1">
        <f t="array" ref="F34">_xlfn.XLOOKUP(D34,'TABELA AUXILIAR'!$A$2:$A$5,IF('SPT-03'!A34&lt;3,'TABELA AUXILIAR'!$B$2:$B$5,'TABELA AUXILIAR'!$C$2:$C$5),"",0,1)</f>
        <v>8.5</v>
      </c>
      <c r="G34" s="6">
        <f t="shared" si="1"/>
        <v>73.087663222332438</v>
      </c>
      <c r="H34" s="2">
        <f t="shared" si="2"/>
        <v>43.13052403989137</v>
      </c>
      <c r="I34" s="2">
        <f t="shared" si="3"/>
        <v>1474.96788605745</v>
      </c>
      <c r="J34" s="1">
        <f t="shared" si="8"/>
        <v>216.45</v>
      </c>
      <c r="K34" s="1">
        <f t="shared" si="4"/>
        <v>1.1004519620469775</v>
      </c>
      <c r="L34" s="1">
        <f t="shared" si="5"/>
        <v>238.19282718506827</v>
      </c>
      <c r="M34" s="1">
        <f t="shared" si="6"/>
        <v>2155.1938909621322</v>
      </c>
      <c r="N34" s="1">
        <f>$L34*'TABELA AUXILIAR'!$I$3*(B34-A34)</f>
        <v>537.36301812951524</v>
      </c>
      <c r="O34" s="1">
        <f>$L34*'TABELA AUXILIAR'!$I$4*(B34-A34)</f>
        <v>583.09604094904853</v>
      </c>
      <c r="P34" s="1">
        <f>$L34*'TABELA AUXILIAR'!$I$5*(B34-A34)</f>
        <v>673.13292962500452</v>
      </c>
      <c r="Q34" s="1">
        <f>$M34*'TABELA AUXILIAR'!$J$3+SUM(N$2:N34)</f>
        <v>11242.082201228743</v>
      </c>
      <c r="R34" s="1">
        <f>$M34*'TABELA AUXILIAR'!$J$4+SUM(O$2:O34)</f>
        <v>12401.076538761892</v>
      </c>
      <c r="S34" s="1">
        <f>$M34*'TABELA AUXILIAR'!$J$5+SUM(P$2:P34)</f>
        <v>14824.954737965594</v>
      </c>
      <c r="T34" s="2">
        <f t="shared" si="7"/>
        <v>5621</v>
      </c>
      <c r="U34" s="2">
        <f t="shared" si="7"/>
        <v>6200</v>
      </c>
      <c r="V34" s="2">
        <f t="shared" si="7"/>
        <v>7412</v>
      </c>
    </row>
    <row r="35" spans="1:22" x14ac:dyDescent="0.25">
      <c r="A35" s="1">
        <v>19.8</v>
      </c>
      <c r="B35" s="1">
        <v>20.399999999999999</v>
      </c>
      <c r="C35" s="1">
        <v>50</v>
      </c>
      <c r="D35" s="1" t="s">
        <v>18</v>
      </c>
      <c r="E35" s="1" t="s">
        <v>2</v>
      </c>
      <c r="F35" s="1" cm="1">
        <f t="array" ref="F35">_xlfn.XLOOKUP(D35,'TABELA AUXILIAR'!$A$2:$A$5,IF('SPT-03'!A35&lt;3,'TABELA AUXILIAR'!$B$2:$B$5,'TABELA AUXILIAR'!$C$2:$C$5),"",0,1)</f>
        <v>8.5</v>
      </c>
      <c r="G35" s="6">
        <f t="shared" si="1"/>
        <v>73.943696731218282</v>
      </c>
      <c r="H35" s="2">
        <f t="shared" si="2"/>
        <v>43.13052403989137</v>
      </c>
      <c r="I35" s="2">
        <f t="shared" si="3"/>
        <v>1488.7721307398563</v>
      </c>
      <c r="J35" s="1">
        <f t="shared" si="8"/>
        <v>221.54999999999998</v>
      </c>
      <c r="K35" s="1">
        <f t="shared" si="4"/>
        <v>1.089989421785033</v>
      </c>
      <c r="L35" s="1">
        <f t="shared" si="5"/>
        <v>241.48715639647403</v>
      </c>
      <c r="M35" s="1">
        <f t="shared" si="6"/>
        <v>2185.5203056752098</v>
      </c>
      <c r="N35" s="1">
        <f>$L35*'TABELA AUXILIAR'!$I$3*(B35-A35)</f>
        <v>544.79502483044348</v>
      </c>
      <c r="O35" s="1">
        <f>$L35*'TABELA AUXILIAR'!$I$4*(B35-A35)</f>
        <v>591.16055885856633</v>
      </c>
      <c r="P35" s="1">
        <f>$L35*'TABELA AUXILIAR'!$I$5*(B35-A35)</f>
        <v>682.44270397643322</v>
      </c>
      <c r="Q35" s="1">
        <f>$M35*'TABELA AUXILIAR'!$J$3+SUM(N$2:N35)</f>
        <v>11821.146074684964</v>
      </c>
      <c r="R35" s="1">
        <f>$M35*'TABELA AUXILIAR'!$J$4+SUM(O$2:O35)</f>
        <v>13032.267965041721</v>
      </c>
      <c r="S35" s="1">
        <f>$M35*'TABELA AUXILIAR'!$J$5+SUM(P$2:P35)</f>
        <v>15560.771931837045</v>
      </c>
      <c r="T35" s="2">
        <f t="shared" si="7"/>
        <v>5910</v>
      </c>
      <c r="U35" s="2">
        <f t="shared" si="7"/>
        <v>6516</v>
      </c>
      <c r="V35" s="2">
        <f t="shared" si="7"/>
        <v>7780</v>
      </c>
    </row>
    <row r="36" spans="1:22" x14ac:dyDescent="0.25">
      <c r="A36" s="1">
        <v>20.399999999999999</v>
      </c>
      <c r="B36" s="1">
        <v>21</v>
      </c>
      <c r="C36" s="1">
        <v>50</v>
      </c>
      <c r="D36" s="1" t="s">
        <v>18</v>
      </c>
      <c r="E36" s="1" t="s">
        <v>2</v>
      </c>
      <c r="F36" s="1" cm="1">
        <f t="array" ref="F36">_xlfn.XLOOKUP(D36,'TABELA AUXILIAR'!$A$2:$A$5,IF('SPT-03'!A36&lt;3,'TABELA AUXILIAR'!$B$2:$B$5,'TABELA AUXILIAR'!$C$2:$C$5),"",0,1)</f>
        <v>8.5</v>
      </c>
      <c r="G36" s="6">
        <f t="shared" si="1"/>
        <v>74.789932860350106</v>
      </c>
      <c r="H36" s="2">
        <f t="shared" si="2"/>
        <v>43.13052403989137</v>
      </c>
      <c r="I36" s="2">
        <f t="shared" si="3"/>
        <v>1502.3870032715961</v>
      </c>
      <c r="J36" s="1">
        <f t="shared" si="8"/>
        <v>226.64999999999998</v>
      </c>
      <c r="K36" s="1">
        <f t="shared" si="4"/>
        <v>1.0798611149475053</v>
      </c>
      <c r="L36" s="1">
        <f t="shared" si="5"/>
        <v>244.75052170285204</v>
      </c>
      <c r="M36" s="1">
        <f t="shared" si="6"/>
        <v>2215.56873153576</v>
      </c>
      <c r="N36" s="1">
        <f>$L36*'TABELA AUXILIAR'!$I$3*(B36-A36)</f>
        <v>552.15717696163551</v>
      </c>
      <c r="O36" s="1">
        <f>$L36*'TABELA AUXILIAR'!$I$4*(B36-A36)</f>
        <v>599.14927712858321</v>
      </c>
      <c r="P36" s="1">
        <f>$L36*'TABELA AUXILIAR'!$I$5*(B36-A36)</f>
        <v>691.66497433226152</v>
      </c>
      <c r="Q36" s="1">
        <f>$M36*'TABELA AUXILIAR'!$J$3+SUM(N$2:N36)</f>
        <v>12407.25797286902</v>
      </c>
      <c r="R36" s="1">
        <f>$M36*'TABELA AUXILIAR'!$J$4+SUM(O$2:O36)</f>
        <v>13671.08116430623</v>
      </c>
      <c r="S36" s="1">
        <f>$M36*'TABELA AUXILIAR'!$J$5+SUM(P$2:P36)</f>
        <v>16305.322135683875</v>
      </c>
      <c r="T36" s="2">
        <f t="shared" si="7"/>
        <v>6203</v>
      </c>
      <c r="U36" s="2">
        <f t="shared" si="7"/>
        <v>6835</v>
      </c>
      <c r="V36" s="2">
        <f t="shared" si="7"/>
        <v>8152</v>
      </c>
    </row>
    <row r="37" spans="1:22" x14ac:dyDescent="0.25">
      <c r="A37" s="1">
        <v>21</v>
      </c>
      <c r="B37" s="1">
        <v>21.6</v>
      </c>
      <c r="C37" s="1">
        <v>50</v>
      </c>
      <c r="D37" s="1" t="s">
        <v>18</v>
      </c>
      <c r="E37" s="1" t="s">
        <v>2</v>
      </c>
      <c r="F37" s="1" cm="1">
        <f t="array" ref="F37">_xlfn.XLOOKUP(D37,'TABELA AUXILIAR'!$A$2:$A$5,IF('SPT-03'!A37&lt;3,'TABELA AUXILIAR'!$B$2:$B$5,'TABELA AUXILIAR'!$C$2:$C$5),"",0,1)</f>
        <v>8.5</v>
      </c>
      <c r="G37" s="6">
        <f t="shared" si="1"/>
        <v>75.626700498124151</v>
      </c>
      <c r="H37" s="2">
        <f t="shared" si="2"/>
        <v>43.13052403989137</v>
      </c>
      <c r="I37" s="2">
        <f t="shared" si="3"/>
        <v>1515.8192768811998</v>
      </c>
      <c r="J37" s="1">
        <f t="shared" si="8"/>
        <v>231.75</v>
      </c>
      <c r="K37" s="1">
        <f t="shared" si="4"/>
        <v>1.07004919650318</v>
      </c>
      <c r="L37" s="1">
        <f t="shared" si="5"/>
        <v>247.98390128961196</v>
      </c>
      <c r="M37" s="1">
        <f t="shared" si="6"/>
        <v>2245.3478880252874</v>
      </c>
      <c r="N37" s="1">
        <f>$L37*'TABELA AUXILIAR'!$I$3*(B37-A37)</f>
        <v>559.45168130936588</v>
      </c>
      <c r="O37" s="1">
        <f>$L37*'TABELA AUXILIAR'!$I$4*(B37-A37)</f>
        <v>607.06459035697151</v>
      </c>
      <c r="P37" s="1">
        <f>$L37*'TABELA AUXILIAR'!$I$5*(B37-A37)</f>
        <v>700.80250504444496</v>
      </c>
      <c r="Q37" s="1">
        <f>$M37*'TABELA AUXILIAR'!$J$3+SUM(N$2:N37)</f>
        <v>13000.360101011551</v>
      </c>
      <c r="R37" s="1">
        <f>$M37*'TABELA AUXILIAR'!$J$4+SUM(O$2:O37)</f>
        <v>14317.454241229378</v>
      </c>
      <c r="S37" s="1">
        <f>$M37*'TABELA AUXILIAR'!$J$5+SUM(P$2:P37)</f>
        <v>17058.535956149888</v>
      </c>
      <c r="T37" s="2">
        <f t="shared" si="7"/>
        <v>6500</v>
      </c>
      <c r="U37" s="2">
        <f t="shared" si="7"/>
        <v>7158</v>
      </c>
      <c r="V37" s="2">
        <f t="shared" si="7"/>
        <v>8529</v>
      </c>
    </row>
    <row r="38" spans="1:22" x14ac:dyDescent="0.25">
      <c r="A38" s="1">
        <v>21.6</v>
      </c>
      <c r="B38" s="1">
        <v>22.2</v>
      </c>
      <c r="C38" s="1">
        <v>36</v>
      </c>
      <c r="D38" s="1" t="s">
        <v>18</v>
      </c>
      <c r="E38" s="1" t="s">
        <v>2</v>
      </c>
      <c r="F38" s="1" cm="1">
        <f t="array" ref="F38">_xlfn.XLOOKUP(D38,'TABELA AUXILIAR'!$A$2:$A$5,IF('SPT-03'!A38&lt;3,'TABELA AUXILIAR'!$B$2:$B$5,'TABELA AUXILIAR'!$C$2:$C$5),"",0,1)</f>
        <v>8.5</v>
      </c>
      <c r="G38" s="6">
        <f t="shared" si="1"/>
        <v>55.047103584390356</v>
      </c>
      <c r="H38" s="2">
        <f t="shared" si="2"/>
        <v>41.817983007059041</v>
      </c>
      <c r="I38" s="2">
        <f t="shared" si="3"/>
        <v>1175.6955689288995</v>
      </c>
      <c r="J38" s="1">
        <f t="shared" si="8"/>
        <v>236.85</v>
      </c>
      <c r="K38" s="1">
        <f t="shared" si="4"/>
        <v>0.86768308294979557</v>
      </c>
      <c r="L38" s="1">
        <f t="shared" si="5"/>
        <v>205.51073819665908</v>
      </c>
      <c r="M38" s="1">
        <f t="shared" si="6"/>
        <v>1749.1289336647219</v>
      </c>
      <c r="N38" s="1">
        <f>$L38*'TABELA AUXILIAR'!$I$3*(B38-A38)</f>
        <v>463.63222537166121</v>
      </c>
      <c r="O38" s="1">
        <f>$L38*'TABELA AUXILIAR'!$I$4*(B38-A38)</f>
        <v>503.09028710541963</v>
      </c>
      <c r="P38" s="1">
        <f>$L38*'TABELA AUXILIAR'!$I$5*(B38-A38)</f>
        <v>580.7733461437565</v>
      </c>
      <c r="Q38" s="1">
        <f>$M38*'TABELA AUXILIAR'!$J$3+SUM(N$2:N38)</f>
        <v>12903.264907955774</v>
      </c>
      <c r="R38" s="1">
        <f>$M38*'TABELA AUXILIAR'!$J$4+SUM(O$2:O38)</f>
        <v>14165.535508578851</v>
      </c>
      <c r="S38" s="1">
        <f>$M38*'TABELA AUXILIAR'!$J$5+SUM(P$2:P38)</f>
        <v>16765.963942619048</v>
      </c>
      <c r="T38" s="2">
        <f t="shared" si="7"/>
        <v>6451</v>
      </c>
      <c r="U38" s="2">
        <f t="shared" si="7"/>
        <v>7082</v>
      </c>
      <c r="V38" s="2">
        <f t="shared" si="7"/>
        <v>8382</v>
      </c>
    </row>
    <row r="39" spans="1:22" x14ac:dyDescent="0.25">
      <c r="A39" s="1">
        <v>22.2</v>
      </c>
      <c r="B39" s="1">
        <v>22.8</v>
      </c>
      <c r="C39" s="1">
        <v>36</v>
      </c>
      <c r="D39" s="1" t="s">
        <v>18</v>
      </c>
      <c r="E39" s="1" t="s">
        <v>2</v>
      </c>
      <c r="F39" s="1" cm="1">
        <f t="array" ref="F39">_xlfn.XLOOKUP(D39,'TABELA AUXILIAR'!$A$2:$A$5,IF('SPT-03'!A39&lt;3,'TABELA AUXILIAR'!$B$2:$B$5,'TABELA AUXILIAR'!$C$2:$C$5),"",0,1)</f>
        <v>8.5</v>
      </c>
      <c r="G39" s="6">
        <f t="shared" si="1"/>
        <v>55.636601189372023</v>
      </c>
      <c r="H39" s="2">
        <f t="shared" si="2"/>
        <v>41.817983007059041</v>
      </c>
      <c r="I39" s="2">
        <f t="shared" si="3"/>
        <v>1185.7572162328397</v>
      </c>
      <c r="J39" s="1">
        <f t="shared" si="8"/>
        <v>241.95</v>
      </c>
      <c r="K39" s="1">
        <f t="shared" si="4"/>
        <v>0.86031933114613612</v>
      </c>
      <c r="L39" s="1">
        <f t="shared" si="5"/>
        <v>208.15426217080761</v>
      </c>
      <c r="M39" s="1">
        <f t="shared" si="6"/>
        <v>1771.6305729048217</v>
      </c>
      <c r="N39" s="1">
        <f>$L39*'TABELA AUXILIAR'!$I$3*(B39-A39)</f>
        <v>469.59601545734307</v>
      </c>
      <c r="O39" s="1">
        <f>$L39*'TABELA AUXILIAR'!$I$4*(B39-A39)</f>
        <v>509.56163379413829</v>
      </c>
      <c r="P39" s="1">
        <f>$L39*'TABELA AUXILIAR'!$I$5*(B39-A39)</f>
        <v>588.24394489470376</v>
      </c>
      <c r="Q39" s="1">
        <f>$M39*'TABELA AUXILIAR'!$J$3+SUM(N$2:N39)</f>
        <v>13398.287775754428</v>
      </c>
      <c r="R39" s="1">
        <f>$M39*'TABELA AUXILIAR'!$J$4+SUM(O$2:O39)</f>
        <v>14704.799306169922</v>
      </c>
      <c r="S39" s="1">
        <f>$M39*'TABELA AUXILIAR'!$J$5+SUM(P$2:P39)</f>
        <v>17393.810772576329</v>
      </c>
      <c r="T39" s="2">
        <f t="shared" si="7"/>
        <v>6699</v>
      </c>
      <c r="U39" s="2">
        <f t="shared" si="7"/>
        <v>7352</v>
      </c>
      <c r="V39" s="2">
        <f t="shared" si="7"/>
        <v>8696</v>
      </c>
    </row>
    <row r="40" spans="1:22" x14ac:dyDescent="0.25">
      <c r="A40" s="1">
        <v>22.8</v>
      </c>
      <c r="B40" s="1">
        <v>23.4</v>
      </c>
      <c r="C40" s="1">
        <v>50</v>
      </c>
      <c r="D40" s="1" t="s">
        <v>18</v>
      </c>
      <c r="E40" s="1" t="s">
        <v>2</v>
      </c>
      <c r="F40" s="1" cm="1">
        <f t="array" ref="F40">_xlfn.XLOOKUP(D40,'TABELA AUXILIAR'!$A$2:$A$5,IF('SPT-03'!A40&lt;3,'TABELA AUXILIAR'!$B$2:$B$5,'TABELA AUXILIAR'!$C$2:$C$5),"",0,1)</f>
        <v>8.5</v>
      </c>
      <c r="G40" s="6">
        <f t="shared" si="1"/>
        <v>78.083219331459802</v>
      </c>
      <c r="H40" s="2">
        <f t="shared" si="2"/>
        <v>43.13052403989137</v>
      </c>
      <c r="I40" s="2">
        <f t="shared" si="3"/>
        <v>1555.0826353942057</v>
      </c>
      <c r="J40" s="1">
        <f t="shared" si="8"/>
        <v>247.04999999999998</v>
      </c>
      <c r="K40" s="1">
        <f t="shared" si="4"/>
        <v>1.0423523779979811</v>
      </c>
      <c r="L40" s="1">
        <f t="shared" si="5"/>
        <v>257.51315498440118</v>
      </c>
      <c r="M40" s="1">
        <f t="shared" si="6"/>
        <v>2333.1502545074418</v>
      </c>
      <c r="N40" s="1">
        <f>$L40*'TABELA AUXILIAR'!$I$3*(B40-A40)</f>
        <v>580.94967764480691</v>
      </c>
      <c r="O40" s="1">
        <f>$L40*'TABELA AUXILIAR'!$I$4*(B40-A40)</f>
        <v>630.3922034018118</v>
      </c>
      <c r="P40" s="1">
        <f>$L40*'TABELA AUXILIAR'!$I$5*(B40-A40)</f>
        <v>727.73217598591521</v>
      </c>
      <c r="Q40" s="1">
        <f>$M40*'TABELA AUXILIAR'!$J$3+SUM(N$2:N40)</f>
        <v>14613.754693610195</v>
      </c>
      <c r="R40" s="1">
        <f>$M40*'TABELA AUXILIAR'!$J$4+SUM(O$2:O40)</f>
        <v>16076.397489287194</v>
      </c>
      <c r="S40" s="1">
        <f>$M40*'TABELA AUXILIAR'!$J$5+SUM(P$2:P40)</f>
        <v>19109.817588182857</v>
      </c>
      <c r="T40" s="2">
        <f t="shared" si="7"/>
        <v>7306</v>
      </c>
      <c r="U40" s="2">
        <f t="shared" si="7"/>
        <v>8038</v>
      </c>
      <c r="V40" s="2">
        <f t="shared" si="7"/>
        <v>9554</v>
      </c>
    </row>
    <row r="41" spans="1:22" x14ac:dyDescent="0.25">
      <c r="A41" s="1">
        <v>23.4</v>
      </c>
      <c r="B41" s="1">
        <v>24</v>
      </c>
      <c r="C41" s="1">
        <v>50</v>
      </c>
      <c r="D41" s="1" t="s">
        <v>18</v>
      </c>
      <c r="E41" s="1" t="s">
        <v>2</v>
      </c>
      <c r="F41" s="1" cm="1">
        <f t="array" ref="F41">_xlfn.XLOOKUP(D41,'TABELA AUXILIAR'!$A$2:$A$5,IF('SPT-03'!A41&lt;3,'TABELA AUXILIAR'!$B$2:$B$5,'TABELA AUXILIAR'!$C$2:$C$5),"",0,1)</f>
        <v>8.5</v>
      </c>
      <c r="G41" s="6">
        <f t="shared" si="1"/>
        <v>78.88506140038271</v>
      </c>
      <c r="H41" s="2">
        <f t="shared" si="2"/>
        <v>43.13052403989137</v>
      </c>
      <c r="I41" s="2">
        <f t="shared" si="3"/>
        <v>1567.8449721597897</v>
      </c>
      <c r="J41" s="1">
        <f t="shared" si="8"/>
        <v>252.14999999999998</v>
      </c>
      <c r="K41" s="1">
        <f t="shared" si="4"/>
        <v>1.0336521710463489</v>
      </c>
      <c r="L41" s="1">
        <f t="shared" si="5"/>
        <v>260.63539492933683</v>
      </c>
      <c r="M41" s="1">
        <f t="shared" si="6"/>
        <v>2361.9308395700464</v>
      </c>
      <c r="N41" s="1">
        <f>$L41*'TABELA AUXILIAR'!$I$3*(B41-A41)</f>
        <v>587.99345096058528</v>
      </c>
      <c r="O41" s="1">
        <f>$L41*'TABELA AUXILIAR'!$I$4*(B41-A41)</f>
        <v>638.03544678701815</v>
      </c>
      <c r="P41" s="1">
        <f>$L41*'TABELA AUXILIAR'!$I$5*(B41-A41)</f>
        <v>736.55562607030765</v>
      </c>
      <c r="Q41" s="1">
        <f>$M41*'TABELA AUXILIAR'!$J$3+SUM(N$2:N41)</f>
        <v>15234.270205691522</v>
      </c>
      <c r="R41" s="1">
        <f>$M41*'TABELA AUXILIAR'!$J$4+SUM(O$2:O41)</f>
        <v>16752.423308356851</v>
      </c>
      <c r="S41" s="1">
        <f>$M41*'TABELA AUXILIAR'!$J$5+SUM(P$2:P41)</f>
        <v>19897.027043963346</v>
      </c>
      <c r="T41" s="2">
        <f t="shared" si="7"/>
        <v>7617</v>
      </c>
      <c r="U41" s="2">
        <f t="shared" si="7"/>
        <v>8376</v>
      </c>
      <c r="V41" s="2">
        <f t="shared" si="7"/>
        <v>9948</v>
      </c>
    </row>
    <row r="42" spans="1:22" x14ac:dyDescent="0.25">
      <c r="A42" s="1">
        <v>24</v>
      </c>
      <c r="B42" s="1">
        <v>24.6</v>
      </c>
      <c r="C42" s="1">
        <v>36</v>
      </c>
      <c r="D42" s="1" t="s">
        <v>18</v>
      </c>
      <c r="E42" s="1" t="s">
        <v>2</v>
      </c>
      <c r="F42" s="1" cm="1">
        <f t="array" ref="F42">_xlfn.XLOOKUP(D42,'TABELA AUXILIAR'!$A$2:$A$5,IF('SPT-03'!A42&lt;3,'TABELA AUXILIAR'!$B$2:$B$5,'TABELA AUXILIAR'!$C$2:$C$5),"",0,1)</f>
        <v>8.5</v>
      </c>
      <c r="G42" s="6">
        <f t="shared" si="1"/>
        <v>57.368760911572089</v>
      </c>
      <c r="H42" s="2">
        <f t="shared" si="2"/>
        <v>41.817983007059041</v>
      </c>
      <c r="I42" s="2">
        <f t="shared" si="3"/>
        <v>1215.1997713525323</v>
      </c>
      <c r="J42" s="1">
        <f t="shared" si="8"/>
        <v>257.25</v>
      </c>
      <c r="K42" s="1">
        <f t="shared" si="4"/>
        <v>0.83947194164693428</v>
      </c>
      <c r="L42" s="1">
        <f t="shared" si="5"/>
        <v>215.95415698867384</v>
      </c>
      <c r="M42" s="1">
        <f t="shared" si="6"/>
        <v>1838.0233337368284</v>
      </c>
      <c r="N42" s="1">
        <f>$L42*'TABELA AUXILIAR'!$I$3*(B42-A42)</f>
        <v>487.19257816644932</v>
      </c>
      <c r="O42" s="1">
        <f>$L42*'TABELA AUXILIAR'!$I$4*(B42-A42)</f>
        <v>528.65577630827488</v>
      </c>
      <c r="P42" s="1">
        <f>$L42*'TABELA AUXILIAR'!$I$5*(B42-A42)</f>
        <v>610.28644764999376</v>
      </c>
      <c r="Q42" s="1">
        <f>$M42*'TABELA AUXILIAR'!$J$3+SUM(N$2:N42)</f>
        <v>15129.447302266435</v>
      </c>
      <c r="R42" s="1">
        <f>$M42*'TABELA AUXILIAR'!$J$4+SUM(O$2:O42)</f>
        <v>16589.521176965278</v>
      </c>
      <c r="S42" s="1">
        <f>$M42*'TABELA AUXILIAR'!$J$5+SUM(P$2:P42)</f>
        <v>19585.236281346879</v>
      </c>
      <c r="T42" s="2">
        <f t="shared" si="7"/>
        <v>7564</v>
      </c>
      <c r="U42" s="2">
        <f t="shared" si="7"/>
        <v>8294</v>
      </c>
      <c r="V42" s="2">
        <f t="shared" si="7"/>
        <v>9792</v>
      </c>
    </row>
    <row r="43" spans="1:22" x14ac:dyDescent="0.25">
      <c r="A43" s="1">
        <v>24.6</v>
      </c>
      <c r="B43" s="1">
        <v>25.2</v>
      </c>
      <c r="C43" s="1">
        <v>50</v>
      </c>
      <c r="D43" s="1" t="s">
        <v>18</v>
      </c>
      <c r="E43" s="1" t="s">
        <v>2</v>
      </c>
      <c r="F43" s="1" cm="1">
        <f t="array" ref="F43">_xlfn.XLOOKUP(D43,'TABELA AUXILIAR'!$A$2:$A$5,IF('SPT-03'!A43&lt;3,'TABELA AUXILIAR'!$B$2:$B$5,'TABELA AUXILIAR'!$C$2:$C$5),"",0,1)</f>
        <v>8.5</v>
      </c>
      <c r="G43" s="6">
        <f t="shared" si="1"/>
        <v>80.464777723527845</v>
      </c>
      <c r="H43" s="2">
        <f t="shared" si="2"/>
        <v>43.13052403989137</v>
      </c>
      <c r="I43" s="2">
        <f t="shared" si="3"/>
        <v>1592.9126310617535</v>
      </c>
      <c r="J43" s="1">
        <f t="shared" si="8"/>
        <v>262.35000000000002</v>
      </c>
      <c r="K43" s="1">
        <f t="shared" si="4"/>
        <v>1.0169742547938845</v>
      </c>
      <c r="L43" s="1">
        <f t="shared" si="5"/>
        <v>266.80319574517563</v>
      </c>
      <c r="M43" s="1">
        <f t="shared" si="6"/>
        <v>2418.8026424015438</v>
      </c>
      <c r="N43" s="1">
        <f>$L43*'TABELA AUXILIAR'!$I$3*(B43-A43)</f>
        <v>601.90800960111403</v>
      </c>
      <c r="O43" s="1">
        <f>$L43*'TABELA AUXILIAR'!$I$4*(B43-A43)</f>
        <v>653.13422318418759</v>
      </c>
      <c r="P43" s="1">
        <f>$L43*'TABELA AUXILIAR'!$I$5*(B43-A43)</f>
        <v>753.98583117586372</v>
      </c>
      <c r="Q43" s="1">
        <f>$M43*'TABELA AUXILIAR'!$J$3+SUM(N$2:N43)</f>
        <v>16387.635930658678</v>
      </c>
      <c r="R43" s="1">
        <f>$M43*'TABELA AUXILIAR'!$J$4+SUM(O$2:O43)</f>
        <v>18009.28408758689</v>
      </c>
      <c r="S43" s="1">
        <f>$M43*'TABELA AUXILIAR'!$J$5+SUM(P$2:P43)</f>
        <v>21361.39369577264</v>
      </c>
      <c r="T43" s="2">
        <f t="shared" si="7"/>
        <v>8193</v>
      </c>
      <c r="U43" s="2">
        <f t="shared" si="7"/>
        <v>9004</v>
      </c>
      <c r="V43" s="2">
        <f t="shared" si="7"/>
        <v>10680</v>
      </c>
    </row>
    <row r="44" spans="1:22" x14ac:dyDescent="0.25">
      <c r="A44" s="1">
        <v>25.2</v>
      </c>
      <c r="B44" s="1">
        <v>25.8</v>
      </c>
      <c r="C44" s="1">
        <v>50</v>
      </c>
      <c r="D44" s="1" t="s">
        <v>18</v>
      </c>
      <c r="E44" s="1" t="s">
        <v>2</v>
      </c>
      <c r="F44" s="1" cm="1">
        <f t="array" ref="F44">_xlfn.XLOOKUP(D44,'TABELA AUXILIAR'!$A$2:$A$5,IF('SPT-03'!A44&lt;3,'TABELA AUXILIAR'!$B$2:$B$5,'TABELA AUXILIAR'!$C$2:$C$5),"",0,1)</f>
        <v>8.5</v>
      </c>
      <c r="G44" s="6">
        <f t="shared" si="1"/>
        <v>81.243118016691341</v>
      </c>
      <c r="H44" s="2">
        <f t="shared" si="2"/>
        <v>43.13052403989137</v>
      </c>
      <c r="I44" s="2">
        <f t="shared" si="3"/>
        <v>1605.227419643239</v>
      </c>
      <c r="J44" s="1">
        <f t="shared" si="8"/>
        <v>267.45000000000005</v>
      </c>
      <c r="K44" s="1">
        <f t="shared" si="4"/>
        <v>1.0089742380664364</v>
      </c>
      <c r="L44" s="1">
        <f t="shared" si="5"/>
        <v>269.85015997086845</v>
      </c>
      <c r="M44" s="1">
        <f t="shared" si="6"/>
        <v>2446.9063871702879</v>
      </c>
      <c r="N44" s="1">
        <f>$L44*'TABELA AUXILIAR'!$I$3*(B44-A44)</f>
        <v>608.78196089428059</v>
      </c>
      <c r="O44" s="1">
        <f>$L44*'TABELA AUXILIAR'!$I$4*(B44-A44)</f>
        <v>660.59319160868756</v>
      </c>
      <c r="P44" s="1">
        <f>$L44*'TABELA AUXILIAR'!$I$5*(B44-A44)</f>
        <v>762.59655207767594</v>
      </c>
      <c r="Q44" s="1">
        <f>$M44*'TABELA AUXILIAR'!$J$3+SUM(N$2:N44)</f>
        <v>17028.175123141642</v>
      </c>
      <c r="R44" s="1">
        <f>$M44*'TABELA AUXILIAR'!$J$4+SUM(O$2:O44)</f>
        <v>18706.974222290319</v>
      </c>
      <c r="S44" s="1">
        <f>$M44*'TABELA AUXILIAR'!$J$5+SUM(P$2:P44)</f>
        <v>22173.452838643308</v>
      </c>
      <c r="T44" s="2">
        <f t="shared" si="7"/>
        <v>8514</v>
      </c>
      <c r="U44" s="2">
        <f t="shared" si="7"/>
        <v>9353</v>
      </c>
      <c r="V44" s="2">
        <f t="shared" si="7"/>
        <v>11086</v>
      </c>
    </row>
    <row r="45" spans="1:22" x14ac:dyDescent="0.25">
      <c r="A45" s="1">
        <v>25.8</v>
      </c>
      <c r="B45" s="1">
        <v>26.4</v>
      </c>
      <c r="C45" s="1">
        <v>50</v>
      </c>
      <c r="D45" s="1" t="s">
        <v>19</v>
      </c>
      <c r="E45" s="1" t="s">
        <v>5</v>
      </c>
      <c r="F45" s="1" cm="1">
        <f t="array" ref="F45">_xlfn.XLOOKUP(D45,'TABELA AUXILIAR'!$A$2:$A$5,IF('SPT-03'!A45&lt;3,'TABELA AUXILIAR'!$B$2:$B$5,'TABELA AUXILIAR'!$C$2:$C$5),"",0,1)</f>
        <v>10.5</v>
      </c>
      <c r="G45" s="6">
        <f t="shared" si="1"/>
        <v>82.104296468085337</v>
      </c>
      <c r="H45" s="2">
        <f t="shared" si="2"/>
        <v>43.13052403989137</v>
      </c>
      <c r="I45" s="2">
        <f t="shared" si="3"/>
        <v>1247.5747848325566</v>
      </c>
      <c r="J45" s="1">
        <f t="shared" si="8"/>
        <v>273.15000000000003</v>
      </c>
      <c r="K45" s="1">
        <f t="shared" si="4"/>
        <v>0.83710154551716554</v>
      </c>
      <c r="L45" s="1">
        <f t="shared" si="5"/>
        <v>228.6542871580138</v>
      </c>
      <c r="M45" s="1">
        <f t="shared" si="6"/>
        <v>2478.0639864484651</v>
      </c>
      <c r="N45" s="1">
        <f>$L45*'TABELA AUXILIAR'!$I$3*(B45-A45)</f>
        <v>515.84407182847724</v>
      </c>
      <c r="O45" s="1">
        <f>$L45*'TABELA AUXILIAR'!$I$4*(B45-A45)</f>
        <v>559.74569496281583</v>
      </c>
      <c r="P45" s="1">
        <f>$L45*'TABELA AUXILIAR'!$I$5*(B45-A45)</f>
        <v>646.17701550854474</v>
      </c>
      <c r="Q45" s="1">
        <f>$M45*'TABELA AUXILIAR'!$J$3+SUM(N$2:N45)</f>
        <v>17579.227282154457</v>
      </c>
      <c r="R45" s="1">
        <f>$M45*'TABELA AUXILIAR'!$J$4+SUM(O$2:O45)</f>
        <v>19307.847948300328</v>
      </c>
      <c r="S45" s="1">
        <f>$M45*'TABELA AUXILIAR'!$J$5+SUM(P$2:P45)</f>
        <v>22874.467228881444</v>
      </c>
      <c r="T45" s="2">
        <f t="shared" si="7"/>
        <v>8789</v>
      </c>
      <c r="U45" s="2">
        <f t="shared" si="7"/>
        <v>9653</v>
      </c>
      <c r="V45" s="2">
        <f t="shared" si="7"/>
        <v>11437</v>
      </c>
    </row>
    <row r="46" spans="1:22" x14ac:dyDescent="0.25">
      <c r="A46" s="1">
        <v>26.4</v>
      </c>
      <c r="B46" s="1">
        <v>27</v>
      </c>
      <c r="C46" s="1">
        <v>50</v>
      </c>
      <c r="D46" s="1" t="s">
        <v>19</v>
      </c>
      <c r="E46" s="1" t="s">
        <v>5</v>
      </c>
      <c r="F46" s="1" cm="1">
        <f t="array" ref="F46">_xlfn.XLOOKUP(D46,'TABELA AUXILIAR'!$A$2:$A$5,IF('SPT-03'!A46&lt;3,'TABELA AUXILIAR'!$B$2:$B$5,'TABELA AUXILIAR'!$C$2:$C$5),"",0,1)</f>
        <v>10.5</v>
      </c>
      <c r="G46" s="6">
        <f t="shared" si="1"/>
        <v>83.0457360400423</v>
      </c>
      <c r="H46" s="2">
        <f t="shared" si="2"/>
        <v>43.13052403989137</v>
      </c>
      <c r="I46" s="2">
        <f t="shared" si="3"/>
        <v>1261.8799591284426</v>
      </c>
      <c r="J46" s="1">
        <f t="shared" si="8"/>
        <v>279.45000000000005</v>
      </c>
      <c r="K46" s="1">
        <f t="shared" si="4"/>
        <v>0.83060208916660305</v>
      </c>
      <c r="L46" s="1">
        <f t="shared" si="5"/>
        <v>232.11175381760725</v>
      </c>
      <c r="M46" s="1">
        <f t="shared" si="6"/>
        <v>2512.2002912601442</v>
      </c>
      <c r="N46" s="1">
        <f>$L46*'TABELA AUXILIAR'!$I$3*(B46-A46)</f>
        <v>523.64411661252325</v>
      </c>
      <c r="O46" s="1">
        <f>$L46*'TABELA AUXILIAR'!$I$4*(B46-A46)</f>
        <v>568.20957334550383</v>
      </c>
      <c r="P46" s="1">
        <f>$L46*'TABELA AUXILIAR'!$I$5*(B46-A46)</f>
        <v>655.94781628855969</v>
      </c>
      <c r="Q46" s="1">
        <f>$M46*'TABELA AUXILIAR'!$J$3+SUM(N$2:N46)</f>
        <v>18141.445423204179</v>
      </c>
      <c r="R46" s="1">
        <f>$M46*'TABELA AUXILIAR'!$J$4+SUM(O$2:O46)</f>
        <v>19921.117443997249</v>
      </c>
      <c r="S46" s="1">
        <f>$M46*'TABELA AUXILIAR'!$J$5+SUM(P$2:P46)</f>
        <v>23590.494941638557</v>
      </c>
      <c r="T46" s="2">
        <f t="shared" si="7"/>
        <v>9070</v>
      </c>
      <c r="U46" s="2">
        <f t="shared" si="7"/>
        <v>9960</v>
      </c>
      <c r="V46" s="2">
        <f t="shared" si="7"/>
        <v>11795</v>
      </c>
    </row>
    <row r="47" spans="1:22" x14ac:dyDescent="0.25">
      <c r="A47" s="1">
        <v>27</v>
      </c>
      <c r="B47" s="1">
        <v>27.6</v>
      </c>
      <c r="C47" s="1">
        <v>50</v>
      </c>
      <c r="D47" s="1" t="s">
        <v>19</v>
      </c>
      <c r="E47" s="1" t="s">
        <v>5</v>
      </c>
      <c r="F47" s="1" cm="1">
        <f t="array" ref="F47">_xlfn.XLOOKUP(D47,'TABELA AUXILIAR'!$A$2:$A$5,IF('SPT-03'!A47&lt;3,'TABELA AUXILIAR'!$B$2:$B$5,'TABELA AUXILIAR'!$C$2:$C$5),"",0,1)</f>
        <v>10.5</v>
      </c>
      <c r="G47" s="6">
        <f t="shared" si="1"/>
        <v>83.97662204652859</v>
      </c>
      <c r="H47" s="2">
        <f t="shared" si="2"/>
        <v>43.13052403989137</v>
      </c>
      <c r="I47" s="2">
        <f t="shared" si="3"/>
        <v>1276.0247719970018</v>
      </c>
      <c r="J47" s="1">
        <f t="shared" si="8"/>
        <v>285.75000000000011</v>
      </c>
      <c r="K47" s="1">
        <f t="shared" si="4"/>
        <v>0.82429632837909017</v>
      </c>
      <c r="L47" s="1">
        <f t="shared" si="5"/>
        <v>235.54267583432511</v>
      </c>
      <c r="M47" s="1">
        <f t="shared" si="6"/>
        <v>2546.0301174476158</v>
      </c>
      <c r="N47" s="1">
        <f>$L47*'TABELA AUXILIAR'!$I$3*(B47-A47)</f>
        <v>531.38427668223869</v>
      </c>
      <c r="O47" s="1">
        <f>$L47*'TABELA AUXILIAR'!$I$4*(B47-A47)</f>
        <v>576.60847044242928</v>
      </c>
      <c r="P47" s="1">
        <f>$L47*'TABELA AUXILIAR'!$I$5*(B47-A47)</f>
        <v>665.64360190780428</v>
      </c>
      <c r="Q47" s="1">
        <f>$M47*'TABELA AUXILIAR'!$J$3+SUM(N$2:N47)</f>
        <v>18711.057403478258</v>
      </c>
      <c r="R47" s="1">
        <f>$M47*'TABELA AUXILIAR'!$J$4+SUM(O$2:O47)</f>
        <v>20542.381285007141</v>
      </c>
      <c r="S47" s="1">
        <f>$M47*'TABELA AUXILIAR'!$J$5+SUM(P$2:P47)</f>
        <v>24315.67903763631</v>
      </c>
      <c r="T47" s="2">
        <f t="shared" si="7"/>
        <v>9355</v>
      </c>
      <c r="U47" s="2">
        <f t="shared" si="7"/>
        <v>10271</v>
      </c>
      <c r="V47" s="2">
        <f t="shared" si="7"/>
        <v>12157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19</v>
      </c>
      <c r="E48" s="1" t="s">
        <v>5</v>
      </c>
      <c r="F48" s="1" cm="1">
        <f t="array" ref="F48">_xlfn.XLOOKUP(D48,'TABELA AUXILIAR'!$A$2:$A$5,IF('SPT-03'!A48&lt;3,'TABELA AUXILIAR'!$B$2:$B$5,'TABELA AUXILIAR'!$C$2:$C$5),"",0,1)</f>
        <v>10.5</v>
      </c>
      <c r="G48" s="6">
        <f t="shared" si="1"/>
        <v>84.897301642977098</v>
      </c>
      <c r="H48" s="2">
        <f t="shared" si="2"/>
        <v>43.13052403989137</v>
      </c>
      <c r="I48" s="2">
        <f t="shared" si="3"/>
        <v>1290.0144984650369</v>
      </c>
      <c r="J48" s="1">
        <f t="shared" si="8"/>
        <v>292.05000000000013</v>
      </c>
      <c r="K48" s="1">
        <f t="shared" si="4"/>
        <v>0.81817440737015623</v>
      </c>
      <c r="L48" s="1">
        <f t="shared" si="5"/>
        <v>238.94783567245423</v>
      </c>
      <c r="M48" s="1">
        <f t="shared" si="6"/>
        <v>2579.5628847695702</v>
      </c>
      <c r="N48" s="1">
        <f>$L48*'TABELA AUXILIAR'!$I$3*(B48-A48)</f>
        <v>539.06631727705485</v>
      </c>
      <c r="O48" s="1">
        <f>$L48*'TABELA AUXILIAR'!$I$4*(B48-A48)</f>
        <v>584.94430172616592</v>
      </c>
      <c r="P48" s="1">
        <f>$L48*'TABELA AUXILIAR'!$I$5*(B48-A48)</f>
        <v>675.26658361035322</v>
      </c>
      <c r="Q48" s="1">
        <f>$M48*'TABELA AUXILIAR'!$J$3+SUM(N$2:N48)</f>
        <v>19288.015747829122</v>
      </c>
      <c r="R48" s="1">
        <f>$M48*'TABELA AUXILIAR'!$J$4+SUM(O$2:O48)</f>
        <v>21171.588839598287</v>
      </c>
      <c r="S48" s="1">
        <f>$M48*'TABELA AUXILIAR'!$J$5+SUM(P$2:P48)</f>
        <v>25049.9632917333</v>
      </c>
      <c r="T48" s="2">
        <f t="shared" si="7"/>
        <v>9644</v>
      </c>
      <c r="U48" s="2">
        <f t="shared" si="7"/>
        <v>10585</v>
      </c>
      <c r="V48" s="2">
        <f t="shared" si="7"/>
        <v>12524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19</v>
      </c>
      <c r="E49" s="1" t="s">
        <v>5</v>
      </c>
      <c r="F49" s="1" cm="1">
        <f t="array" ref="F49">_xlfn.XLOOKUP(D49,'TABELA AUXILIAR'!$A$2:$A$5,IF('SPT-03'!A49&lt;3,'TABELA AUXILIAR'!$B$2:$B$5,'TABELA AUXILIAR'!$C$2:$C$5),"",0,1)</f>
        <v>10.5</v>
      </c>
      <c r="G49" s="6">
        <f t="shared" si="1"/>
        <v>85.808103359599841</v>
      </c>
      <c r="H49" s="2">
        <f t="shared" si="2"/>
        <v>43.13052403989137</v>
      </c>
      <c r="I49" s="2">
        <f t="shared" si="3"/>
        <v>1303.8541305491194</v>
      </c>
      <c r="J49" s="1">
        <f t="shared" si="8"/>
        <v>298.35000000000014</v>
      </c>
      <c r="K49" s="1">
        <f t="shared" si="4"/>
        <v>0.81222717078928541</v>
      </c>
      <c r="L49" s="1">
        <f t="shared" si="5"/>
        <v>242.32797640498342</v>
      </c>
      <c r="M49" s="1">
        <f t="shared" si="6"/>
        <v>2612.8075272960045</v>
      </c>
      <c r="N49" s="1">
        <f>$L49*'TABELA AUXILIAR'!$I$3*(B49-A49)</f>
        <v>546.69191476964386</v>
      </c>
      <c r="O49" s="1">
        <f>$L49*'TABELA AUXILIAR'!$I$4*(B49-A49)</f>
        <v>593.21888623940083</v>
      </c>
      <c r="P49" s="1">
        <f>$L49*'TABELA AUXILIAR'!$I$5*(B49-A49)</f>
        <v>684.81886132048476</v>
      </c>
      <c r="Q49" s="1">
        <f>$M49*'TABELA AUXILIAR'!$J$3+SUM(N$2:N49)</f>
        <v>19872.274108653637</v>
      </c>
      <c r="R49" s="1">
        <f>$M49*'TABELA AUXILIAR'!$J$4+SUM(O$2:O49)</f>
        <v>21808.690653972579</v>
      </c>
      <c r="S49" s="1">
        <f>$M49*'TABELA AUXILIAR'!$J$5+SUM(P$2:P49)</f>
        <v>25793.292723900311</v>
      </c>
      <c r="T49" s="2">
        <f t="shared" si="7"/>
        <v>9936</v>
      </c>
      <c r="U49" s="2">
        <f t="shared" si="7"/>
        <v>10904</v>
      </c>
      <c r="V49" s="2">
        <f t="shared" si="7"/>
        <v>12896</v>
      </c>
    </row>
    <row r="50" spans="1:22" x14ac:dyDescent="0.25">
      <c r="A50" s="1">
        <v>28.8</v>
      </c>
      <c r="B50" s="1">
        <v>29.4</v>
      </c>
      <c r="C50" s="1">
        <v>50</v>
      </c>
      <c r="D50" s="1" t="s">
        <v>19</v>
      </c>
      <c r="E50" s="1" t="s">
        <v>5</v>
      </c>
      <c r="F50" s="1" cm="1">
        <f t="array" ref="F50">_xlfn.XLOOKUP(D50,'TABELA AUXILIAR'!$A$2:$A$5,IF('SPT-03'!A50&lt;3,'TABELA AUXILIAR'!$B$2:$B$5,'TABELA AUXILIAR'!$C$2:$C$5),"",0,1)</f>
        <v>10.5</v>
      </c>
      <c r="G50" s="6">
        <f t="shared" si="1"/>
        <v>86.709338471037242</v>
      </c>
      <c r="H50" s="2">
        <f t="shared" si="2"/>
        <v>43.13052403989137</v>
      </c>
      <c r="I50" s="2">
        <f t="shared" si="3"/>
        <v>1317.5483980674107</v>
      </c>
      <c r="J50" s="1">
        <f t="shared" si="8"/>
        <v>304.65000000000015</v>
      </c>
      <c r="K50" s="1">
        <f t="shared" si="4"/>
        <v>0.80644610039087172</v>
      </c>
      <c r="L50" s="1">
        <f t="shared" si="5"/>
        <v>245.68380448407919</v>
      </c>
      <c r="M50" s="1">
        <f t="shared" si="6"/>
        <v>2645.7725281408921</v>
      </c>
      <c r="N50" s="1">
        <f>$L50*'TABELA AUXILIAR'!$I$3*(B50-A50)</f>
        <v>554.26266291608067</v>
      </c>
      <c r="O50" s="1">
        <f>$L50*'TABELA AUXILIAR'!$I$4*(B50-A50)</f>
        <v>601.43395337702373</v>
      </c>
      <c r="P50" s="1">
        <f>$L50*'TABELA AUXILIAR'!$I$5*(B50-A50)</f>
        <v>694.30243147200531</v>
      </c>
      <c r="Q50" s="1">
        <f>$M50*'TABELA AUXILIAR'!$J$3+SUM(N$2:N50)</f>
        <v>20463.787222524439</v>
      </c>
      <c r="R50" s="1">
        <f>$M50*'TABELA AUXILIAR'!$J$4+SUM(O$2:O50)</f>
        <v>22453.638408464856</v>
      </c>
      <c r="S50" s="1">
        <f>$M50*'TABELA AUXILIAR'!$J$5+SUM(P$2:P50)</f>
        <v>26545.613556859316</v>
      </c>
      <c r="T50" s="2">
        <f t="shared" si="7"/>
        <v>10231</v>
      </c>
      <c r="U50" s="2">
        <f t="shared" si="7"/>
        <v>11226</v>
      </c>
      <c r="V50" s="2">
        <f t="shared" si="7"/>
        <v>13272</v>
      </c>
    </row>
    <row r="51" spans="1:22" x14ac:dyDescent="0.25">
      <c r="A51" s="1">
        <v>29.4</v>
      </c>
      <c r="B51" s="1">
        <v>30</v>
      </c>
      <c r="C51" s="1">
        <v>50</v>
      </c>
      <c r="D51" s="1" t="s">
        <v>19</v>
      </c>
      <c r="E51" s="1" t="s">
        <v>5</v>
      </c>
      <c r="F51" s="1" cm="1">
        <f t="array" ref="F51">_xlfn.XLOOKUP(D51,'TABELA AUXILIAR'!$A$2:$A$5,IF('SPT-03'!A51&lt;3,'TABELA AUXILIAR'!$B$2:$B$5,'TABELA AUXILIAR'!$C$2:$C$5),"",0,1)</f>
        <v>10.5</v>
      </c>
      <c r="G51" s="6">
        <f t="shared" si="1"/>
        <v>87.601302239167822</v>
      </c>
      <c r="H51" s="2">
        <f t="shared" si="2"/>
        <v>43.13052403989137</v>
      </c>
      <c r="I51" s="2">
        <f t="shared" si="3"/>
        <v>1331.1017875241548</v>
      </c>
      <c r="J51" s="1">
        <f t="shared" si="8"/>
        <v>310.95000000000016</v>
      </c>
      <c r="K51" s="1">
        <f t="shared" si="4"/>
        <v>0.80082325860622128</v>
      </c>
      <c r="L51" s="1">
        <f t="shared" si="5"/>
        <v>249.01599226360463</v>
      </c>
      <c r="M51" s="1">
        <f t="shared" si="6"/>
        <v>2678.4659510465372</v>
      </c>
      <c r="N51" s="1">
        <f>$L51*'TABELA AUXILIAR'!$I$3*(B51-A51)</f>
        <v>561.7800785466934</v>
      </c>
      <c r="O51" s="1">
        <f>$L51*'TABELA AUXILIAR'!$I$4*(B51-A51)</f>
        <v>609.5911490613056</v>
      </c>
      <c r="P51" s="1">
        <f>$L51*'TABELA AUXILIAR'!$I$5*(B51-A51)</f>
        <v>703.71919413694832</v>
      </c>
      <c r="Q51" s="1">
        <f>$M51*'TABELA AUXILIAR'!$J$3+SUM(N$2:N51)</f>
        <v>21062.510868954512</v>
      </c>
      <c r="R51" s="1">
        <f>$M51*'TABELA AUXILIAR'!$J$4+SUM(O$2:O51)</f>
        <v>23106.384875761614</v>
      </c>
      <c r="S51" s="1">
        <f>$M51*'TABELA AUXILIAR'!$J$5+SUM(P$2:P51)</f>
        <v>27306.873175310204</v>
      </c>
      <c r="T51" s="2">
        <f t="shared" si="7"/>
        <v>10531</v>
      </c>
      <c r="U51" s="2">
        <f t="shared" si="7"/>
        <v>11553</v>
      </c>
      <c r="V51" s="2">
        <f t="shared" si="7"/>
        <v>13653</v>
      </c>
    </row>
    <row r="52" spans="1:22" x14ac:dyDescent="0.25">
      <c r="A52" s="1">
        <v>30</v>
      </c>
      <c r="B52" s="1">
        <v>30.6</v>
      </c>
      <c r="C52" s="1">
        <v>50</v>
      </c>
      <c r="D52" s="1" t="s">
        <v>19</v>
      </c>
      <c r="E52" s="1" t="s">
        <v>5</v>
      </c>
      <c r="F52" s="1" cm="1">
        <f t="array" ref="F52">_xlfn.XLOOKUP(D52,'TABELA AUXILIAR'!$A$2:$A$5,IF('SPT-03'!A52&lt;3,'TABELA AUXILIAR'!$B$2:$B$5,'TABELA AUXILIAR'!$C$2:$C$5),"",0,1)</f>
        <v>10.5</v>
      </c>
      <c r="G52" s="6">
        <f t="shared" si="1"/>
        <v>88.484275043146283</v>
      </c>
      <c r="H52" s="2">
        <f t="shared" si="2"/>
        <v>43.13052403989137</v>
      </c>
      <c r="I52" s="2">
        <f t="shared" si="3"/>
        <v>1344.5185592806076</v>
      </c>
      <c r="J52" s="1">
        <f t="shared" si="8"/>
        <v>317.25000000000023</v>
      </c>
      <c r="K52" s="1">
        <f t="shared" si="4"/>
        <v>0.79535123814163577</v>
      </c>
      <c r="L52" s="1">
        <f t="shared" si="5"/>
        <v>252.32518030043414</v>
      </c>
      <c r="M52" s="1">
        <f t="shared" si="6"/>
        <v>2710.8954691628137</v>
      </c>
      <c r="N52" s="1">
        <f>$L52*'TABELA AUXILIAR'!$I$3*(B52-A52)</f>
        <v>569.24560675778071</v>
      </c>
      <c r="O52" s="1">
        <f>$L52*'TABELA AUXILIAR'!$I$4*(B52-A52)</f>
        <v>617.69204137546433</v>
      </c>
      <c r="P52" s="1">
        <f>$L52*'TABELA AUXILIAR'!$I$5*(B52-A52)</f>
        <v>713.07095952902853</v>
      </c>
      <c r="Q52" s="1">
        <f>$M52*'TABELA AUXILIAR'!$J$3+SUM(N$2:N52)</f>
        <v>21668.401831183684</v>
      </c>
      <c r="R52" s="1">
        <f>$M52*'TABELA AUXILIAR'!$J$4+SUM(O$2:O52)</f>
        <v>23766.883881050562</v>
      </c>
      <c r="S52" s="1">
        <f>$M52*'TABELA AUXILIAR'!$J$5+SUM(P$2:P52)</f>
        <v>28077.020086723878</v>
      </c>
      <c r="T52" s="2">
        <f t="shared" si="7"/>
        <v>10834</v>
      </c>
      <c r="U52" s="2">
        <f t="shared" si="7"/>
        <v>11883</v>
      </c>
      <c r="V52" s="2">
        <f t="shared" si="7"/>
        <v>14038</v>
      </c>
    </row>
    <row r="53" spans="1:22" x14ac:dyDescent="0.25">
      <c r="A53" s="1">
        <v>30.6</v>
      </c>
      <c r="B53" s="1">
        <v>31.2</v>
      </c>
      <c r="C53" s="1">
        <v>50</v>
      </c>
      <c r="D53" s="1" t="s">
        <v>19</v>
      </c>
      <c r="E53" s="1" t="s">
        <v>5</v>
      </c>
      <c r="F53" s="1" cm="1">
        <f t="array" ref="F53">_xlfn.XLOOKUP(D53,'TABELA AUXILIAR'!$A$2:$A$5,IF('SPT-03'!A53&lt;3,'TABELA AUXILIAR'!$B$2:$B$5,'TABELA AUXILIAR'!$C$2:$C$5),"",0,1)</f>
        <v>10.5</v>
      </c>
      <c r="G53" s="6">
        <f t="shared" si="1"/>
        <v>89.358523408929997</v>
      </c>
      <c r="H53" s="2">
        <f t="shared" si="2"/>
        <v>43.13052403989137</v>
      </c>
      <c r="I53" s="2">
        <f t="shared" si="3"/>
        <v>1357.8027631986911</v>
      </c>
      <c r="J53" s="1">
        <f t="shared" si="8"/>
        <v>323.55000000000024</v>
      </c>
      <c r="K53" s="1">
        <f t="shared" si="4"/>
        <v>0.79002311685352422</v>
      </c>
      <c r="L53" s="1">
        <f t="shared" si="5"/>
        <v>255.61197945795794</v>
      </c>
      <c r="M53" s="1">
        <f t="shared" si="6"/>
        <v>2743.0683913209987</v>
      </c>
      <c r="N53" s="1">
        <f>$L53*'TABELA AUXILIAR'!$I$3*(B53-A53)</f>
        <v>576.66062565715106</v>
      </c>
      <c r="O53" s="1">
        <f>$L53*'TABELA AUXILIAR'!$I$4*(B53-A53)</f>
        <v>625.73812571307883</v>
      </c>
      <c r="P53" s="1">
        <f>$L53*'TABELA AUXILIAR'!$I$5*(B53-A53)</f>
        <v>722.35945394818657</v>
      </c>
      <c r="Q53" s="1">
        <f>$M53*'TABELA AUXILIAR'!$J$3+SUM(N$2:N53)</f>
        <v>22281.417858879584</v>
      </c>
      <c r="R53" s="1">
        <f>$M53*'TABELA AUXILIAR'!$J$4+SUM(O$2:O53)</f>
        <v>24435.090264012448</v>
      </c>
      <c r="S53" s="1">
        <f>$M53*'TABELA AUXILIAR'!$J$5+SUM(P$2:P53)</f>
        <v>28856.00388367047</v>
      </c>
      <c r="T53" s="2">
        <f t="shared" si="7"/>
        <v>11140</v>
      </c>
      <c r="U53" s="2">
        <f t="shared" si="7"/>
        <v>12217</v>
      </c>
      <c r="V53" s="2">
        <f t="shared" si="7"/>
        <v>14428</v>
      </c>
    </row>
    <row r="54" spans="1:22" x14ac:dyDescent="0.25">
      <c r="A54" s="1">
        <v>31.2</v>
      </c>
      <c r="B54" s="1">
        <v>31.8</v>
      </c>
      <c r="C54" s="1">
        <v>29</v>
      </c>
      <c r="D54" s="1" t="s">
        <v>18</v>
      </c>
      <c r="E54" s="1" t="s">
        <v>8</v>
      </c>
      <c r="F54" s="1" cm="1">
        <f t="array" ref="F54">_xlfn.XLOOKUP(D54,'TABELA AUXILIAR'!$A$2:$A$5,IF('SPT-03'!A54&lt;3,'TABELA AUXILIAR'!$B$2:$B$5,'TABELA AUXILIAR'!$C$2:$C$5),"",0,1)</f>
        <v>8.5</v>
      </c>
      <c r="G54" s="6">
        <f t="shared" si="1"/>
        <v>52.282478439973175</v>
      </c>
      <c r="H54" s="2">
        <f t="shared" si="2"/>
        <v>40.954061580670398</v>
      </c>
      <c r="I54" s="2">
        <f t="shared" si="3"/>
        <v>1128.215954448649</v>
      </c>
      <c r="J54" s="1">
        <f t="shared" si="8"/>
        <v>329.25000000000023</v>
      </c>
      <c r="K54" s="1">
        <f t="shared" si="4"/>
        <v>0.67032820792645709</v>
      </c>
      <c r="L54" s="1">
        <f t="shared" si="5"/>
        <v>220.70556245978614</v>
      </c>
      <c r="M54" s="1">
        <f t="shared" si="6"/>
        <v>1792.7909791837271</v>
      </c>
      <c r="N54" s="1">
        <f>$L54*'TABELA AUXILIAR'!$I$3*(B54-A54)</f>
        <v>497.91174890927869</v>
      </c>
      <c r="O54" s="1">
        <f>$L54*'TABELA AUXILIAR'!$I$4*(B54-A54)</f>
        <v>540.28721690155771</v>
      </c>
      <c r="P54" s="1">
        <f>$L54*'TABELA AUXILIAR'!$I$5*(B54-A54)</f>
        <v>623.71391951135706</v>
      </c>
      <c r="Q54" s="1">
        <f>$M54*'TABELA AUXILIAR'!$J$3+SUM(N$2:N54)</f>
        <v>21705.516132073746</v>
      </c>
      <c r="R54" s="1">
        <f>$M54*'TABELA AUXILIAR'!$J$4+SUM(O$2:O54)</f>
        <v>23721.011296892808</v>
      </c>
      <c r="S54" s="1">
        <f>$M54*'TABELA AUXILIAR'!$J$5+SUM(P$2:P54)</f>
        <v>27807.229557820228</v>
      </c>
      <c r="T54" s="2">
        <f t="shared" si="7"/>
        <v>10852</v>
      </c>
      <c r="U54" s="2">
        <f t="shared" si="7"/>
        <v>11860</v>
      </c>
      <c r="V54" s="2">
        <f t="shared" si="7"/>
        <v>13903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18</v>
      </c>
      <c r="E55" s="1" t="s">
        <v>8</v>
      </c>
      <c r="F55" s="1" cm="1">
        <f t="array" ref="F55">_xlfn.XLOOKUP(D55,'TABELA AUXILIAR'!$A$2:$A$5,IF('SPT-03'!A55&lt;3,'TABELA AUXILIAR'!$B$2:$B$5,'TABELA AUXILIAR'!$C$2:$C$5),"",0,1)</f>
        <v>8.5</v>
      </c>
      <c r="G55" s="6">
        <f t="shared" si="1"/>
        <v>90.837661519035137</v>
      </c>
      <c r="H55" s="2">
        <f t="shared" si="2"/>
        <v>43.13052403989137</v>
      </c>
      <c r="I55" s="2">
        <f t="shared" si="3"/>
        <v>1755.173525984997</v>
      </c>
      <c r="J55" s="1">
        <f t="shared" si="8"/>
        <v>334.35000000000025</v>
      </c>
      <c r="K55" s="1">
        <f t="shared" si="4"/>
        <v>0.92067816019737625</v>
      </c>
      <c r="L55" s="1">
        <f t="shared" si="5"/>
        <v>307.82874286199296</v>
      </c>
      <c r="M55" s="1">
        <f t="shared" si="6"/>
        <v>2797.6449021559861</v>
      </c>
      <c r="N55" s="1">
        <f>$L55*'TABELA AUXILIAR'!$I$3*(B55-A55)</f>
        <v>694.46164389665353</v>
      </c>
      <c r="O55" s="1">
        <f>$L55*'TABELA AUXILIAR'!$I$4*(B55-A55)</f>
        <v>753.56476252615619</v>
      </c>
      <c r="P55" s="1">
        <f>$L55*'TABELA AUXILIAR'!$I$5*(B55-A55)</f>
        <v>869.92402732798905</v>
      </c>
      <c r="Q55" s="1">
        <f>$M55*'TABELA AUXILIAR'!$J$3+SUM(N$2:N55)</f>
        <v>23535.462708929055</v>
      </c>
      <c r="R55" s="1">
        <f>$M55*'TABELA AUXILIAR'!$J$4+SUM(O$2:O55)</f>
        <v>25800.983237742344</v>
      </c>
      <c r="S55" s="1">
        <f>$M55*'TABELA AUXILIAR'!$J$5+SUM(P$2:P55)</f>
        <v>30445.696489579394</v>
      </c>
      <c r="T55" s="2">
        <f t="shared" si="7"/>
        <v>11767</v>
      </c>
      <c r="U55" s="2">
        <f t="shared" si="7"/>
        <v>12900</v>
      </c>
      <c r="V55" s="2">
        <f t="shared" si="7"/>
        <v>15222</v>
      </c>
    </row>
    <row r="56" spans="1:22" x14ac:dyDescent="0.25">
      <c r="A56" s="1">
        <v>32.4</v>
      </c>
      <c r="B56" s="1">
        <v>33</v>
      </c>
      <c r="C56" s="1">
        <v>50</v>
      </c>
      <c r="D56" s="1" t="s">
        <v>18</v>
      </c>
      <c r="E56" s="1" t="s">
        <v>8</v>
      </c>
      <c r="F56" s="1" cm="1">
        <f t="array" ref="F56">_xlfn.XLOOKUP(D56,'TABELA AUXILIAR'!$A$2:$A$5,IF('SPT-03'!A56&lt;3,'TABELA AUXILIAR'!$B$2:$B$5,'TABELA AUXILIAR'!$C$2:$C$5),"",0,1)</f>
        <v>8.5</v>
      </c>
      <c r="G56" s="6">
        <f t="shared" si="1"/>
        <v>91.527834680080218</v>
      </c>
      <c r="H56" s="2">
        <f t="shared" si="2"/>
        <v>43.13052403989137</v>
      </c>
      <c r="I56" s="2">
        <f t="shared" si="3"/>
        <v>1765.8339154262351</v>
      </c>
      <c r="J56" s="1">
        <f t="shared" si="8"/>
        <v>339.45000000000027</v>
      </c>
      <c r="K56" s="1">
        <f t="shared" si="4"/>
        <v>0.91497873977772259</v>
      </c>
      <c r="L56" s="1">
        <f t="shared" si="5"/>
        <v>310.58953321754819</v>
      </c>
      <c r="M56" s="1">
        <f t="shared" si="6"/>
        <v>2823.171629380955</v>
      </c>
      <c r="N56" s="1">
        <f>$L56*'TABELA AUXILIAR'!$I$3*(B56-A56)</f>
        <v>700.68998693879041</v>
      </c>
      <c r="O56" s="1">
        <f>$L56*'TABELA AUXILIAR'!$I$4*(B56-A56)</f>
        <v>760.32317731655985</v>
      </c>
      <c r="P56" s="1">
        <f>$L56*'TABELA AUXILIAR'!$I$5*(B56-A56)</f>
        <v>877.72602087279324</v>
      </c>
      <c r="Q56" s="1">
        <f>$M56*'TABELA AUXILIAR'!$J$3+SUM(N$2:N56)</f>
        <v>24264.997897632056</v>
      </c>
      <c r="R56" s="1">
        <f>$M56*'TABELA AUXILIAR'!$J$4+SUM(O$2:O56)</f>
        <v>26595.001694995863</v>
      </c>
      <c r="S56" s="1">
        <f>$M56*'TABELA AUXILIAR'!$J$5+SUM(P$2:P56)</f>
        <v>31368.349550368133</v>
      </c>
      <c r="T56" s="2">
        <f t="shared" si="7"/>
        <v>12132</v>
      </c>
      <c r="U56" s="2">
        <f t="shared" si="7"/>
        <v>13297</v>
      </c>
      <c r="V56" s="2">
        <f t="shared" si="7"/>
        <v>15684</v>
      </c>
    </row>
    <row r="57" spans="1:22" x14ac:dyDescent="0.25">
      <c r="A57" s="1">
        <v>33</v>
      </c>
      <c r="B57" s="1">
        <v>33.6</v>
      </c>
      <c r="C57" s="1">
        <v>50</v>
      </c>
      <c r="D57" s="1" t="s">
        <v>18</v>
      </c>
      <c r="E57" s="1" t="s">
        <v>8</v>
      </c>
      <c r="F57" s="1" cm="1">
        <f t="array" ref="F57">_xlfn.XLOOKUP(D57,'TABELA AUXILIAR'!$A$2:$A$5,IF('SPT-03'!A57&lt;3,'TABELA AUXILIAR'!$B$2:$B$5,'TABELA AUXILIAR'!$C$2:$C$5),"",0,1)</f>
        <v>8.5</v>
      </c>
      <c r="G57" s="6">
        <f t="shared" si="1"/>
        <v>92.21284233880543</v>
      </c>
      <c r="H57" s="2">
        <f t="shared" si="2"/>
        <v>43.13052403989137</v>
      </c>
      <c r="I57" s="2">
        <f t="shared" si="3"/>
        <v>1776.3986330973314</v>
      </c>
      <c r="J57" s="1">
        <f t="shared" si="8"/>
        <v>344.5500000000003</v>
      </c>
      <c r="K57" s="1">
        <f t="shared" si="4"/>
        <v>0.90939881167145398</v>
      </c>
      <c r="L57" s="1">
        <f t="shared" si="5"/>
        <v>313.33336056139973</v>
      </c>
      <c r="M57" s="1">
        <f t="shared" si="6"/>
        <v>2848.5454012459468</v>
      </c>
      <c r="N57" s="1">
        <f>$L57*'TABELA AUXILIAR'!$I$3*(B57-A57)</f>
        <v>706.88006142651943</v>
      </c>
      <c r="O57" s="1">
        <f>$L57*'TABELA AUXILIAR'!$I$4*(B57-A57)</f>
        <v>767.04006665430848</v>
      </c>
      <c r="P57" s="1">
        <f>$L57*'TABELA AUXILIAR'!$I$5*(B57-A57)</f>
        <v>885.48007694651778</v>
      </c>
      <c r="Q57" s="1">
        <f>$M57*'TABELA AUXILIAR'!$J$3+SUM(N$2:N57)</f>
        <v>25000.550321266019</v>
      </c>
      <c r="R57" s="1">
        <f>$M57*'TABELA AUXILIAR'!$J$4+SUM(O$2:O57)</f>
        <v>27395.535140511962</v>
      </c>
      <c r="S57" s="1">
        <f>$M57*'TABELA AUXILIAR'!$J$5+SUM(P$2:P57)</f>
        <v>32298.487465797036</v>
      </c>
      <c r="T57" s="2">
        <f t="shared" si="7"/>
        <v>12500</v>
      </c>
      <c r="U57" s="2">
        <f t="shared" si="7"/>
        <v>13697</v>
      </c>
      <c r="V57" s="2">
        <f t="shared" si="7"/>
        <v>16149</v>
      </c>
    </row>
    <row r="58" spans="1:22" x14ac:dyDescent="0.25">
      <c r="A58" s="1">
        <v>33.6</v>
      </c>
      <c r="B58" s="1">
        <v>34.200000000000003</v>
      </c>
      <c r="C58" s="1">
        <v>50</v>
      </c>
      <c r="D58" s="1" t="s">
        <v>18</v>
      </c>
      <c r="E58" s="1" t="s">
        <v>8</v>
      </c>
      <c r="F58" s="1" cm="1">
        <f t="array" ref="F58">_xlfn.XLOOKUP(D58,'TABELA AUXILIAR'!$A$2:$A$5,IF('SPT-03'!A58&lt;3,'TABELA AUXILIAR'!$B$2:$B$5,'TABELA AUXILIAR'!$C$2:$C$5),"",0,1)</f>
        <v>8.5</v>
      </c>
      <c r="G58" s="6">
        <f t="shared" si="1"/>
        <v>92.892798769219382</v>
      </c>
      <c r="H58" s="2">
        <f t="shared" si="2"/>
        <v>43.13052403989137</v>
      </c>
      <c r="I58" s="2">
        <f t="shared" si="3"/>
        <v>1786.86993493245</v>
      </c>
      <c r="J58" s="1">
        <f t="shared" si="8"/>
        <v>349.65000000000032</v>
      </c>
      <c r="K58" s="1">
        <f t="shared" si="4"/>
        <v>0.90393415680319067</v>
      </c>
      <c r="L58" s="1">
        <f t="shared" si="5"/>
        <v>316.06057792623591</v>
      </c>
      <c r="M58" s="1">
        <f t="shared" si="6"/>
        <v>2873.7693782631559</v>
      </c>
      <c r="N58" s="1">
        <f>$L58*'TABELA AUXILIAR'!$I$3*(B58-A58)</f>
        <v>713.03266380158993</v>
      </c>
      <c r="O58" s="1">
        <f>$L58*'TABELA AUXILIAR'!$I$4*(B58-A58)</f>
        <v>773.71629476342741</v>
      </c>
      <c r="P58" s="1">
        <f>$L58*'TABELA AUXILIAR'!$I$5*(B58-A58)</f>
        <v>893.18719321954484</v>
      </c>
      <c r="Q58" s="1">
        <f>$M58*'TABELA AUXILIAR'!$J$3+SUM(N$2:N58)</f>
        <v>25742.086079097055</v>
      </c>
      <c r="R58" s="1">
        <f>$M58*'TABELA AUXILIAR'!$J$4+SUM(O$2:O58)</f>
        <v>28202.547084938105</v>
      </c>
      <c r="S58" s="1">
        <f>$M58*'TABELA AUXILIAR'!$J$5+SUM(P$2:P58)</f>
        <v>33236.068858566869</v>
      </c>
      <c r="T58" s="2">
        <f t="shared" si="7"/>
        <v>12871</v>
      </c>
      <c r="U58" s="2">
        <f t="shared" si="7"/>
        <v>14101</v>
      </c>
      <c r="V58" s="2">
        <f t="shared" si="7"/>
        <v>16618</v>
      </c>
    </row>
    <row r="59" spans="1:22" x14ac:dyDescent="0.25">
      <c r="A59" s="1">
        <v>34.200000000000003</v>
      </c>
      <c r="B59" s="1">
        <v>34.799999999999997</v>
      </c>
      <c r="C59" s="1">
        <v>50</v>
      </c>
      <c r="D59" s="1" t="s">
        <v>18</v>
      </c>
      <c r="E59" s="1" t="s">
        <v>8</v>
      </c>
      <c r="F59" s="1" cm="1">
        <f t="array" ref="F59">_xlfn.XLOOKUP(D59,'TABELA AUXILIAR'!$A$2:$A$5,IF('SPT-03'!A59&lt;3,'TABELA AUXILIAR'!$B$2:$B$5,'TABELA AUXILIAR'!$C$2:$C$5),"",0,1)</f>
        <v>8.5</v>
      </c>
      <c r="G59" s="6">
        <f t="shared" si="1"/>
        <v>93.567814093073594</v>
      </c>
      <c r="H59" s="2">
        <f t="shared" si="2"/>
        <v>43.13052403989137</v>
      </c>
      <c r="I59" s="2">
        <f t="shared" si="3"/>
        <v>1797.2499916775594</v>
      </c>
      <c r="J59" s="1">
        <f t="shared" si="8"/>
        <v>354.75000000000028</v>
      </c>
      <c r="K59" s="1">
        <f t="shared" si="4"/>
        <v>0.89858076383264551</v>
      </c>
      <c r="L59" s="1">
        <f t="shared" si="5"/>
        <v>318.77152596963123</v>
      </c>
      <c r="M59" s="1">
        <f t="shared" si="6"/>
        <v>2898.8466106175483</v>
      </c>
      <c r="N59" s="1">
        <f>$L59*'TABELA AUXILIAR'!$I$3*(B59-A59)</f>
        <v>719.14856258748114</v>
      </c>
      <c r="O59" s="1">
        <f>$L59*'TABELA AUXILIAR'!$I$4*(B59-A59)</f>
        <v>780.35269557364984</v>
      </c>
      <c r="P59" s="1">
        <f>$L59*'TABELA AUXILIAR'!$I$5*(B59-A59)</f>
        <v>900.84833239016939</v>
      </c>
      <c r="Q59" s="1">
        <f>$M59*'TABELA AUXILIAR'!$J$3+SUM(N$2:N59)</f>
        <v>26489.571914245</v>
      </c>
      <c r="R59" s="1">
        <f>$M59*'TABELA AUXILIAR'!$J$4+SUM(O$2:O59)</f>
        <v>29016.001727219555</v>
      </c>
      <c r="S59" s="1">
        <f>$M59*'TABELA AUXILIAR'!$J$5+SUM(P$2:P59)</f>
        <v>34181.053119900767</v>
      </c>
      <c r="T59" s="2">
        <f t="shared" si="7"/>
        <v>13244</v>
      </c>
      <c r="U59" s="2">
        <f t="shared" si="7"/>
        <v>14508</v>
      </c>
      <c r="V59" s="2">
        <f t="shared" si="7"/>
        <v>17090</v>
      </c>
    </row>
    <row r="60" spans="1:22" x14ac:dyDescent="0.25">
      <c r="A60" s="1">
        <v>34.799999999999997</v>
      </c>
      <c r="B60" s="1">
        <v>35.4</v>
      </c>
      <c r="C60" s="1">
        <v>50</v>
      </c>
      <c r="D60" s="1" t="s">
        <v>18</v>
      </c>
      <c r="E60" s="1" t="s">
        <v>8</v>
      </c>
      <c r="F60" s="1" cm="1">
        <f t="array" ref="F60">_xlfn.XLOOKUP(D60,'TABELA AUXILIAR'!$A$2:$A$5,IF('SPT-03'!A60&lt;3,'TABELA AUXILIAR'!$B$2:$B$5,'TABELA AUXILIAR'!$C$2:$C$5),"",0,1)</f>
        <v>8.5</v>
      </c>
      <c r="G60" s="6">
        <f t="shared" si="1"/>
        <v>94.237994488068736</v>
      </c>
      <c r="H60" s="2">
        <f t="shared" si="2"/>
        <v>43.13052403989137</v>
      </c>
      <c r="I60" s="2">
        <f t="shared" si="3"/>
        <v>1807.5408932808975</v>
      </c>
      <c r="J60" s="1">
        <f t="shared" si="8"/>
        <v>359.85000000000025</v>
      </c>
      <c r="K60" s="1">
        <f t="shared" si="4"/>
        <v>0.89333481611516352</v>
      </c>
      <c r="L60" s="1">
        <f t="shared" si="5"/>
        <v>321.46653357904182</v>
      </c>
      <c r="M60" s="1">
        <f t="shared" si="6"/>
        <v>2923.7800435448198</v>
      </c>
      <c r="N60" s="1">
        <f>$L60*'TABELA AUXILIAR'!$I$3*(B60-A60)</f>
        <v>725.22849975431996</v>
      </c>
      <c r="O60" s="1">
        <f>$L60*'TABELA AUXILIAR'!$I$4*(B60-A60)</f>
        <v>786.95007420149625</v>
      </c>
      <c r="P60" s="1">
        <f>$L60*'TABELA AUXILIAR'!$I$5*(B60-A60)</f>
        <v>908.46442389437436</v>
      </c>
      <c r="Q60" s="1">
        <f>$M60*'TABELA AUXILIAR'!$J$3+SUM(N$2:N60)</f>
        <v>27242.975193207138</v>
      </c>
      <c r="R60" s="1">
        <f>$M60*'TABELA AUXILIAR'!$J$4+SUM(O$2:O60)</f>
        <v>29835.863932885048</v>
      </c>
      <c r="S60" s="1">
        <f>$M60*'TABELA AUXILIAR'!$J$5+SUM(P$2:P60)</f>
        <v>35133.40038574714</v>
      </c>
      <c r="T60" s="2">
        <f t="shared" si="7"/>
        <v>13621</v>
      </c>
      <c r="U60" s="2">
        <f t="shared" si="7"/>
        <v>14917</v>
      </c>
      <c r="V60" s="2">
        <f t="shared" si="7"/>
        <v>17566</v>
      </c>
    </row>
    <row r="61" spans="1:22" x14ac:dyDescent="0.25">
      <c r="A61" s="1">
        <v>35.4</v>
      </c>
      <c r="B61" s="1">
        <v>36</v>
      </c>
      <c r="C61" s="1">
        <v>50</v>
      </c>
      <c r="D61" s="1" t="s">
        <v>18</v>
      </c>
      <c r="E61" s="1" t="s">
        <v>8</v>
      </c>
      <c r="F61" s="1" cm="1">
        <f t="array" ref="F61">_xlfn.XLOOKUP(D61,'TABELA AUXILIAR'!$A$2:$A$5,IF('SPT-03'!A61&lt;3,'TABELA AUXILIAR'!$B$2:$B$5,'TABELA AUXILIAR'!$C$2:$C$5),"",0,1)</f>
        <v>8.5</v>
      </c>
      <c r="G61" s="6">
        <f t="shared" si="1"/>
        <v>94.903442382827038</v>
      </c>
      <c r="H61" s="2">
        <f t="shared" si="2"/>
        <v>43.13052403989137</v>
      </c>
      <c r="I61" s="2">
        <f t="shared" si="3"/>
        <v>1817.7446529983667</v>
      </c>
      <c r="J61" s="1">
        <f t="shared" si="8"/>
        <v>364.95000000000027</v>
      </c>
      <c r="K61" s="1">
        <f t="shared" si="4"/>
        <v>0.88819267965225046</v>
      </c>
      <c r="L61" s="1">
        <f t="shared" si="5"/>
        <v>324.14591843908903</v>
      </c>
      <c r="M61" s="1">
        <f t="shared" si="6"/>
        <v>2948.5725223748664</v>
      </c>
      <c r="N61" s="1">
        <f>$L61*'TABELA AUXILIAR'!$I$3*(B61-A61)</f>
        <v>731.27319199858653</v>
      </c>
      <c r="O61" s="1">
        <f>$L61*'TABELA AUXILIAR'!$I$4*(B61-A61)</f>
        <v>793.50920833889188</v>
      </c>
      <c r="P61" s="1">
        <f>$L61*'TABELA AUXILIAR'!$I$5*(B61-A61)</f>
        <v>916.03636550886768</v>
      </c>
      <c r="Q61" s="1">
        <f>$M61*'TABELA AUXILIAR'!$J$3+SUM(N$2:N61)</f>
        <v>28002.263886283676</v>
      </c>
      <c r="R61" s="1">
        <f>$M61*'TABELA AUXILIAR'!$J$4+SUM(O$2:O61)</f>
        <v>30662.099213279602</v>
      </c>
      <c r="S61" s="1">
        <f>$M61*'TABELA AUXILIAR'!$J$5+SUM(P$2:P61)</f>
        <v>36093.071513996896</v>
      </c>
      <c r="T61" s="2">
        <f t="shared" si="7"/>
        <v>14001</v>
      </c>
      <c r="U61" s="2">
        <f t="shared" si="7"/>
        <v>15331</v>
      </c>
      <c r="V61" s="2">
        <f t="shared" si="7"/>
        <v>18046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18</v>
      </c>
      <c r="E62" s="1" t="s">
        <v>3</v>
      </c>
      <c r="F62" s="1" cm="1">
        <f t="array" ref="F62">_xlfn.XLOOKUP(D62,'TABELA AUXILIAR'!$A$2:$A$5,IF('SPT-03'!A62&lt;3,'TABELA AUXILIAR'!$B$2:$B$5,'TABELA AUXILIAR'!$C$2:$C$5),"",0,1)</f>
        <v>8.5</v>
      </c>
      <c r="G62" s="6">
        <f t="shared" si="1"/>
        <v>95.564256639644654</v>
      </c>
      <c r="H62" s="2">
        <f t="shared" si="2"/>
        <v>43.13052403989137</v>
      </c>
      <c r="I62" s="2">
        <f t="shared" si="3"/>
        <v>1827.8632112360965</v>
      </c>
      <c r="J62" s="1">
        <f t="shared" si="8"/>
        <v>370.0500000000003</v>
      </c>
      <c r="K62" s="1">
        <f t="shared" si="4"/>
        <v>0.88315089194426677</v>
      </c>
      <c r="L62" s="1">
        <f t="shared" si="5"/>
        <v>326.80998756397616</v>
      </c>
      <c r="M62" s="1">
        <f t="shared" si="6"/>
        <v>2973.2267972659656</v>
      </c>
      <c r="N62" s="1">
        <f>$L62*'TABELA AUXILIAR'!$I$3*(B62-A62)</f>
        <v>737.28333194433196</v>
      </c>
      <c r="O62" s="1">
        <f>$L62*'TABELA AUXILIAR'!$I$4*(B62-A62)</f>
        <v>800.03084955661552</v>
      </c>
      <c r="P62" s="1">
        <f>$L62*'TABELA AUXILIAR'!$I$5*(B62-A62)</f>
        <v>923.56502485579881</v>
      </c>
      <c r="Q62" s="1">
        <f>$M62*'TABELA AUXILIAR'!$J$3+SUM(N$2:N62)</f>
        <v>28767.40654885495</v>
      </c>
      <c r="R62" s="1">
        <f>$M62*'TABELA AUXILIAR'!$J$4+SUM(O$2:O62)</f>
        <v>31494.673705692469</v>
      </c>
      <c r="S62" s="1">
        <f>$M62*'TABELA AUXILIAR'!$J$5+SUM(P$2:P62)</f>
        <v>37060.028062661026</v>
      </c>
      <c r="T62" s="2">
        <f t="shared" si="7"/>
        <v>14383</v>
      </c>
      <c r="U62" s="2">
        <f t="shared" si="7"/>
        <v>15747</v>
      </c>
      <c r="V62" s="2">
        <f t="shared" si="7"/>
        <v>18530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18</v>
      </c>
      <c r="E63" s="1" t="s">
        <v>3</v>
      </c>
      <c r="F63" s="1" cm="1">
        <f t="array" ref="F63">_xlfn.XLOOKUP(D63,'TABELA AUXILIAR'!$A$2:$A$5,IF('SPT-03'!A63&lt;3,'TABELA AUXILIAR'!$B$2:$B$5,'TABELA AUXILIAR'!$C$2:$C$5),"",0,1)</f>
        <v>8.5</v>
      </c>
      <c r="G63" s="6">
        <f t="shared" si="1"/>
        <v>96.220532725947649</v>
      </c>
      <c r="H63" s="2">
        <f t="shared" si="2"/>
        <v>43.13052403989137</v>
      </c>
      <c r="I63" s="2">
        <f t="shared" si="3"/>
        <v>1837.8984391503659</v>
      </c>
      <c r="J63" s="1">
        <f t="shared" si="8"/>
        <v>375.15000000000032</v>
      </c>
      <c r="K63" s="1">
        <f t="shared" si="4"/>
        <v>0.87820615166634841</v>
      </c>
      <c r="L63" s="1">
        <f t="shared" si="5"/>
        <v>329.45903779763091</v>
      </c>
      <c r="M63" s="1">
        <f t="shared" si="6"/>
        <v>2997.7455276526189</v>
      </c>
      <c r="N63" s="1">
        <f>$L63*'TABELA AUXILIAR'!$I$3*(B63-A63)</f>
        <v>743.259589271457</v>
      </c>
      <c r="O63" s="1">
        <f>$L63*'TABELA AUXILIAR'!$I$4*(B63-A63)</f>
        <v>806.51572452860239</v>
      </c>
      <c r="P63" s="1">
        <f>$L63*'TABELA AUXILIAR'!$I$5*(B63-A63)</f>
        <v>931.05124081610722</v>
      </c>
      <c r="Q63" s="1">
        <f>$M63*'TABELA AUXILIAR'!$J$3+SUM(N$2:N63)</f>
        <v>29538.372303463322</v>
      </c>
      <c r="R63" s="1">
        <f>$M63*'TABELA AUXILIAR'!$J$4+SUM(O$2:O63)</f>
        <v>32333.554154331454</v>
      </c>
      <c r="S63" s="1">
        <f>$M63*'TABELA AUXILIAR'!$J$5+SUM(P$2:P63)</f>
        <v>38034.232268957647</v>
      </c>
      <c r="T63" s="2">
        <f t="shared" si="7"/>
        <v>14769</v>
      </c>
      <c r="U63" s="2">
        <f t="shared" si="7"/>
        <v>16166</v>
      </c>
      <c r="V63" s="2">
        <f t="shared" si="7"/>
        <v>19017</v>
      </c>
    </row>
    <row r="64" spans="1:22" x14ac:dyDescent="0.25">
      <c r="A64" s="1">
        <v>37.200000000000003</v>
      </c>
      <c r="B64" s="1">
        <v>37.799999999999997</v>
      </c>
      <c r="C64" s="1">
        <v>50</v>
      </c>
      <c r="D64" s="1" t="s">
        <v>18</v>
      </c>
      <c r="E64" s="1" t="s">
        <v>3</v>
      </c>
      <c r="F64" s="1" cm="1">
        <f t="array" ref="F64">_xlfn.XLOOKUP(D64,'TABELA AUXILIAR'!$A$2:$A$5,IF('SPT-03'!A64&lt;3,'TABELA AUXILIAR'!$B$2:$B$5,'TABELA AUXILIAR'!$C$2:$C$5),"",0,1)</f>
        <v>8.5</v>
      </c>
      <c r="G64" s="6">
        <f t="shared" si="1"/>
        <v>96.872362875293049</v>
      </c>
      <c r="H64" s="2">
        <f t="shared" si="2"/>
        <v>43.13052403989137</v>
      </c>
      <c r="I64" s="2">
        <f t="shared" si="3"/>
        <v>1847.8521420232983</v>
      </c>
      <c r="J64" s="1">
        <f t="shared" si="8"/>
        <v>380.25000000000028</v>
      </c>
      <c r="K64" s="1">
        <f t="shared" si="4"/>
        <v>0.87335530909649339</v>
      </c>
      <c r="L64" s="1">
        <f t="shared" si="5"/>
        <v>332.09335628394189</v>
      </c>
      <c r="M64" s="1">
        <f t="shared" si="6"/>
        <v>3022.1312864280485</v>
      </c>
      <c r="N64" s="1">
        <f>$L64*'TABELA AUXILIAR'!$I$3*(B64-A64)</f>
        <v>749.20261177656585</v>
      </c>
      <c r="O64" s="1">
        <f>$L64*'TABELA AUXILIAR'!$I$4*(B64-A64)</f>
        <v>812.96453618308203</v>
      </c>
      <c r="P64" s="1">
        <f>$L64*'TABELA AUXILIAR'!$I$5*(B64-A64)</f>
        <v>938.49582485841086</v>
      </c>
      <c r="Q64" s="1">
        <f>$M64*'TABELA AUXILIAR'!$J$3+SUM(N$2:N64)</f>
        <v>30315.130822656127</v>
      </c>
      <c r="R64" s="1">
        <f>$M64*'TABELA AUXILIAR'!$J$4+SUM(O$2:O64)</f>
        <v>33178.7078920981</v>
      </c>
      <c r="S64" s="1">
        <f>$M64*'TABELA AUXILIAR'!$J$5+SUM(P$2:P64)</f>
        <v>39015.647029260814</v>
      </c>
      <c r="T64" s="2">
        <f t="shared" si="7"/>
        <v>15157</v>
      </c>
      <c r="U64" s="2">
        <f t="shared" si="7"/>
        <v>16589</v>
      </c>
      <c r="V64" s="2">
        <f t="shared" si="7"/>
        <v>19507</v>
      </c>
    </row>
    <row r="65" spans="1:22" x14ac:dyDescent="0.25">
      <c r="A65" s="1">
        <v>37.799999999999997</v>
      </c>
      <c r="B65" s="1">
        <v>38.4</v>
      </c>
      <c r="C65" s="1">
        <v>50</v>
      </c>
      <c r="D65" s="1" t="s">
        <v>18</v>
      </c>
      <c r="E65" s="1" t="s">
        <v>3</v>
      </c>
      <c r="F65" s="1" cm="1">
        <f t="array" ref="F65">_xlfn.XLOOKUP(D65,'TABELA AUXILIAR'!$A$2:$A$5,IF('SPT-03'!A65&lt;3,'TABELA AUXILIAR'!$B$2:$B$5,'TABELA AUXILIAR'!$C$2:$C$5),"",0,1)</f>
        <v>8.5</v>
      </c>
      <c r="G65" s="6">
        <f t="shared" si="1"/>
        <v>97.519836238684007</v>
      </c>
      <c r="H65" s="2">
        <f t="shared" si="2"/>
        <v>43.13052403989137</v>
      </c>
      <c r="I65" s="2">
        <f t="shared" si="3"/>
        <v>1857.7260624310943</v>
      </c>
      <c r="J65" s="1">
        <f t="shared" si="8"/>
        <v>385.35000000000025</v>
      </c>
      <c r="K65" s="1">
        <f t="shared" si="4"/>
        <v>0.86859535723174464</v>
      </c>
      <c r="L65" s="1">
        <f t="shared" si="5"/>
        <v>334.71322090925304</v>
      </c>
      <c r="M65" s="1">
        <f t="shared" si="6"/>
        <v>3046.3865638804659</v>
      </c>
      <c r="N65" s="1">
        <f>$L65*'TABELA AUXILIAR'!$I$3*(B65-A65)</f>
        <v>755.11302637127653</v>
      </c>
      <c r="O65" s="1">
        <f>$L65*'TABELA AUXILIAR'!$I$4*(B65-A65)</f>
        <v>819.37796478585335</v>
      </c>
      <c r="P65" s="1">
        <f>$L65*'TABELA AUXILIAR'!$I$5*(B65-A65)</f>
        <v>945.89956228955134</v>
      </c>
      <c r="Q65" s="1">
        <f>$M65*'TABELA AUXILIAR'!$J$3+SUM(N$2:N65)</f>
        <v>31097.652312548635</v>
      </c>
      <c r="R65" s="1">
        <f>$M65*'TABELA AUXILIAR'!$J$4+SUM(O$2:O65)</f>
        <v>34030.102823121146</v>
      </c>
      <c r="S65" s="1">
        <f>$M65*'TABELA AUXILIAR'!$J$5+SUM(P$2:P65)</f>
        <v>40004.235879866617</v>
      </c>
      <c r="T65" s="2">
        <f t="shared" si="7"/>
        <v>15548</v>
      </c>
      <c r="U65" s="2">
        <f t="shared" si="7"/>
        <v>17015</v>
      </c>
      <c r="V65" s="2">
        <f t="shared" si="7"/>
        <v>20002</v>
      </c>
    </row>
    <row r="66" spans="1:22" x14ac:dyDescent="0.25">
      <c r="A66" s="1">
        <v>38.4</v>
      </c>
      <c r="B66" s="1">
        <v>39</v>
      </c>
      <c r="C66" s="1">
        <v>50</v>
      </c>
      <c r="D66" s="1" t="s">
        <v>18</v>
      </c>
      <c r="E66" s="1" t="s">
        <v>3</v>
      </c>
      <c r="F66" s="1" cm="1">
        <f t="array" ref="F66">_xlfn.XLOOKUP(D66,'TABELA AUXILIAR'!$A$2:$A$5,IF('SPT-03'!A66&lt;3,'TABELA AUXILIAR'!$B$2:$B$5,'TABELA AUXILIAR'!$C$2:$C$5),"",0,1)</f>
        <v>8.5</v>
      </c>
      <c r="G66" s="6">
        <f t="shared" si="1"/>
        <v>98.163039026901799</v>
      </c>
      <c r="H66" s="2">
        <f t="shared" si="2"/>
        <v>43.13052403989137</v>
      </c>
      <c r="I66" s="2">
        <f t="shared" si="3"/>
        <v>1867.5218832201242</v>
      </c>
      <c r="J66" s="1">
        <f t="shared" si="8"/>
        <v>390.45000000000027</v>
      </c>
      <c r="K66" s="1">
        <f t="shared" si="4"/>
        <v>0.86392342353462914</v>
      </c>
      <c r="L66" s="1">
        <f t="shared" si="5"/>
        <v>337.31890071909618</v>
      </c>
      <c r="M66" s="1">
        <f t="shared" si="6"/>
        <v>3070.5137714007265</v>
      </c>
      <c r="N66" s="1">
        <f>$L66*'TABELA AUXILIAR'!$I$3*(B66-A66)</f>
        <v>760.99144002228275</v>
      </c>
      <c r="O66" s="1">
        <f>$L66*'TABELA AUXILIAR'!$I$4*(B66-A66)</f>
        <v>825.75666896034943</v>
      </c>
      <c r="P66" s="1">
        <f>$L66*'TABELA AUXILIAR'!$I$5*(B66-A66)</f>
        <v>953.26321343216807</v>
      </c>
      <c r="Q66" s="1">
        <f>$M66*'TABELA AUXILIAR'!$J$3+SUM(N$2:N66)</f>
        <v>31885.907497068813</v>
      </c>
      <c r="R66" s="1">
        <f>$M66*'TABELA AUXILIAR'!$J$4+SUM(O$2:O66)</f>
        <v>34887.707406008238</v>
      </c>
      <c r="S66" s="1">
        <f>$M66*'TABELA AUXILIAR'!$J$5+SUM(P$2:P66)</f>
        <v>40999.962978534444</v>
      </c>
      <c r="T66" s="2">
        <f t="shared" si="7"/>
        <v>15942</v>
      </c>
      <c r="U66" s="2">
        <f t="shared" si="7"/>
        <v>17443</v>
      </c>
      <c r="V66" s="2">
        <f t="shared" si="7"/>
        <v>20499</v>
      </c>
    </row>
    <row r="67" spans="1:22" x14ac:dyDescent="0.25">
      <c r="A67" s="1">
        <v>39</v>
      </c>
      <c r="B67" s="1">
        <v>39.6</v>
      </c>
      <c r="C67" s="1">
        <v>50</v>
      </c>
      <c r="D67" s="1" t="s">
        <v>18</v>
      </c>
      <c r="E67" s="1" t="s">
        <v>3</v>
      </c>
      <c r="F67" s="1" cm="1">
        <f t="array" ref="F67">_xlfn.XLOOKUP(D67,'TABELA AUXILIAR'!$A$2:$A$5,IF('SPT-03'!A67&lt;3,'TABELA AUXILIAR'!$B$2:$B$5,'TABELA AUXILIAR'!$C$2:$C$5),"",0,1)</f>
        <v>8.5</v>
      </c>
      <c r="G67" s="6">
        <f t="shared" ref="G67:G75" si="9">C67 / MIN(2, SQRT(101.3/J67))</f>
        <v>98.802054644497858</v>
      </c>
      <c r="H67" s="2">
        <f t="shared" ref="H67:H75" si="10">27.5+9.2*LOG10(C67)</f>
        <v>43.13052403989137</v>
      </c>
      <c r="I67" s="2">
        <f t="shared" ref="I67:I75" si="11">IF(D67="Areias",101.3*0.47*(G67)^0.8,101.3*0.15*(G67))</f>
        <v>1877.2412303048811</v>
      </c>
      <c r="J67" s="1">
        <f t="shared" si="8"/>
        <v>395.5500000000003</v>
      </c>
      <c r="K67" s="1">
        <f t="shared" ref="K67:K75" si="12">(1-SIN(RADIANS(H67)))*(I67/J67)^SIN(RADIANS(H67))*TAN(RADIANS(H67))</f>
        <v>0.85933676225756372</v>
      </c>
      <c r="L67" s="1">
        <f t="shared" ref="L67:L75" si="13">K67*J67</f>
        <v>339.91065631097956</v>
      </c>
      <c r="M67" s="1">
        <f t="shared" ref="M67:M75" si="14">0.59*(G67*101.3/J67)^0.8*J67</f>
        <v>3094.5152449773914</v>
      </c>
      <c r="N67" s="1">
        <f>$L67*'TABELA AUXILIAR'!$I$3*(B67-A67)</f>
        <v>766.83844063757169</v>
      </c>
      <c r="O67" s="1">
        <f>$L67*'TABELA AUXILIAR'!$I$4*(B67-A67)</f>
        <v>832.10128664927993</v>
      </c>
      <c r="P67" s="1">
        <f>$L67*'TABELA AUXILIAR'!$I$5*(B67-A67)</f>
        <v>960.58751473483051</v>
      </c>
      <c r="Q67" s="1">
        <f>$M67*'TABELA AUXILIAR'!$J$3+SUM(N$2:N67)</f>
        <v>32679.867602848019</v>
      </c>
      <c r="R67" s="1">
        <f>$M67*'TABELA AUXILIAR'!$J$4+SUM(O$2:O67)</f>
        <v>35751.490637778712</v>
      </c>
      <c r="S67" s="1">
        <f>$M67*'TABELA AUXILIAR'!$J$5+SUM(P$2:P67)</f>
        <v>42002.793086764206</v>
      </c>
      <c r="T67" s="2">
        <f t="shared" ref="T67:V75" si="15">ROUNDDOWN(Q67/2,0)</f>
        <v>16339</v>
      </c>
      <c r="U67" s="2">
        <f t="shared" si="15"/>
        <v>17875</v>
      </c>
      <c r="V67" s="2">
        <f t="shared" si="15"/>
        <v>21001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18</v>
      </c>
      <c r="E68" s="1" t="s">
        <v>3</v>
      </c>
      <c r="F68" s="1" cm="1">
        <f t="array" ref="F68">_xlfn.XLOOKUP(D68,'TABELA AUXILIAR'!$A$2:$A$5,IF('SPT-03'!A68&lt;3,'TABELA AUXILIAR'!$B$2:$B$5,'TABELA AUXILIAR'!$C$2:$C$5),"",0,1)</f>
        <v>8.5</v>
      </c>
      <c r="G68" s="6">
        <f t="shared" si="9"/>
        <v>99.436963816035899</v>
      </c>
      <c r="H68" s="2">
        <f t="shared" si="10"/>
        <v>43.13052403989137</v>
      </c>
      <c r="I68" s="2">
        <f t="shared" si="11"/>
        <v>1886.8856753006082</v>
      </c>
      <c r="J68" s="1">
        <f t="shared" ref="J68:J75" si="16">J67+(B67-A67)/2*F67+(B68-A68)/2*F68</f>
        <v>400.65000000000032</v>
      </c>
      <c r="K68" s="1">
        <f t="shared" si="12"/>
        <v>0.85483274729788439</v>
      </c>
      <c r="L68" s="1">
        <f t="shared" si="13"/>
        <v>342.48874020489762</v>
      </c>
      <c r="M68" s="1">
        <f t="shared" si="14"/>
        <v>3118.3932484940333</v>
      </c>
      <c r="N68" s="1">
        <f>$L68*'TABELA AUXILIAR'!$I$3*(B68-A68)</f>
        <v>772.65459790225088</v>
      </c>
      <c r="O68" s="1">
        <f>$L68*'TABELA AUXILIAR'!$I$4*(B68-A68)</f>
        <v>838.41243602159136</v>
      </c>
      <c r="P68" s="1">
        <f>$L68*'TABELA AUXILIAR'!$I$5*(B68-A68)</f>
        <v>967.87317981904289</v>
      </c>
      <c r="Q68" s="1">
        <f>$M68*'TABELA AUXILIAR'!$J$3+SUM(N$2:N68)</f>
        <v>33479.504344724075</v>
      </c>
      <c r="R68" s="1">
        <f>$M68*'TABELA AUXILIAR'!$J$4+SUM(O$2:O68)</f>
        <v>36621.422038442273</v>
      </c>
      <c r="S68" s="1">
        <f>$M68*'TABELA AUXILIAR'!$J$5+SUM(P$2:P68)</f>
        <v>43012.691552772536</v>
      </c>
      <c r="T68" s="2">
        <f t="shared" si="15"/>
        <v>16739</v>
      </c>
      <c r="U68" s="2">
        <f t="shared" si="15"/>
        <v>18310</v>
      </c>
      <c r="V68" s="2">
        <f t="shared" si="15"/>
        <v>21506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18</v>
      </c>
      <c r="E69" s="1" t="s">
        <v>3</v>
      </c>
      <c r="F69" s="1" cm="1">
        <f t="array" ref="F69">_xlfn.XLOOKUP(D69,'TABELA AUXILIAR'!$A$2:$A$5,IF('SPT-03'!A69&lt;3,'TABELA AUXILIAR'!$B$2:$B$5,'TABELA AUXILIAR'!$C$2:$C$5),"",0,1)</f>
        <v>8.5</v>
      </c>
      <c r="G69" s="6">
        <f t="shared" si="9"/>
        <v>100.06784470512459</v>
      </c>
      <c r="H69" s="2">
        <f t="shared" si="10"/>
        <v>43.13052403989137</v>
      </c>
      <c r="I69" s="2">
        <f t="shared" si="11"/>
        <v>1896.4567380023498</v>
      </c>
      <c r="J69" s="1">
        <f t="shared" si="16"/>
        <v>405.75000000000028</v>
      </c>
      <c r="K69" s="1">
        <f t="shared" si="12"/>
        <v>0.85040886554058492</v>
      </c>
      <c r="L69" s="1">
        <f t="shared" si="13"/>
        <v>345.05339719309256</v>
      </c>
      <c r="M69" s="1">
        <f t="shared" si="14"/>
        <v>3142.1499768422891</v>
      </c>
      <c r="N69" s="1">
        <f>$L69*'TABELA AUXILIAR'!$I$3*(B69-A69)</f>
        <v>778.44046406760935</v>
      </c>
      <c r="O69" s="1">
        <f>$L69*'TABELA AUXILIAR'!$I$4*(B69-A69)</f>
        <v>844.69071632868258</v>
      </c>
      <c r="P69" s="1">
        <f>$L69*'TABELA AUXILIAR'!$I$5*(B69-A69)</f>
        <v>975.12090046767037</v>
      </c>
      <c r="Q69" s="1">
        <f>$M69*'TABELA AUXILIAR'!$J$3+SUM(N$2:N69)</f>
        <v>34284.789911825217</v>
      </c>
      <c r="R69" s="1">
        <f>$M69*'TABELA AUXILIAR'!$J$4+SUM(O$2:O69)</f>
        <v>37497.471636190654</v>
      </c>
      <c r="S69" s="1">
        <f>$M69*'TABELA AUXILIAR'!$J$5+SUM(P$2:P69)</f>
        <v>44029.624295133137</v>
      </c>
      <c r="T69" s="2">
        <f t="shared" si="15"/>
        <v>17142</v>
      </c>
      <c r="U69" s="2">
        <f t="shared" si="15"/>
        <v>18748</v>
      </c>
      <c r="V69" s="2">
        <f t="shared" si="15"/>
        <v>22014</v>
      </c>
    </row>
    <row r="70" spans="1:22" x14ac:dyDescent="0.25">
      <c r="A70" s="1">
        <v>40.799999999999997</v>
      </c>
      <c r="B70" s="1">
        <v>41.4</v>
      </c>
      <c r="C70" s="1">
        <v>50</v>
      </c>
      <c r="D70" s="1" t="s">
        <v>18</v>
      </c>
      <c r="E70" s="1" t="s">
        <v>3</v>
      </c>
      <c r="F70" s="1" cm="1">
        <f t="array" ref="F70">_xlfn.XLOOKUP(D70,'TABELA AUXILIAR'!$A$2:$A$5,IF('SPT-03'!A70&lt;3,'TABELA AUXILIAR'!$B$2:$B$5,'TABELA AUXILIAR'!$C$2:$C$5),"",0,1)</f>
        <v>8.5</v>
      </c>
      <c r="G70" s="6">
        <f t="shared" si="9"/>
        <v>100.69477302673772</v>
      </c>
      <c r="H70" s="2">
        <f t="shared" si="10"/>
        <v>43.13052403989137</v>
      </c>
      <c r="I70" s="2">
        <f t="shared" si="11"/>
        <v>1905.9558887211708</v>
      </c>
      <c r="J70" s="1">
        <f t="shared" si="16"/>
        <v>410.85000000000025</v>
      </c>
      <c r="K70" s="1">
        <f t="shared" si="12"/>
        <v>0.84606271064980698</v>
      </c>
      <c r="L70" s="1">
        <f t="shared" si="13"/>
        <v>347.60486467047343</v>
      </c>
      <c r="M70" s="1">
        <f t="shared" si="14"/>
        <v>3165.78755886315</v>
      </c>
      <c r="N70" s="1">
        <f>$L70*'TABELA AUXILIAR'!$I$3*(B70-A70)</f>
        <v>784.19657469658989</v>
      </c>
      <c r="O70" s="1">
        <f>$L70*'TABELA AUXILIAR'!$I$4*(B70-A70)</f>
        <v>850.93670871332097</v>
      </c>
      <c r="P70" s="1">
        <f>$L70*'TABELA AUXILIAR'!$I$5*(B70-A70)</f>
        <v>982.33134755876017</v>
      </c>
      <c r="Q70" s="1">
        <f>$M70*'TABELA AUXILIAR'!$J$3+SUM(N$2:N70)</f>
        <v>35095.696954205378</v>
      </c>
      <c r="R70" s="1">
        <f>$M70*'TABELA AUXILIAR'!$J$4+SUM(O$2:O70)</f>
        <v>38379.609953171508</v>
      </c>
      <c r="S70" s="1">
        <f>$M70*'TABELA AUXILIAR'!$J$5+SUM(P$2:P70)</f>
        <v>45053.557787048609</v>
      </c>
      <c r="T70" s="2">
        <f t="shared" si="15"/>
        <v>17547</v>
      </c>
      <c r="U70" s="2">
        <f t="shared" si="15"/>
        <v>19189</v>
      </c>
      <c r="V70" s="2">
        <f t="shared" si="15"/>
        <v>22526</v>
      </c>
    </row>
    <row r="71" spans="1:22" x14ac:dyDescent="0.25">
      <c r="A71" s="1">
        <v>41.4</v>
      </c>
      <c r="B71" s="1">
        <v>42</v>
      </c>
      <c r="C71" s="1">
        <v>50</v>
      </c>
      <c r="D71" s="1" t="s">
        <v>18</v>
      </c>
      <c r="E71" s="1" t="s">
        <v>3</v>
      </c>
      <c r="F71" s="1" cm="1">
        <f t="array" ref="F71">_xlfn.XLOOKUP(D71,'TABELA AUXILIAR'!$A$2:$A$5,IF('SPT-03'!A71&lt;3,'TABELA AUXILIAR'!$B$2:$B$5,'TABELA AUXILIAR'!$C$2:$C$5),"",0,1)</f>
        <v>8.5</v>
      </c>
      <c r="G71" s="6">
        <f t="shared" si="9"/>
        <v>101.31782215327924</v>
      </c>
      <c r="H71" s="2">
        <f t="shared" si="10"/>
        <v>43.13052403989137</v>
      </c>
      <c r="I71" s="2">
        <f t="shared" si="11"/>
        <v>1915.3845504874857</v>
      </c>
      <c r="J71" s="1">
        <f t="shared" si="16"/>
        <v>415.95000000000027</v>
      </c>
      <c r="K71" s="1">
        <f t="shared" si="12"/>
        <v>0.84179197727369537</v>
      </c>
      <c r="L71" s="1">
        <f t="shared" si="13"/>
        <v>350.14337294699379</v>
      </c>
      <c r="M71" s="1">
        <f t="shared" si="14"/>
        <v>3189.3080601280085</v>
      </c>
      <c r="N71" s="1">
        <f>$L71*'TABELA AUXILIAR'!$I$3*(B71-A71)</f>
        <v>789.92344936841982</v>
      </c>
      <c r="O71" s="1">
        <f>$L71*'TABELA AUXILIAR'!$I$4*(B71-A71)</f>
        <v>857.15097697424278</v>
      </c>
      <c r="P71" s="1">
        <f>$L71*'TABELA AUXILIAR'!$I$5*(B71-A71)</f>
        <v>989.50517194820679</v>
      </c>
      <c r="Q71" s="1">
        <f>$M71*'TABELA AUXILIAR'!$J$3+SUM(N$2:N71)</f>
        <v>35912.198570003085</v>
      </c>
      <c r="R71" s="1">
        <f>$M71*'TABELA AUXILIAR'!$J$4+SUM(O$2:O71)</f>
        <v>39267.807991815367</v>
      </c>
      <c r="S71" s="1">
        <f>$M71*'TABELA AUXILIAR'!$J$5+SUM(P$2:P71)</f>
        <v>46084.459041222966</v>
      </c>
      <c r="T71" s="2">
        <f t="shared" si="15"/>
        <v>17956</v>
      </c>
      <c r="U71" s="2">
        <f t="shared" si="15"/>
        <v>19633</v>
      </c>
      <c r="V71" s="2">
        <f t="shared" si="15"/>
        <v>23042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18</v>
      </c>
      <c r="E72" s="1" t="s">
        <v>3</v>
      </c>
      <c r="F72" s="1" cm="1">
        <f t="array" ref="F72">_xlfn.XLOOKUP(D72,'TABELA AUXILIAR'!$A$2:$A$5,IF('SPT-03'!A72&lt;3,'TABELA AUXILIAR'!$B$2:$B$5,'TABELA AUXILIAR'!$C$2:$C$5),"",0,1)</f>
        <v>8.5</v>
      </c>
      <c r="G72" s="6">
        <f t="shared" si="9"/>
        <v>101.93706321481316</v>
      </c>
      <c r="H72" s="2">
        <f t="shared" si="10"/>
        <v>43.13052403989137</v>
      </c>
      <c r="I72" s="2">
        <f t="shared" si="11"/>
        <v>1924.7441011305316</v>
      </c>
      <c r="J72" s="1">
        <f t="shared" si="16"/>
        <v>421.0500000000003</v>
      </c>
      <c r="K72" s="1">
        <f t="shared" si="12"/>
        <v>0.83759445563038715</v>
      </c>
      <c r="L72" s="1">
        <f t="shared" si="13"/>
        <v>352.66914554317475</v>
      </c>
      <c r="M72" s="1">
        <f t="shared" si="14"/>
        <v>3212.713485569996</v>
      </c>
      <c r="N72" s="1">
        <f>$L72*'TABELA AUXILIAR'!$I$3*(B72-A72)</f>
        <v>795.621592345404</v>
      </c>
      <c r="O72" s="1">
        <f>$L72*'TABELA AUXILIAR'!$I$4*(B72-A72)</f>
        <v>863.33406828969385</v>
      </c>
      <c r="P72" s="1">
        <f>$L72*'TABELA AUXILIAR'!$I$5*(B72-A72)</f>
        <v>996.64300530501419</v>
      </c>
      <c r="Q72" s="1">
        <f>$M72*'TABELA AUXILIAR'!$J$3+SUM(N$2:N72)</f>
        <v>36734.268293097935</v>
      </c>
      <c r="R72" s="1">
        <f>$M72*'TABELA AUXILIAR'!$J$4+SUM(O$2:O72)</f>
        <v>40162.037221688486</v>
      </c>
      <c r="S72" s="1">
        <f>$M72*'TABELA AUXILIAR'!$J$5+SUM(P$2:P72)</f>
        <v>47122.295595305877</v>
      </c>
      <c r="T72" s="2">
        <f t="shared" si="15"/>
        <v>18367</v>
      </c>
      <c r="U72" s="2">
        <f t="shared" si="15"/>
        <v>20081</v>
      </c>
      <c r="V72" s="2">
        <f t="shared" si="15"/>
        <v>23561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18</v>
      </c>
      <c r="E73" s="1" t="s">
        <v>3</v>
      </c>
      <c r="F73" s="1" cm="1">
        <f t="array" ref="F73">_xlfn.XLOOKUP(D73,'TABELA AUXILIAR'!$A$2:$A$5,IF('SPT-03'!A73&lt;3,'TABELA AUXILIAR'!$B$2:$B$5,'TABELA AUXILIAR'!$C$2:$C$5),"",0,1)</f>
        <v>8.5</v>
      </c>
      <c r="G73" s="6">
        <f t="shared" si="9"/>
        <v>102.55256519384639</v>
      </c>
      <c r="H73" s="2">
        <f t="shared" si="10"/>
        <v>43.13052403989137</v>
      </c>
      <c r="I73" s="2">
        <f t="shared" si="11"/>
        <v>1934.0358752424061</v>
      </c>
      <c r="J73" s="1">
        <f t="shared" si="16"/>
        <v>426.15000000000032</v>
      </c>
      <c r="K73" s="1">
        <f t="shared" si="12"/>
        <v>0.83346802644580775</v>
      </c>
      <c r="L73" s="1">
        <f t="shared" si="13"/>
        <v>355.18239946988126</v>
      </c>
      <c r="M73" s="1">
        <f t="shared" si="14"/>
        <v>3236.0057819754188</v>
      </c>
      <c r="N73" s="1">
        <f>$L73*'TABELA AUXILIAR'!$I$3*(B73-A73)</f>
        <v>801.29149320405406</v>
      </c>
      <c r="O73" s="1">
        <f>$L73*'TABELA AUXILIAR'!$I$4*(B73-A73)</f>
        <v>869.48651390227144</v>
      </c>
      <c r="P73" s="1">
        <f>$L73*'TABELA AUXILIAR'!$I$5*(B73-A73)</f>
        <v>1003.7454609018868</v>
      </c>
      <c r="Q73" s="1">
        <f>$M73*'TABELA AUXILIAR'!$J$3+SUM(N$2:N73)</f>
        <v>37561.880081240117</v>
      </c>
      <c r="R73" s="1">
        <f>$M73*'TABELA AUXILIAR'!$J$4+SUM(O$2:O73)</f>
        <v>41062.269566845913</v>
      </c>
      <c r="S73" s="1">
        <f>$M73*'TABELA AUXILIAR'!$J$5+SUM(P$2:P73)</f>
        <v>48167.035497881312</v>
      </c>
      <c r="T73" s="2">
        <f t="shared" si="15"/>
        <v>18780</v>
      </c>
      <c r="U73" s="2">
        <f t="shared" si="15"/>
        <v>20531</v>
      </c>
      <c r="V73" s="2">
        <f t="shared" si="15"/>
        <v>24083</v>
      </c>
    </row>
    <row r="74" spans="1:22" x14ac:dyDescent="0.25">
      <c r="A74" s="1">
        <v>43.2</v>
      </c>
      <c r="B74" s="1">
        <v>43.8</v>
      </c>
      <c r="C74" s="1">
        <v>50</v>
      </c>
      <c r="D74" s="1" t="s">
        <v>18</v>
      </c>
      <c r="E74" s="1" t="s">
        <v>3</v>
      </c>
      <c r="F74" s="1" cm="1">
        <f t="array" ref="F74">_xlfn.XLOOKUP(D74,'TABELA AUXILIAR'!$A$2:$A$5,IF('SPT-03'!A74&lt;3,'TABELA AUXILIAR'!$B$2:$B$5,'TABELA AUXILIAR'!$C$2:$C$5),"",0,1)</f>
        <v>8.5</v>
      </c>
      <c r="G74" s="6">
        <f t="shared" si="9"/>
        <v>103.16439501502157</v>
      </c>
      <c r="H74" s="2">
        <f t="shared" si="10"/>
        <v>43.13052403989137</v>
      </c>
      <c r="I74" s="2">
        <f t="shared" si="11"/>
        <v>1943.2611660343489</v>
      </c>
      <c r="J74" s="1">
        <f t="shared" si="16"/>
        <v>431.25000000000028</v>
      </c>
      <c r="K74" s="1">
        <f t="shared" si="12"/>
        <v>0.82941065621649945</v>
      </c>
      <c r="L74" s="1">
        <f t="shared" si="13"/>
        <v>357.68334549336561</v>
      </c>
      <c r="M74" s="1">
        <f t="shared" si="14"/>
        <v>3259.1868403443009</v>
      </c>
      <c r="N74" s="1">
        <f>$L74*'TABELA AUXILIAR'!$I$3*(B74-A74)</f>
        <v>806.93362743302509</v>
      </c>
      <c r="O74" s="1">
        <f>$L74*'TABELA AUXILIAR'!$I$4*(B74-A74)</f>
        <v>875.60882976775065</v>
      </c>
      <c r="P74" s="1">
        <f>$L74*'TABELA AUXILIAR'!$I$5*(B74-A74)</f>
        <v>1010.8131343642416</v>
      </c>
      <c r="Q74" s="1">
        <f>$M74*'TABELA AUXILIAR'!$J$3+SUM(N$2:N74)</f>
        <v>38395.008304629984</v>
      </c>
      <c r="R74" s="1">
        <f>$M74*'TABELA AUXILIAR'!$J$4+SUM(O$2:O74)</f>
        <v>41968.477393660585</v>
      </c>
      <c r="S74" s="1">
        <f>$M74*'TABELA AUXILIAR'!$J$5+SUM(P$2:P74)</f>
        <v>49218.647294974784</v>
      </c>
      <c r="T74" s="2">
        <f t="shared" si="15"/>
        <v>19197</v>
      </c>
      <c r="U74" s="2">
        <f t="shared" si="15"/>
        <v>20984</v>
      </c>
      <c r="V74" s="2">
        <f t="shared" si="15"/>
        <v>24609</v>
      </c>
    </row>
    <row r="75" spans="1:22" x14ac:dyDescent="0.25">
      <c r="A75" s="1">
        <v>43.8</v>
      </c>
      <c r="B75" s="1">
        <v>44.4</v>
      </c>
      <c r="C75" s="1">
        <v>50</v>
      </c>
      <c r="D75" s="1" t="s">
        <v>18</v>
      </c>
      <c r="E75" s="1" t="s">
        <v>3</v>
      </c>
      <c r="F75" s="1" cm="1">
        <f t="array" ref="F75">_xlfn.XLOOKUP(D75,'TABELA AUXILIAR'!$A$2:$A$5,IF('SPT-03'!A75&lt;3,'TABELA AUXILIAR'!$B$2:$B$5,'TABELA AUXILIAR'!$C$2:$C$5),"",0,1)</f>
        <v>8.5</v>
      </c>
      <c r="G75" s="6">
        <f t="shared" si="9"/>
        <v>103.77261763005066</v>
      </c>
      <c r="H75" s="2">
        <f t="shared" si="10"/>
        <v>43.13052403989137</v>
      </c>
      <c r="I75" s="2">
        <f t="shared" si="11"/>
        <v>1952.421227092394</v>
      </c>
      <c r="J75" s="1">
        <f t="shared" si="16"/>
        <v>436.35000000000025</v>
      </c>
      <c r="K75" s="1">
        <f t="shared" si="12"/>
        <v>0.82542039277304891</v>
      </c>
      <c r="L75" s="1">
        <f t="shared" si="13"/>
        <v>360.17218838652008</v>
      </c>
      <c r="M75" s="1">
        <f t="shared" si="14"/>
        <v>3282.2584981283699</v>
      </c>
      <c r="N75" s="1">
        <f>$L75*'TABELA AUXILIAR'!$I$3*(B75-A75)</f>
        <v>812.54845699999112</v>
      </c>
      <c r="O75" s="1">
        <f>$L75*'TABELA AUXILIAR'!$I$4*(B75-A75)</f>
        <v>881.70151717020326</v>
      </c>
      <c r="P75" s="1">
        <f>$L75*'TABELA AUXILIAR'!$I$5*(B75-A75)</f>
        <v>1017.8466043803081</v>
      </c>
      <c r="Q75" s="1">
        <f>$M75*'TABELA AUXILIAR'!$J$3+SUM(N$2:N75)</f>
        <v>39233.627734925969</v>
      </c>
      <c r="R75" s="1">
        <f>$M75*'TABELA AUXILIAR'!$J$4+SUM(O$2:O75)</f>
        <v>42880.633499105759</v>
      </c>
      <c r="S75" s="1">
        <f>$M75*'TABELA AUXILIAR'!$J$5+SUM(P$2:P75)</f>
        <v>50277.100017055047</v>
      </c>
      <c r="T75" s="2">
        <f t="shared" si="15"/>
        <v>19616</v>
      </c>
      <c r="U75" s="2">
        <f t="shared" si="15"/>
        <v>21440</v>
      </c>
      <c r="V75" s="2">
        <f t="shared" si="15"/>
        <v>25138</v>
      </c>
    </row>
    <row r="76" spans="1:22" x14ac:dyDescent="0.25">
      <c r="A76" s="1">
        <v>44.4</v>
      </c>
      <c r="B76" s="1">
        <v>45</v>
      </c>
      <c r="C76" s="1">
        <v>50</v>
      </c>
      <c r="D76" s="1" t="s">
        <v>18</v>
      </c>
      <c r="E76" s="1" t="s">
        <v>3</v>
      </c>
      <c r="F76" s="1" cm="1">
        <f t="array" ref="F76">_xlfn.XLOOKUP(D76,'TABELA AUXILIAR'!$A$2:$A$5,IF('SPT-03'!A76&lt;3,'TABELA AUXILIAR'!$B$2:$B$5,'TABELA AUXILIAR'!$C$2:$C$5),"",0,1)</f>
        <v>8.5</v>
      </c>
      <c r="G76" s="6">
        <f t="shared" ref="G76:G80" si="17">C76 / MIN(2, SQRT(101.3/J76))</f>
        <v>104.37729609819368</v>
      </c>
      <c r="H76" s="2">
        <f t="shared" ref="H76:H80" si="18">27.5+9.2*LOG10(C76)</f>
        <v>43.13052403989137</v>
      </c>
      <c r="I76" s="2">
        <f t="shared" ref="I76:I80" si="19">IF(D76="Areias",101.3*0.47*(G76)^0.8,101.3*0.15*(G76))</f>
        <v>1961.5172740389467</v>
      </c>
      <c r="J76" s="1">
        <f t="shared" ref="J76:J80" si="20">J75+(B75-A75)/2*F75+(B76-A76)/2*F76</f>
        <v>441.45000000000027</v>
      </c>
      <c r="K76" s="1">
        <f t="shared" ref="K76:K80" si="21">(1-SIN(RADIANS(H76)))*(I76/J76)^SIN(RADIANS(H76))*TAN(RADIANS(H76))</f>
        <v>0.82149536112177335</v>
      </c>
      <c r="L76" s="1">
        <f t="shared" ref="L76:L80" si="22">K76*J76</f>
        <v>362.64912716720704</v>
      </c>
      <c r="M76" s="1">
        <f t="shared" ref="M76:M80" si="23">0.59*(G76*101.3/J76)^0.8*J76</f>
        <v>3305.2225413542083</v>
      </c>
      <c r="N76" s="1">
        <f>$L76*'TABELA AUXILIAR'!$I$3*(B76-A76)</f>
        <v>818.13643088922106</v>
      </c>
      <c r="O76" s="1">
        <f>$L76*'TABELA AUXILIAR'!$I$4*(B76-A76)</f>
        <v>887.76506330532493</v>
      </c>
      <c r="P76" s="1">
        <f>$L76*'TABELA AUXILIAR'!$I$5*(B76-A76)</f>
        <v>1024.8464333745294</v>
      </c>
      <c r="Q76" s="1">
        <f>$M76*'TABELA AUXILIAR'!$J$3+SUM(N$2:N76)</f>
        <v>40077.71353466039</v>
      </c>
      <c r="R76" s="1">
        <f>$M76*'TABELA AUXILIAR'!$J$4+SUM(O$2:O76)</f>
        <v>43798.71109946919</v>
      </c>
      <c r="S76" s="1">
        <f>$M76*'TABELA AUXILIAR'!$J$5+SUM(P$2:P76)</f>
        <v>51342.363166507057</v>
      </c>
    </row>
    <row r="77" spans="1:22" x14ac:dyDescent="0.25">
      <c r="A77" s="1">
        <v>45</v>
      </c>
      <c r="B77" s="1">
        <v>45.6</v>
      </c>
      <c r="C77" s="1">
        <v>50</v>
      </c>
      <c r="D77" s="1" t="s">
        <v>18</v>
      </c>
      <c r="E77" s="1" t="s">
        <v>3</v>
      </c>
      <c r="F77" s="1" cm="1">
        <f t="array" ref="F77">_xlfn.XLOOKUP(D77,'TABELA AUXILIAR'!$A$2:$A$5,IF('SPT-03'!A77&lt;3,'TABELA AUXILIAR'!$B$2:$B$5,'TABELA AUXILIAR'!$C$2:$C$5),"",0,1)</f>
        <v>8.5</v>
      </c>
      <c r="G77" s="6">
        <f t="shared" si="17"/>
        <v>104.9784916625653</v>
      </c>
      <c r="H77" s="2">
        <f t="shared" si="18"/>
        <v>43.13052403989137</v>
      </c>
      <c r="I77" s="2">
        <f t="shared" si="19"/>
        <v>1970.5504861063655</v>
      </c>
      <c r="J77" s="1">
        <f t="shared" si="20"/>
        <v>446.5500000000003</v>
      </c>
      <c r="K77" s="1">
        <f t="shared" si="21"/>
        <v>0.81763375954422957</v>
      </c>
      <c r="L77" s="1">
        <f t="shared" si="22"/>
        <v>365.11435532447598</v>
      </c>
      <c r="M77" s="1">
        <f t="shared" si="23"/>
        <v>3328.0807066387192</v>
      </c>
      <c r="N77" s="1">
        <f>$L77*'TABELA AUXILIAR'!$I$3*(B77-A77)</f>
        <v>823.69798561201969</v>
      </c>
      <c r="O77" s="1">
        <f>$L77*'TABELA AUXILIAR'!$I$4*(B77-A77)</f>
        <v>893.79994183431938</v>
      </c>
      <c r="P77" s="1">
        <f>$L77*'TABELA AUXILIAR'!$I$5*(B77-A77)</f>
        <v>1031.8131681469715</v>
      </c>
      <c r="Q77" s="1">
        <f>$M77*'TABELA AUXILIAR'!$J$3+SUM(N$2:N77)</f>
        <v>40927.241247043909</v>
      </c>
      <c r="R77" s="1">
        <f>$M77*'TABELA AUXILIAR'!$J$4+SUM(O$2:O77)</f>
        <v>44722.683819479062</v>
      </c>
      <c r="S77" s="1">
        <f>$M77*'TABELA AUXILIAR'!$J$5+SUM(P$2:P77)</f>
        <v>52414.406705554764</v>
      </c>
    </row>
    <row r="78" spans="1:22" x14ac:dyDescent="0.25">
      <c r="A78" s="1">
        <v>45.6</v>
      </c>
      <c r="B78" s="1">
        <v>46.2</v>
      </c>
      <c r="C78" s="1">
        <v>50</v>
      </c>
      <c r="D78" s="1" t="s">
        <v>18</v>
      </c>
      <c r="E78" s="1" t="s">
        <v>3</v>
      </c>
      <c r="F78" s="1" cm="1">
        <f t="array" ref="F78">_xlfn.XLOOKUP(D78,'TABELA AUXILIAR'!$A$2:$A$5,IF('SPT-03'!A78&lt;3,'TABELA AUXILIAR'!$B$2:$B$5,'TABELA AUXILIAR'!$C$2:$C$5),"",0,1)</f>
        <v>8.5</v>
      </c>
      <c r="G78" s="6">
        <f t="shared" si="17"/>
        <v>105.57626382253062</v>
      </c>
      <c r="H78" s="2">
        <f t="shared" si="18"/>
        <v>43.13052403989137</v>
      </c>
      <c r="I78" s="2">
        <f t="shared" si="19"/>
        <v>1979.52200762814</v>
      </c>
      <c r="J78" s="1">
        <f t="shared" si="20"/>
        <v>451.65000000000032</v>
      </c>
      <c r="K78" s="1">
        <f t="shared" si="21"/>
        <v>0.81383385593580893</v>
      </c>
      <c r="L78" s="1">
        <f t="shared" si="22"/>
        <v>367.56806103340836</v>
      </c>
      <c r="M78" s="1">
        <f t="shared" si="23"/>
        <v>3350.8346831035315</v>
      </c>
      <c r="N78" s="1">
        <f>$L78*'TABELA AUXILIAR'!$I$3*(B78-A78)</f>
        <v>829.23354569137109</v>
      </c>
      <c r="O78" s="1">
        <f>$L78*'TABELA AUXILIAR'!$I$4*(B78-A78)</f>
        <v>899.80661340978588</v>
      </c>
      <c r="P78" s="1">
        <f>$L78*'TABELA AUXILIAR'!$I$5*(B78-A78)</f>
        <v>1038.7473404804146</v>
      </c>
      <c r="Q78" s="1">
        <f>$M78*'TABELA AUXILIAR'!$J$3+SUM(N$2:N78)</f>
        <v>41782.186786140519</v>
      </c>
      <c r="R78" s="1">
        <f>$M78*'TABELA AUXILIAR'!$J$4+SUM(O$2:O78)</f>
        <v>45652.525681822401</v>
      </c>
      <c r="S78" s="1">
        <f>$M78*'TABELA AUXILIAR'!$J$5+SUM(P$2:P78)</f>
        <v>53493.201044613248</v>
      </c>
    </row>
    <row r="79" spans="1:22" x14ac:dyDescent="0.25">
      <c r="A79" s="1">
        <v>46.2</v>
      </c>
      <c r="B79" s="1">
        <v>46.8</v>
      </c>
      <c r="C79" s="1">
        <v>50</v>
      </c>
      <c r="D79" s="1" t="s">
        <v>18</v>
      </c>
      <c r="E79" s="1" t="s">
        <v>3</v>
      </c>
      <c r="F79" s="1" cm="1">
        <f t="array" ref="F79">_xlfn.XLOOKUP(D79,'TABELA AUXILIAR'!$A$2:$A$5,IF('SPT-03'!A79&lt;3,'TABELA AUXILIAR'!$B$2:$B$5,'TABELA AUXILIAR'!$C$2:$C$5),"",0,1)</f>
        <v>8.5</v>
      </c>
      <c r="G79" s="6">
        <f t="shared" si="17"/>
        <v>106.17067040243215</v>
      </c>
      <c r="H79" s="2">
        <f t="shared" si="18"/>
        <v>43.13052403989137</v>
      </c>
      <c r="I79" s="2">
        <f t="shared" si="19"/>
        <v>1988.432949452869</v>
      </c>
      <c r="J79" s="1">
        <f t="shared" si="20"/>
        <v>456.75000000000028</v>
      </c>
      <c r="K79" s="1">
        <f t="shared" si="21"/>
        <v>0.81009398436626257</v>
      </c>
      <c r="L79" s="1">
        <f t="shared" si="22"/>
        <v>370.01042735929065</v>
      </c>
      <c r="M79" s="1">
        <f t="shared" si="23"/>
        <v>3373.4861141944953</v>
      </c>
      <c r="N79" s="1">
        <f>$L79*'TABELA AUXILIAR'!$I$3*(B79-A79)</f>
        <v>834.74352412255178</v>
      </c>
      <c r="O79" s="1">
        <f>$L79*'TABELA AUXILIAR'!$I$4*(B79-A79)</f>
        <v>905.78552617553487</v>
      </c>
      <c r="P79" s="1">
        <f>$L79*'TABELA AUXILIAR'!$I$5*(B79-A79)</f>
        <v>1045.6494677173455</v>
      </c>
      <c r="Q79" s="1">
        <f>$M79*'TABELA AUXILIAR'!$J$3+SUM(N$2:N79)</f>
        <v>42642.52642739586</v>
      </c>
      <c r="R79" s="1">
        <f>$M79*'TABELA AUXILIAR'!$J$4+SUM(O$2:O79)</f>
        <v>46588.211097038002</v>
      </c>
      <c r="S79" s="1">
        <f>$M79*'TABELA AUXILIAR'!$J$5+SUM(P$2:P79)</f>
        <v>54578.717031050692</v>
      </c>
    </row>
    <row r="80" spans="1:22" x14ac:dyDescent="0.25">
      <c r="A80" s="1">
        <v>46.8</v>
      </c>
      <c r="B80" s="1">
        <v>47</v>
      </c>
      <c r="C80" s="1">
        <v>50</v>
      </c>
      <c r="D80" s="1" t="s">
        <v>18</v>
      </c>
      <c r="E80" s="1" t="s">
        <v>3</v>
      </c>
      <c r="F80" s="1" cm="1">
        <f t="array" ref="F80">_xlfn.XLOOKUP(D80,'TABELA AUXILIAR'!$A$2:$A$5,IF('SPT-03'!A80&lt;3,'TABELA AUXILIAR'!$B$2:$B$5,'TABELA AUXILIAR'!$C$2:$C$5),"",0,1)</f>
        <v>8.5</v>
      </c>
      <c r="G80" s="6">
        <f t="shared" si="17"/>
        <v>106.56509951364666</v>
      </c>
      <c r="H80" s="2">
        <f t="shared" si="18"/>
        <v>43.13052403989137</v>
      </c>
      <c r="I80" s="2">
        <f t="shared" si="19"/>
        <v>1994.3404559266487</v>
      </c>
      <c r="J80" s="1">
        <f t="shared" si="20"/>
        <v>460.15000000000026</v>
      </c>
      <c r="K80" s="1">
        <f t="shared" si="21"/>
        <v>0.80763329368918124</v>
      </c>
      <c r="L80" s="1">
        <f t="shared" si="22"/>
        <v>371.63246009107695</v>
      </c>
      <c r="M80" s="1">
        <f t="shared" si="23"/>
        <v>3388.5308902379556</v>
      </c>
      <c r="N80" s="1">
        <f>$L80*'TABELA AUXILIAR'!$I$3*(B80-A80)</f>
        <v>279.46760998849385</v>
      </c>
      <c r="O80" s="1">
        <f>$L80*'TABELA AUXILIAR'!$I$4*(B80-A80)</f>
        <v>303.25208743432313</v>
      </c>
      <c r="P80" s="1">
        <f>$L80*'TABELA AUXILIAR'!$I$5*(B80-A80)</f>
        <v>350.07777740579945</v>
      </c>
      <c r="Q80" s="1">
        <f>$M80*'TABELA AUXILIAR'!$J$3+SUM(N$2:N80)</f>
        <v>42938.994634313465</v>
      </c>
      <c r="R80" s="1">
        <f>$M80*'TABELA AUXILIAR'!$J$4+SUM(O$2:O80)</f>
        <v>46911.322288849697</v>
      </c>
      <c r="S80" s="1">
        <f>$M80*'TABELA AUXILIAR'!$J$5+SUM(P$2:P80)</f>
        <v>54955.273614292979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A6D0-5CAB-4C5A-A6E1-FFA0384A8A91}">
  <dimension ref="A1:V77"/>
  <sheetViews>
    <sheetView topLeftCell="A60" workbookViewId="0">
      <selection sqref="A1:XFD1048576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16384" width="9.140625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42</v>
      </c>
      <c r="D2" s="1" t="s">
        <v>20</v>
      </c>
      <c r="E2" s="1" t="s">
        <v>9</v>
      </c>
      <c r="F2" s="1" cm="1">
        <f t="array" ref="F2">_xlfn.XLOOKUP(D2,'TABELA AUXILIAR'!$A$2:$A$5,IF('SPT-04'!A2&lt;3,'TABELA AUXILIAR'!$B$2:$B$5,'TABELA AUXILIAR'!$C$2:$C$5),"",0,1)</f>
        <v>18</v>
      </c>
      <c r="G2" s="6">
        <f>C2 / MIN(2, SQRT(101.3/J2))</f>
        <v>21</v>
      </c>
      <c r="H2" s="2">
        <f>27.5+9.2*LOG10(C2)</f>
        <v>42.433893471660681</v>
      </c>
      <c r="I2" s="2">
        <f>IF(D2="Areias",101.3*0.47*(G2)^0.8,101.3*0.15*(G2))</f>
        <v>319.09499999999997</v>
      </c>
      <c r="J2" s="1">
        <f>(B2-A2)/2*F2</f>
        <v>5.3999999999999995</v>
      </c>
      <c r="K2" s="1">
        <f>(1-SIN(RADIANS(H2)))*(I2/J2)^SIN(RADIANS(H2))*TAN(RADIANS(H2))</f>
        <v>4.6622574907411449</v>
      </c>
      <c r="L2" s="1">
        <f>K2*J2</f>
        <v>25.176190450002181</v>
      </c>
      <c r="M2" s="1">
        <f>0.59*(G2*101.3/J2)^0.8*J2</f>
        <v>379.83392883516819</v>
      </c>
      <c r="N2" s="1">
        <f>$L2*'TABELA AUXILIAR'!$I$3*(B2-A2)</f>
        <v>56.797485655204916</v>
      </c>
      <c r="O2" s="1">
        <f>$L2*'TABELA AUXILIAR'!$I$4*(B2-A2)</f>
        <v>61.631314221605336</v>
      </c>
      <c r="P2" s="1">
        <f>$L2*'TABELA AUXILIAR'!$I$5*(B2-A2)</f>
        <v>71.147914211706166</v>
      </c>
      <c r="Q2" s="1">
        <f>$M2*'TABELA AUXILIAR'!$J$3+SUM(N$2:N2)</f>
        <v>486.00982523894493</v>
      </c>
      <c r="R2" s="1">
        <f>$M2*'TABELA AUXILIAR'!$J$4+SUM(O$2:O2)</f>
        <v>563.01210028402738</v>
      </c>
      <c r="S2" s="1">
        <f>$M2*'TABELA AUXILIAR'!$J$5+SUM(P$2:P2)</f>
        <v>739.65562896160225</v>
      </c>
      <c r="T2" s="2">
        <f>ROUNDDOWN(Q2/2,0)</f>
        <v>243</v>
      </c>
      <c r="U2" s="2">
        <f t="shared" ref="U2:V17" si="0">ROUNDDOWN(R2/2,0)</f>
        <v>281</v>
      </c>
      <c r="V2" s="2">
        <f t="shared" si="0"/>
        <v>369</v>
      </c>
    </row>
    <row r="3" spans="1:22" x14ac:dyDescent="0.25">
      <c r="A3" s="1">
        <v>0.6</v>
      </c>
      <c r="B3" s="1">
        <v>1.2</v>
      </c>
      <c r="C3" s="1">
        <v>29</v>
      </c>
      <c r="D3" s="1" t="s">
        <v>20</v>
      </c>
      <c r="E3" s="1" t="s">
        <v>9</v>
      </c>
      <c r="F3" s="1" cm="1">
        <f t="array" ref="F3">_xlfn.XLOOKUP(D3,'TABELA AUXILIAR'!$A$2:$A$5,IF('SPT-04'!A3&lt;3,'TABELA AUXILIAR'!$B$2:$B$5,'TABELA AUXILIAR'!$C$2:$C$5),"",0,1)</f>
        <v>18</v>
      </c>
      <c r="G3" s="6">
        <f t="shared" ref="G3:G66" si="1">C3 / MIN(2, SQRT(101.3/J3))</f>
        <v>14.5</v>
      </c>
      <c r="H3" s="2">
        <f t="shared" ref="H3:H66" si="2">27.5+9.2*LOG10(C3)</f>
        <v>40.954061580670398</v>
      </c>
      <c r="I3" s="2">
        <f t="shared" ref="I3:I66" si="3">IF(D3="Areias",101.3*0.47*(G3)^0.8,101.3*0.15*(G3))</f>
        <v>220.32749999999999</v>
      </c>
      <c r="J3" s="1">
        <f>J2+(B2-A2)/2*F2+(B3-A3)/2*F3</f>
        <v>16.2</v>
      </c>
      <c r="K3" s="1">
        <f t="shared" ref="K3:K66" si="4">(1-SIN(RADIANS(H3)))*(I3/J3)^SIN(RADIANS(H3))*TAN(RADIANS(H3))</f>
        <v>1.6546237997205731</v>
      </c>
      <c r="L3" s="1">
        <f t="shared" ref="L3:L66" si="5">K3*J3</f>
        <v>26.804905555473283</v>
      </c>
      <c r="M3" s="1">
        <f t="shared" ref="M3:M66" si="6">0.59*(G3*101.3/J3)^0.8*J3</f>
        <v>351.83332499135219</v>
      </c>
      <c r="N3" s="1">
        <f>$L3*'TABELA AUXILIAR'!$I$3*(B3-A3)</f>
        <v>60.471866933147723</v>
      </c>
      <c r="O3" s="1">
        <f>$L3*'TABELA AUXILIAR'!$I$4*(B3-A3)</f>
        <v>65.618408799798601</v>
      </c>
      <c r="P3" s="1">
        <f>$L3*'TABELA AUXILIAR'!$I$5*(B3-A3)</f>
        <v>75.750663099767493</v>
      </c>
      <c r="Q3" s="1">
        <f>$M3*'TABELA AUXILIAR'!$J$3+SUM(N$2:N3)</f>
        <v>514.84100982858058</v>
      </c>
      <c r="R3" s="1">
        <f>$M3*'TABELA AUXILIAR'!$J$4+SUM(O$2:O3)</f>
        <v>591.66971200998887</v>
      </c>
      <c r="S3" s="1">
        <f>$M3*'TABELA AUXILIAR'!$J$5+SUM(P$2:P3)</f>
        <v>766.12522929625356</v>
      </c>
      <c r="T3" s="2">
        <f t="shared" ref="T3:V66" si="7">ROUNDDOWN(Q3/2,0)</f>
        <v>257</v>
      </c>
      <c r="U3" s="2">
        <f t="shared" si="0"/>
        <v>295</v>
      </c>
      <c r="V3" s="2">
        <f t="shared" si="0"/>
        <v>383</v>
      </c>
    </row>
    <row r="4" spans="1:22" x14ac:dyDescent="0.25">
      <c r="A4" s="1">
        <v>1.2</v>
      </c>
      <c r="B4" s="1">
        <v>1.8</v>
      </c>
      <c r="C4" s="1">
        <v>16</v>
      </c>
      <c r="D4" s="1" t="s">
        <v>20</v>
      </c>
      <c r="E4" s="1" t="s">
        <v>9</v>
      </c>
      <c r="F4" s="1" cm="1">
        <f t="array" ref="F4">_xlfn.XLOOKUP(D4,'TABELA AUXILIAR'!$A$2:$A$5,IF('SPT-04'!A4&lt;3,'TABELA AUXILIAR'!$B$2:$B$5,'TABELA AUXILIAR'!$C$2:$C$5),"",0,1)</f>
        <v>18</v>
      </c>
      <c r="G4" s="6">
        <f t="shared" si="1"/>
        <v>8.2603251371941706</v>
      </c>
      <c r="H4" s="2">
        <f t="shared" si="2"/>
        <v>38.577903840434509</v>
      </c>
      <c r="I4" s="2">
        <f t="shared" si="3"/>
        <v>125.51564045966541</v>
      </c>
      <c r="J4" s="1">
        <f t="shared" ref="J4:J67" si="8">J3+(B3-A3)/2*F3+(B4-A4)/2*F4</f>
        <v>27</v>
      </c>
      <c r="K4" s="1">
        <f t="shared" si="4"/>
        <v>0.78275645782913894</v>
      </c>
      <c r="L4" s="1">
        <f t="shared" si="5"/>
        <v>21.134424361386753</v>
      </c>
      <c r="M4" s="1">
        <f t="shared" si="6"/>
        <v>248.43342937627918</v>
      </c>
      <c r="N4" s="1">
        <f>$L4*'TABELA AUXILIAR'!$I$3*(B4-A4)</f>
        <v>47.679261359288517</v>
      </c>
      <c r="O4" s="1">
        <f>$L4*'TABELA AUXILIAR'!$I$4*(B4-A4)</f>
        <v>51.737070836674775</v>
      </c>
      <c r="P4" s="1">
        <f>$L4*'TABELA AUXILIAR'!$I$5*(B4-A4)</f>
        <v>59.725883245278972</v>
      </c>
      <c r="Q4" s="1">
        <f>$M4*'TABELA AUXILIAR'!$J$3+SUM(N$2:N4)</f>
        <v>445.67838914283658</v>
      </c>
      <c r="R4" s="1">
        <f>$M4*'TABELA AUXILIAR'!$J$4+SUM(O$2:O4)</f>
        <v>506.91892063476723</v>
      </c>
      <c r="S4" s="1">
        <f>$M4*'TABELA AUXILIAR'!$J$5+SUM(P$2:P4)</f>
        <v>643.86729625900398</v>
      </c>
      <c r="T4" s="2">
        <f t="shared" si="7"/>
        <v>222</v>
      </c>
      <c r="U4" s="2">
        <f t="shared" si="0"/>
        <v>253</v>
      </c>
      <c r="V4" s="2">
        <f t="shared" si="0"/>
        <v>321</v>
      </c>
    </row>
    <row r="5" spans="1:22" x14ac:dyDescent="0.25">
      <c r="A5" s="1">
        <v>1.8</v>
      </c>
      <c r="B5" s="1">
        <v>2.4</v>
      </c>
      <c r="C5" s="1">
        <v>23</v>
      </c>
      <c r="D5" s="1" t="s">
        <v>20</v>
      </c>
      <c r="E5" s="1" t="s">
        <v>9</v>
      </c>
      <c r="F5" s="1" cm="1">
        <f t="array" ref="F5">_xlfn.XLOOKUP(D5,'TABELA AUXILIAR'!$A$2:$A$5,IF('SPT-04'!A5&lt;3,'TABELA AUXILIAR'!$B$2:$B$5,'TABELA AUXILIAR'!$C$2:$C$5),"",0,1)</f>
        <v>18</v>
      </c>
      <c r="G5" s="6">
        <f t="shared" si="1"/>
        <v>14.049763481970398</v>
      </c>
      <c r="H5" s="2">
        <f t="shared" si="2"/>
        <v>40.027896091361853</v>
      </c>
      <c r="I5" s="2">
        <f t="shared" si="3"/>
        <v>213.48615610854017</v>
      </c>
      <c r="J5" s="1">
        <f t="shared" si="8"/>
        <v>37.799999999999997</v>
      </c>
      <c r="K5" s="1">
        <f t="shared" si="4"/>
        <v>0.91262846952124232</v>
      </c>
      <c r="L5" s="1">
        <f t="shared" si="5"/>
        <v>34.497356147902956</v>
      </c>
      <c r="M5" s="1">
        <f t="shared" si="6"/>
        <v>406.41819106369246</v>
      </c>
      <c r="N5" s="1">
        <f>$L5*'TABELA AUXILIAR'!$I$3*(B5-A5)</f>
        <v>77.826035469669051</v>
      </c>
      <c r="O5" s="1">
        <f>$L5*'TABELA AUXILIAR'!$I$4*(B5-A5)</f>
        <v>84.449527850066417</v>
      </c>
      <c r="P5" s="1">
        <f>$L5*'TABELA AUXILIAR'!$I$5*(B5-A5)</f>
        <v>97.489528473973721</v>
      </c>
      <c r="Q5" s="1">
        <f>$M5*'TABELA AUXILIAR'!$J$3+SUM(N$2:N5)</f>
        <v>702.02720531928264</v>
      </c>
      <c r="R5" s="1">
        <f>$M5*'TABELA AUXILIAR'!$J$4+SUM(O$2:O5)</f>
        <v>799.90833391221918</v>
      </c>
      <c r="S5" s="1">
        <f>$M5*'TABELA AUXILIAR'!$J$5+SUM(P$2:P5)</f>
        <v>1019.4100053028251</v>
      </c>
      <c r="T5" s="2">
        <f t="shared" si="7"/>
        <v>351</v>
      </c>
      <c r="U5" s="2">
        <f t="shared" si="0"/>
        <v>399</v>
      </c>
      <c r="V5" s="2">
        <f t="shared" si="0"/>
        <v>509</v>
      </c>
    </row>
    <row r="6" spans="1:22" x14ac:dyDescent="0.25">
      <c r="A6" s="1">
        <v>2.4</v>
      </c>
      <c r="B6" s="1">
        <v>3</v>
      </c>
      <c r="C6" s="1">
        <v>23</v>
      </c>
      <c r="D6" s="1" t="s">
        <v>20</v>
      </c>
      <c r="E6" s="1" t="s">
        <v>9</v>
      </c>
      <c r="F6" s="1" cm="1">
        <f t="array" ref="F6">_xlfn.XLOOKUP(D6,'TABELA AUXILIAR'!$A$2:$A$5,IF('SPT-04'!A6&lt;3,'TABELA AUXILIAR'!$B$2:$B$5,'TABELA AUXILIAR'!$C$2:$C$5),"",0,1)</f>
        <v>18</v>
      </c>
      <c r="G6" s="6">
        <f t="shared" si="1"/>
        <v>15.93093435110168</v>
      </c>
      <c r="H6" s="2">
        <f t="shared" si="2"/>
        <v>40.027896091361853</v>
      </c>
      <c r="I6" s="2">
        <f t="shared" si="3"/>
        <v>242.07054746499</v>
      </c>
      <c r="J6" s="1">
        <f t="shared" si="8"/>
        <v>48.599999999999994</v>
      </c>
      <c r="K6" s="1">
        <f t="shared" si="4"/>
        <v>0.84177361042848708</v>
      </c>
      <c r="L6" s="1">
        <f t="shared" si="5"/>
        <v>40.910197466824471</v>
      </c>
      <c r="M6" s="1">
        <f t="shared" si="6"/>
        <v>472.56311451509038</v>
      </c>
      <c r="N6" s="1">
        <f>$L6*'TABELA AUXILIAR'!$I$3*(B6-A6)</f>
        <v>92.293405485156015</v>
      </c>
      <c r="O6" s="1">
        <f>$L6*'TABELA AUXILIAR'!$I$4*(B6-A6)</f>
        <v>100.14816339878632</v>
      </c>
      <c r="P6" s="1">
        <f>$L6*'TABELA AUXILIAR'!$I$5*(B6-A6)</f>
        <v>115.61221804124598</v>
      </c>
      <c r="Q6" s="1">
        <f>$M6*'TABELA AUXILIAR'!$J$3+SUM(N$2:N6)</f>
        <v>869.06437430451831</v>
      </c>
      <c r="R6" s="1">
        <f>$M6*'TABELA AUXILIAR'!$J$4+SUM(O$2:O6)</f>
        <v>987.36779626685075</v>
      </c>
      <c r="S6" s="1">
        <f>$M6*'TABELA AUXILIAR'!$J$5+SUM(P$2:P6)</f>
        <v>1251.4372886185315</v>
      </c>
      <c r="T6" s="2">
        <f t="shared" si="7"/>
        <v>434</v>
      </c>
      <c r="U6" s="2">
        <f t="shared" si="0"/>
        <v>493</v>
      </c>
      <c r="V6" s="2">
        <f t="shared" si="0"/>
        <v>625</v>
      </c>
    </row>
    <row r="7" spans="1:22" x14ac:dyDescent="0.25">
      <c r="A7" s="1">
        <v>3</v>
      </c>
      <c r="B7" s="1">
        <v>3.6</v>
      </c>
      <c r="C7" s="1">
        <v>34</v>
      </c>
      <c r="D7" s="1" t="s">
        <v>18</v>
      </c>
      <c r="E7" s="1" t="s">
        <v>2</v>
      </c>
      <c r="F7" s="1" cm="1">
        <f t="array" ref="F7">_xlfn.XLOOKUP(D7,'TABELA AUXILIAR'!$A$2:$A$5,IF('SPT-04'!A7&lt;3,'TABELA AUXILIAR'!$B$2:$B$5,'TABELA AUXILIAR'!$C$2:$C$5),"",0,1)</f>
        <v>8.5</v>
      </c>
      <c r="G7" s="6">
        <f t="shared" si="1"/>
        <v>25.403321171744214</v>
      </c>
      <c r="H7" s="2">
        <f t="shared" si="2"/>
        <v>41.589606036788744</v>
      </c>
      <c r="I7" s="2">
        <f t="shared" si="3"/>
        <v>633.31489518226772</v>
      </c>
      <c r="J7" s="1">
        <f t="shared" si="8"/>
        <v>56.54999999999999</v>
      </c>
      <c r="K7" s="1">
        <f t="shared" si="4"/>
        <v>1.4832937588129691</v>
      </c>
      <c r="L7" s="1">
        <f t="shared" si="5"/>
        <v>83.880262060873392</v>
      </c>
      <c r="M7" s="1">
        <f t="shared" si="6"/>
        <v>707.51962217070104</v>
      </c>
      <c r="N7" s="1">
        <f>$L7*'TABELA AUXILIAR'!$I$3*(B7-A7)</f>
        <v>189.2338712093304</v>
      </c>
      <c r="O7" s="1">
        <f>$L7*'TABELA AUXILIAR'!$I$4*(B7-A7)</f>
        <v>205.33888152501808</v>
      </c>
      <c r="P7" s="1">
        <f>$L7*'TABELA AUXILIAR'!$I$5*(B7-A7)</f>
        <v>237.04562058402823</v>
      </c>
      <c r="Q7" s="1">
        <f>$M7*'TABELA AUXILIAR'!$J$3+SUM(N$2:N7)</f>
        <v>1323.7990991646886</v>
      </c>
      <c r="R7" s="1">
        <f>$M7*'TABELA AUXILIAR'!$J$4+SUM(O$2:O7)</f>
        <v>1502.8492678972748</v>
      </c>
      <c r="S7" s="1">
        <f>$M7*'TABELA AUXILIAR'!$J$5+SUM(P$2:P7)</f>
        <v>1902.0063626764345</v>
      </c>
      <c r="T7" s="2">
        <f t="shared" si="7"/>
        <v>661</v>
      </c>
      <c r="U7" s="2">
        <f t="shared" si="0"/>
        <v>751</v>
      </c>
      <c r="V7" s="2">
        <f t="shared" si="0"/>
        <v>951</v>
      </c>
    </row>
    <row r="8" spans="1:22" x14ac:dyDescent="0.25">
      <c r="A8" s="1">
        <v>3.6</v>
      </c>
      <c r="B8" s="1">
        <v>4.2</v>
      </c>
      <c r="C8" s="1">
        <v>33</v>
      </c>
      <c r="D8" s="1" t="s">
        <v>18</v>
      </c>
      <c r="E8" s="1" t="s">
        <v>2</v>
      </c>
      <c r="F8" s="1" cm="1">
        <f t="array" ref="F8">_xlfn.XLOOKUP(D8,'TABELA AUXILIAR'!$A$2:$A$5,IF('SPT-04'!A8&lt;3,'TABELA AUXILIAR'!$B$2:$B$5,'TABELA AUXILIAR'!$C$2:$C$5),"",0,1)</f>
        <v>8.5</v>
      </c>
      <c r="G8" s="6">
        <f t="shared" si="1"/>
        <v>25.743984048876072</v>
      </c>
      <c r="H8" s="2">
        <f t="shared" si="2"/>
        <v>41.470328246876562</v>
      </c>
      <c r="I8" s="2">
        <f t="shared" si="3"/>
        <v>640.10012119918122</v>
      </c>
      <c r="J8" s="1">
        <f t="shared" si="8"/>
        <v>61.649999999999984</v>
      </c>
      <c r="K8" s="1">
        <f t="shared" si="4"/>
        <v>1.4060795239026376</v>
      </c>
      <c r="L8" s="1">
        <f t="shared" si="5"/>
        <v>86.684802648597582</v>
      </c>
      <c r="M8" s="1">
        <f t="shared" si="6"/>
        <v>727.55660920523735</v>
      </c>
      <c r="N8" s="1">
        <f>$L8*'TABELA AUXILIAR'!$I$3*(B8-A8)</f>
        <v>195.56091477523614</v>
      </c>
      <c r="O8" s="1">
        <f>$L8*'TABELA AUXILIAR'!$I$4*(B8-A8)</f>
        <v>212.20439688376692</v>
      </c>
      <c r="P8" s="1">
        <f>$L8*'TABELA AUXILIAR'!$I$5*(B8-A8)</f>
        <v>244.97125228493681</v>
      </c>
      <c r="Q8" s="1">
        <f>$M8*'TABELA AUXILIAR'!$J$3+SUM(N$2:N8)</f>
        <v>1542.0018092889509</v>
      </c>
      <c r="R8" s="1">
        <f>$M8*'TABELA AUXILIAR'!$J$4+SUM(O$2:O8)</f>
        <v>1741.5024876666298</v>
      </c>
      <c r="S8" s="1">
        <f>$M8*'TABELA AUXILIAR'!$J$5+SUM(P$2:P8)</f>
        <v>2182.2427121421551</v>
      </c>
      <c r="T8" s="2">
        <f t="shared" si="7"/>
        <v>771</v>
      </c>
      <c r="U8" s="2">
        <f t="shared" si="0"/>
        <v>870</v>
      </c>
      <c r="V8" s="2">
        <f t="shared" si="0"/>
        <v>1091</v>
      </c>
    </row>
    <row r="9" spans="1:22" x14ac:dyDescent="0.25">
      <c r="A9" s="1">
        <v>4.2</v>
      </c>
      <c r="B9" s="1">
        <v>4.8</v>
      </c>
      <c r="C9" s="1">
        <v>38</v>
      </c>
      <c r="D9" s="1" t="s">
        <v>18</v>
      </c>
      <c r="E9" s="1" t="s">
        <v>2</v>
      </c>
      <c r="F9" s="1" cm="1">
        <f t="array" ref="F9">_xlfn.XLOOKUP(D9,'TABELA AUXILIAR'!$A$2:$A$5,IF('SPT-04'!A9&lt;3,'TABELA AUXILIAR'!$B$2:$B$5,'TABELA AUXILIAR'!$C$2:$C$5),"",0,1)</f>
        <v>8.5</v>
      </c>
      <c r="G9" s="6">
        <f t="shared" si="1"/>
        <v>30.846401631039811</v>
      </c>
      <c r="H9" s="2">
        <f t="shared" si="2"/>
        <v>42.034009088874654</v>
      </c>
      <c r="I9" s="2">
        <f t="shared" si="3"/>
        <v>739.72604572026069</v>
      </c>
      <c r="J9" s="1">
        <f t="shared" si="8"/>
        <v>66.749999999999986</v>
      </c>
      <c r="K9" s="1">
        <f t="shared" si="4"/>
        <v>1.4910109253430226</v>
      </c>
      <c r="L9" s="1">
        <f t="shared" si="5"/>
        <v>99.524979266646739</v>
      </c>
      <c r="M9" s="1">
        <f t="shared" si="6"/>
        <v>854.266604708459</v>
      </c>
      <c r="N9" s="1">
        <f>$L9*'TABELA AUXILIAR'!$I$3*(B9-A9)</f>
        <v>224.52835322555489</v>
      </c>
      <c r="O9" s="1">
        <f>$L9*'TABELA AUXILIAR'!$I$4*(B9-A9)</f>
        <v>243.6371492447511</v>
      </c>
      <c r="P9" s="1">
        <f>$L9*'TABELA AUXILIAR'!$I$5*(B9-A9)</f>
        <v>281.25759140754349</v>
      </c>
      <c r="Q9" s="1">
        <f>$M9*'TABELA AUXILIAR'!$J$3+SUM(N$2:N9)</f>
        <v>1909.712457433146</v>
      </c>
      <c r="R9" s="1">
        <f>$M9*'TABELA AUXILIAR'!$J$4+SUM(O$2:O9)</f>
        <v>2152.3968309756337</v>
      </c>
      <c r="S9" s="1">
        <f>$M9*'TABELA AUXILIAR'!$J$5+SUM(P$2:P9)</f>
        <v>2686.5098956353686</v>
      </c>
      <c r="T9" s="2">
        <f t="shared" si="7"/>
        <v>954</v>
      </c>
      <c r="U9" s="2">
        <f t="shared" si="0"/>
        <v>1076</v>
      </c>
      <c r="V9" s="2">
        <f t="shared" si="0"/>
        <v>1343</v>
      </c>
    </row>
    <row r="10" spans="1:22" x14ac:dyDescent="0.25">
      <c r="A10" s="1">
        <v>4.8</v>
      </c>
      <c r="B10" s="1">
        <v>5.4</v>
      </c>
      <c r="C10" s="1">
        <v>37</v>
      </c>
      <c r="D10" s="1" t="s">
        <v>18</v>
      </c>
      <c r="E10" s="1" t="s">
        <v>2</v>
      </c>
      <c r="F10" s="1" cm="1">
        <f t="array" ref="F10">_xlfn.XLOOKUP(D10,'TABELA AUXILIAR'!$A$2:$A$5,IF('SPT-04'!A10&lt;3,'TABELA AUXILIAR'!$B$2:$B$5,'TABELA AUXILIAR'!$C$2:$C$5),"",0,1)</f>
        <v>8.5</v>
      </c>
      <c r="G10" s="6">
        <f t="shared" si="1"/>
        <v>31.160928341176053</v>
      </c>
      <c r="H10" s="2">
        <f t="shared" si="2"/>
        <v>41.927455861416355</v>
      </c>
      <c r="I10" s="2">
        <f t="shared" si="3"/>
        <v>745.75403765452165</v>
      </c>
      <c r="J10" s="1">
        <f t="shared" si="8"/>
        <v>71.84999999999998</v>
      </c>
      <c r="K10" s="1">
        <f t="shared" si="4"/>
        <v>1.4230332842690516</v>
      </c>
      <c r="L10" s="1">
        <f t="shared" si="5"/>
        <v>102.24494147473133</v>
      </c>
      <c r="M10" s="1">
        <f t="shared" si="6"/>
        <v>874.00362220816578</v>
      </c>
      <c r="N10" s="1">
        <f>$L10*'TABELA AUXILIAR'!$I$3*(B10-A10)</f>
        <v>230.66458796699408</v>
      </c>
      <c r="O10" s="1">
        <f>$L10*'TABELA AUXILIAR'!$I$4*(B10-A10)</f>
        <v>250.29561673014254</v>
      </c>
      <c r="P10" s="1">
        <f>$L10*'TABELA AUXILIAR'!$I$5*(B10-A10)</f>
        <v>288.94420460759102</v>
      </c>
      <c r="Q10" s="1">
        <f>$M10*'TABELA AUXILIAR'!$J$3+SUM(N$2:N10)</f>
        <v>2162.6798751748088</v>
      </c>
      <c r="R10" s="1">
        <f>$M10*'TABELA AUXILIAR'!$J$4+SUM(O$2:O10)</f>
        <v>2428.7453108053887</v>
      </c>
      <c r="S10" s="1">
        <f>$M10*'TABELA AUXILIAR'!$J$5+SUM(P$2:P10)</f>
        <v>3010.1912510424436</v>
      </c>
      <c r="T10" s="2">
        <f t="shared" si="7"/>
        <v>1081</v>
      </c>
      <c r="U10" s="2">
        <f t="shared" si="0"/>
        <v>1214</v>
      </c>
      <c r="V10" s="2">
        <f t="shared" si="0"/>
        <v>1505</v>
      </c>
    </row>
    <row r="11" spans="1:22" x14ac:dyDescent="0.25">
      <c r="A11" s="1">
        <v>5.4</v>
      </c>
      <c r="B11" s="1">
        <v>6</v>
      </c>
      <c r="C11" s="1">
        <v>41</v>
      </c>
      <c r="D11" s="1" t="s">
        <v>18</v>
      </c>
      <c r="E11" s="1" t="s">
        <v>2</v>
      </c>
      <c r="F11" s="1" cm="1">
        <f t="array" ref="F11">_xlfn.XLOOKUP(D11,'TABELA AUXILIAR'!$A$2:$A$5,IF('SPT-04'!A11&lt;3,'TABELA AUXILIAR'!$B$2:$B$5,'TABELA AUXILIAR'!$C$2:$C$5),"",0,1)</f>
        <v>8.5</v>
      </c>
      <c r="G11" s="6">
        <f t="shared" si="1"/>
        <v>35.734149179343412</v>
      </c>
      <c r="H11" s="2">
        <f t="shared" si="2"/>
        <v>42.337611481821568</v>
      </c>
      <c r="I11" s="2">
        <f t="shared" si="3"/>
        <v>832.09719919419661</v>
      </c>
      <c r="J11" s="1">
        <f t="shared" si="8"/>
        <v>76.949999999999974</v>
      </c>
      <c r="K11" s="1">
        <f t="shared" si="4"/>
        <v>1.4785642285216343</v>
      </c>
      <c r="L11" s="1">
        <f t="shared" si="5"/>
        <v>113.77551738473971</v>
      </c>
      <c r="M11" s="1">
        <f t="shared" si="6"/>
        <v>988.66247267651715</v>
      </c>
      <c r="N11" s="1">
        <f>$L11*'TABELA AUXILIAR'!$I$3*(B11-A11)</f>
        <v>256.67756721997262</v>
      </c>
      <c r="O11" s="1">
        <f>$L11*'TABELA AUXILIAR'!$I$4*(B11-A11)</f>
        <v>278.52246655784262</v>
      </c>
      <c r="P11" s="1">
        <f>$L11*'TABELA AUXILIAR'!$I$5*(B11-A11)</f>
        <v>321.52961212927426</v>
      </c>
      <c r="Q11" s="1">
        <f>$M11*'TABELA AUXILIAR'!$J$3+SUM(N$2:N11)</f>
        <v>2548.9219434240185</v>
      </c>
      <c r="R11" s="1">
        <f>$M11*'TABELA AUXILIAR'!$J$4+SUM(O$2:O11)</f>
        <v>2858.6174599814549</v>
      </c>
      <c r="S11" s="1">
        <f>$M11*'TABELA AUXILIAR'!$J$5+SUM(P$2:P11)</f>
        <v>3533.5204399960166</v>
      </c>
      <c r="T11" s="2">
        <f t="shared" si="7"/>
        <v>1274</v>
      </c>
      <c r="U11" s="2">
        <f t="shared" si="0"/>
        <v>1429</v>
      </c>
      <c r="V11" s="2">
        <f t="shared" si="0"/>
        <v>1766</v>
      </c>
    </row>
    <row r="12" spans="1:22" x14ac:dyDescent="0.25">
      <c r="A12" s="1">
        <v>6</v>
      </c>
      <c r="B12" s="1">
        <v>6.6</v>
      </c>
      <c r="C12" s="1">
        <v>50</v>
      </c>
      <c r="D12" s="1" t="s">
        <v>19</v>
      </c>
      <c r="E12" s="1" t="s">
        <v>4</v>
      </c>
      <c r="F12" s="1" cm="1">
        <f t="array" ref="F12">_xlfn.XLOOKUP(D12,'TABELA AUXILIAR'!$A$2:$A$5,IF('SPT-04'!A12&lt;3,'TABELA AUXILIAR'!$B$2:$B$5,'TABELA AUXILIAR'!$C$2:$C$5),"",0,1)</f>
        <v>10.5</v>
      </c>
      <c r="G12" s="6">
        <f t="shared" si="1"/>
        <v>45.163408473625822</v>
      </c>
      <c r="H12" s="2">
        <f t="shared" si="2"/>
        <v>43.13052403989137</v>
      </c>
      <c r="I12" s="2">
        <f t="shared" si="3"/>
        <v>686.25799175674433</v>
      </c>
      <c r="J12" s="1">
        <f t="shared" si="8"/>
        <v>82.649999999999963</v>
      </c>
      <c r="K12" s="1">
        <f t="shared" si="4"/>
        <v>1.2596292410183141</v>
      </c>
      <c r="L12" s="1">
        <f t="shared" si="5"/>
        <v>104.10835677016361</v>
      </c>
      <c r="M12" s="1">
        <f t="shared" si="6"/>
        <v>1209.5324044777271</v>
      </c>
      <c r="N12" s="1">
        <f>$L12*'TABELA AUXILIAR'!$I$3*(B12-A12)</f>
        <v>234.86845287348896</v>
      </c>
      <c r="O12" s="1">
        <f>$L12*'TABELA AUXILIAR'!$I$4*(B12-A12)</f>
        <v>254.85725737336034</v>
      </c>
      <c r="P12" s="1">
        <f>$L12*'TABELA AUXILIAR'!$I$5*(B12-A12)</f>
        <v>294.2102162324822</v>
      </c>
      <c r="Q12" s="1">
        <f>$M12*'TABELA AUXILIAR'!$J$3+SUM(N$2:N12)</f>
        <v>3033.3734192328748</v>
      </c>
      <c r="R12" s="1">
        <f>$M12*'TABELA AUXILIAR'!$J$4+SUM(O$2:O12)</f>
        <v>3405.0230273324128</v>
      </c>
      <c r="S12" s="1">
        <f>$M12*'TABELA AUXILIAR'!$J$5+SUM(P$2:P12)</f>
        <v>4216.4617361986275</v>
      </c>
      <c r="T12" s="2">
        <f t="shared" si="7"/>
        <v>1516</v>
      </c>
      <c r="U12" s="2">
        <f t="shared" si="0"/>
        <v>1702</v>
      </c>
      <c r="V12" s="2">
        <f t="shared" si="0"/>
        <v>2108</v>
      </c>
    </row>
    <row r="13" spans="1:22" x14ac:dyDescent="0.25">
      <c r="A13" s="1">
        <v>6.6</v>
      </c>
      <c r="B13" s="1">
        <v>7.2</v>
      </c>
      <c r="C13" s="1">
        <v>39</v>
      </c>
      <c r="D13" s="1" t="s">
        <v>19</v>
      </c>
      <c r="E13" s="1" t="s">
        <v>4</v>
      </c>
      <c r="F13" s="1" cm="1">
        <f t="array" ref="F13">_xlfn.XLOOKUP(D13,'TABELA AUXILIAR'!$A$2:$A$5,IF('SPT-04'!A13&lt;3,'TABELA AUXILIAR'!$B$2:$B$5,'TABELA AUXILIAR'!$C$2:$C$5),"",0,1)</f>
        <v>10.5</v>
      </c>
      <c r="G13" s="6">
        <f t="shared" si="1"/>
        <v>36.545411850799006</v>
      </c>
      <c r="H13" s="2">
        <f t="shared" si="2"/>
        <v>42.13779438464379</v>
      </c>
      <c r="I13" s="2">
        <f t="shared" si="3"/>
        <v>555.30753307289081</v>
      </c>
      <c r="J13" s="1">
        <f t="shared" si="8"/>
        <v>88.94999999999996</v>
      </c>
      <c r="K13" s="1">
        <f t="shared" si="4"/>
        <v>1.0173782268461469</v>
      </c>
      <c r="L13" s="1">
        <f t="shared" si="5"/>
        <v>90.495793277964722</v>
      </c>
      <c r="M13" s="1">
        <f t="shared" si="6"/>
        <v>1036.1796216794335</v>
      </c>
      <c r="N13" s="1">
        <f>$L13*'TABELA AUXILIAR'!$I$3*(B13-A13)</f>
        <v>204.15850963508859</v>
      </c>
      <c r="O13" s="1">
        <f>$L13*'TABELA AUXILIAR'!$I$4*(B13-A13)</f>
        <v>221.53370194445782</v>
      </c>
      <c r="P13" s="1">
        <f>$L13*'TABELA AUXILIAR'!$I$5*(B13-A13)</f>
        <v>255.74111180352853</v>
      </c>
      <c r="Q13" s="1">
        <f>$M13*'TABELA AUXILIAR'!$J$3+SUM(N$2:N13)</f>
        <v>3041.6432843058915</v>
      </c>
      <c r="R13" s="1">
        <f>$M13*'TABELA AUXILIAR'!$J$4+SUM(O$2:O13)</f>
        <v>3397.731055983123</v>
      </c>
      <c r="S13" s="1">
        <f>$M13*'TABELA AUXILIAR'!$J$5+SUM(P$2:P13)</f>
        <v>4167.1019502771596</v>
      </c>
      <c r="T13" s="2">
        <f t="shared" si="7"/>
        <v>1520</v>
      </c>
      <c r="U13" s="2">
        <f t="shared" si="0"/>
        <v>1698</v>
      </c>
      <c r="V13" s="2">
        <f t="shared" si="0"/>
        <v>2083</v>
      </c>
    </row>
    <row r="14" spans="1:22" x14ac:dyDescent="0.25">
      <c r="A14" s="1">
        <v>7.2</v>
      </c>
      <c r="B14" s="1">
        <v>7.8</v>
      </c>
      <c r="C14" s="1">
        <v>47</v>
      </c>
      <c r="D14" s="1" t="s">
        <v>19</v>
      </c>
      <c r="E14" s="1" t="s">
        <v>4</v>
      </c>
      <c r="F14" s="1" cm="1">
        <f t="array" ref="F14">_xlfn.XLOOKUP(D14,'TABELA AUXILIAR'!$A$2:$A$5,IF('SPT-04'!A14&lt;3,'TABELA AUXILIAR'!$B$2:$B$5,'TABELA AUXILIAR'!$C$2:$C$5),"",0,1)</f>
        <v>10.5</v>
      </c>
      <c r="G14" s="6">
        <f t="shared" si="1"/>
        <v>45.574889823546798</v>
      </c>
      <c r="H14" s="2">
        <f t="shared" si="2"/>
        <v>42.883300293008602</v>
      </c>
      <c r="I14" s="2">
        <f t="shared" si="3"/>
        <v>692.51045086879355</v>
      </c>
      <c r="J14" s="1">
        <f t="shared" si="8"/>
        <v>95.249999999999957</v>
      </c>
      <c r="K14" s="1">
        <f t="shared" si="4"/>
        <v>1.1445686945871083</v>
      </c>
      <c r="L14" s="1">
        <f t="shared" si="5"/>
        <v>109.02016815942201</v>
      </c>
      <c r="M14" s="1">
        <f t="shared" si="6"/>
        <v>1253.4097444721433</v>
      </c>
      <c r="N14" s="1">
        <f>$L14*'TABELA AUXILIAR'!$I$3*(B14-A14)</f>
        <v>245.9494993676559</v>
      </c>
      <c r="O14" s="1">
        <f>$L14*'TABELA AUXILIAR'!$I$4*(B14-A14)</f>
        <v>266.88137165426497</v>
      </c>
      <c r="P14" s="1">
        <f>$L14*'TABELA AUXILIAR'!$I$5*(B14-A14)</f>
        <v>308.09099521852647</v>
      </c>
      <c r="Q14" s="1">
        <f>$M14*'TABELA AUXILIAR'!$J$3+SUM(N$2:N14)</f>
        <v>3533.0628224293096</v>
      </c>
      <c r="R14" s="1">
        <f>$M14*'TABELA AUXILIAR'!$J$4+SUM(O$2:O14)</f>
        <v>3951.3561897237651</v>
      </c>
      <c r="S14" s="1">
        <f>$M14*'TABELA AUXILIAR'!$J$5+SUM(P$2:P14)</f>
        <v>4857.5179616108553</v>
      </c>
      <c r="T14" s="2">
        <f t="shared" si="7"/>
        <v>1766</v>
      </c>
      <c r="U14" s="2">
        <f t="shared" si="0"/>
        <v>1975</v>
      </c>
      <c r="V14" s="2">
        <f t="shared" si="0"/>
        <v>2428</v>
      </c>
    </row>
    <row r="15" spans="1:22" x14ac:dyDescent="0.25">
      <c r="A15" s="1">
        <v>7.8</v>
      </c>
      <c r="B15" s="1">
        <v>8.4</v>
      </c>
      <c r="C15" s="1">
        <v>27</v>
      </c>
      <c r="D15" s="1" t="s">
        <v>19</v>
      </c>
      <c r="E15" s="1" t="s">
        <v>4</v>
      </c>
      <c r="F15" s="1" cm="1">
        <f t="array" ref="F15">_xlfn.XLOOKUP(D15,'TABELA AUXILIAR'!$A$2:$A$5,IF('SPT-04'!A15&lt;3,'TABELA AUXILIAR'!$B$2:$B$5,'TABELA AUXILIAR'!$C$2:$C$5),"",0,1)</f>
        <v>10.5</v>
      </c>
      <c r="G15" s="6">
        <f t="shared" si="1"/>
        <v>27.033296350054162</v>
      </c>
      <c r="H15" s="2">
        <f t="shared" si="2"/>
        <v>40.668546630262682</v>
      </c>
      <c r="I15" s="2">
        <f t="shared" si="3"/>
        <v>410.77093803907297</v>
      </c>
      <c r="J15" s="1">
        <f t="shared" si="8"/>
        <v>101.54999999999995</v>
      </c>
      <c r="K15" s="1">
        <f t="shared" si="4"/>
        <v>0.74401077373642754</v>
      </c>
      <c r="L15" s="1">
        <f t="shared" si="5"/>
        <v>75.554294072934184</v>
      </c>
      <c r="M15" s="1">
        <f t="shared" si="6"/>
        <v>835.97782535570468</v>
      </c>
      <c r="N15" s="1">
        <f>$L15*'TABELA AUXILIAR'!$I$3*(B15-A15)</f>
        <v>170.45048742853967</v>
      </c>
      <c r="O15" s="1">
        <f>$L15*'TABELA AUXILIAR'!$I$4*(B15-A15)</f>
        <v>184.95691189054304</v>
      </c>
      <c r="P15" s="1">
        <f>$L15*'TABELA AUXILIAR'!$I$5*(B15-A15)</f>
        <v>213.51643505011216</v>
      </c>
      <c r="Q15" s="1">
        <f>$M15*'TABELA AUXILIAR'!$J$3+SUM(N$2:N15)</f>
        <v>3231.815241256274</v>
      </c>
      <c r="R15" s="1">
        <f>$M15*'TABELA AUXILIAR'!$J$4+SUM(O$2:O15)</f>
        <v>3585.3029683806089</v>
      </c>
      <c r="S15" s="1">
        <f>$M15*'TABELA AUXILIAR'!$J$5+SUM(P$2:P15)</f>
        <v>4336.3542190160351</v>
      </c>
      <c r="T15" s="2">
        <f t="shared" si="7"/>
        <v>1615</v>
      </c>
      <c r="U15" s="2">
        <f t="shared" si="0"/>
        <v>1792</v>
      </c>
      <c r="V15" s="2">
        <f t="shared" si="0"/>
        <v>2168</v>
      </c>
    </row>
    <row r="16" spans="1:22" x14ac:dyDescent="0.25">
      <c r="A16" s="1">
        <v>8.4</v>
      </c>
      <c r="B16" s="1">
        <v>9</v>
      </c>
      <c r="C16" s="1">
        <v>31</v>
      </c>
      <c r="D16" s="1" t="s">
        <v>19</v>
      </c>
      <c r="E16" s="1" t="s">
        <v>4</v>
      </c>
      <c r="F16" s="1" cm="1">
        <f t="array" ref="F16">_xlfn.XLOOKUP(D16,'TABELA AUXILIAR'!$A$2:$A$5,IF('SPT-04'!A16&lt;3,'TABELA AUXILIAR'!$B$2:$B$5,'TABELA AUXILIAR'!$C$2:$C$5),"",0,1)</f>
        <v>10.5</v>
      </c>
      <c r="G16" s="6">
        <f t="shared" si="1"/>
        <v>31.986523877610573</v>
      </c>
      <c r="H16" s="2">
        <f t="shared" si="2"/>
        <v>41.220527583275306</v>
      </c>
      <c r="I16" s="2">
        <f t="shared" si="3"/>
        <v>486.03523032029261</v>
      </c>
      <c r="J16" s="1">
        <f t="shared" si="8"/>
        <v>107.84999999999995</v>
      </c>
      <c r="K16" s="1">
        <f t="shared" si="4"/>
        <v>0.80575427604282113</v>
      </c>
      <c r="L16" s="1">
        <f t="shared" si="5"/>
        <v>86.900598671218219</v>
      </c>
      <c r="M16" s="1">
        <f t="shared" si="6"/>
        <v>968.00418412333727</v>
      </c>
      <c r="N16" s="1">
        <f>$L16*'TABELA AUXILIAR'!$I$3*(B16-A16)</f>
        <v>196.04775060226817</v>
      </c>
      <c r="O16" s="1">
        <f>$L16*'TABELA AUXILIAR'!$I$4*(B16-A16)</f>
        <v>212.73266554714206</v>
      </c>
      <c r="P16" s="1">
        <f>$L16*'TABELA AUXILIAR'!$I$5*(B16-A16)</f>
        <v>245.58109184486253</v>
      </c>
      <c r="Q16" s="1">
        <f>$M16*'TABELA AUXILIAR'!$J$3+SUM(N$2:N16)</f>
        <v>3577.0527772659666</v>
      </c>
      <c r="R16" s="1">
        <f>$M16*'TABELA AUXILIAR'!$J$4+SUM(O$2:O16)</f>
        <v>3972.3104275010255</v>
      </c>
      <c r="S16" s="1">
        <f>$M16*'TABELA AUXILIAR'!$J$5+SUM(P$2:P16)</f>
        <v>4814.3017022919312</v>
      </c>
      <c r="T16" s="2">
        <f t="shared" si="7"/>
        <v>1788</v>
      </c>
      <c r="U16" s="2">
        <f t="shared" si="0"/>
        <v>1986</v>
      </c>
      <c r="V16" s="2">
        <f t="shared" si="0"/>
        <v>2407</v>
      </c>
    </row>
    <row r="17" spans="1:22" x14ac:dyDescent="0.25">
      <c r="A17" s="1">
        <v>9</v>
      </c>
      <c r="B17" s="1">
        <v>9.6</v>
      </c>
      <c r="C17" s="1">
        <v>15</v>
      </c>
      <c r="D17" s="1" t="s">
        <v>19</v>
      </c>
      <c r="E17" s="1" t="s">
        <v>4</v>
      </c>
      <c r="F17" s="1" cm="1">
        <f t="array" ref="F17">_xlfn.XLOOKUP(D17,'TABELA AUXILIAR'!$A$2:$A$5,IF('SPT-04'!A17&lt;3,'TABELA AUXILIAR'!$B$2:$B$5,'TABELA AUXILIAR'!$C$2:$C$5),"",0,1)</f>
        <v>10.5</v>
      </c>
      <c r="G17" s="6">
        <f t="shared" si="1"/>
        <v>15.922985304487034</v>
      </c>
      <c r="H17" s="2">
        <f t="shared" si="2"/>
        <v>38.320039583312266</v>
      </c>
      <c r="I17" s="2">
        <f t="shared" si="3"/>
        <v>241.94976170168044</v>
      </c>
      <c r="J17" s="1">
        <f t="shared" si="8"/>
        <v>114.14999999999993</v>
      </c>
      <c r="K17" s="1">
        <f t="shared" si="4"/>
        <v>0.47842923581208935</v>
      </c>
      <c r="L17" s="1">
        <f t="shared" si="5"/>
        <v>54.612697267949969</v>
      </c>
      <c r="M17" s="1">
        <f t="shared" si="6"/>
        <v>560.34351039375565</v>
      </c>
      <c r="N17" s="1">
        <f>$L17*'TABELA AUXILIAR'!$I$3*(B17-A17)</f>
        <v>123.20624503649505</v>
      </c>
      <c r="O17" s="1">
        <f>$L17*'TABELA AUXILIAR'!$I$4*(B17-A17)</f>
        <v>133.69188291194143</v>
      </c>
      <c r="P17" s="1">
        <f>$L17*'TABELA AUXILIAR'!$I$5*(B17-A17)</f>
        <v>154.33548247922653</v>
      </c>
      <c r="Q17" s="1">
        <f>$M17*'TABELA AUXILIAR'!$J$3+SUM(N$2:N17)</f>
        <v>3239.6024609880346</v>
      </c>
      <c r="R17" s="1">
        <f>$M17*'TABELA AUXILIAR'!$J$4+SUM(O$2:O17)</f>
        <v>3567.8902210899196</v>
      </c>
      <c r="S17" s="1">
        <f>$M17*'TABELA AUXILIAR'!$J$5+SUM(P$2:P17)</f>
        <v>4251.1543990070941</v>
      </c>
      <c r="T17" s="2">
        <f t="shared" si="7"/>
        <v>1619</v>
      </c>
      <c r="U17" s="2">
        <f t="shared" si="0"/>
        <v>1783</v>
      </c>
      <c r="V17" s="2">
        <f t="shared" si="0"/>
        <v>2125</v>
      </c>
    </row>
    <row r="18" spans="1:22" x14ac:dyDescent="0.25">
      <c r="A18" s="1">
        <v>9.6</v>
      </c>
      <c r="B18" s="1">
        <v>10.199999999999999</v>
      </c>
      <c r="C18" s="1">
        <v>50</v>
      </c>
      <c r="D18" s="1" t="s">
        <v>19</v>
      </c>
      <c r="E18" s="1" t="s">
        <v>4</v>
      </c>
      <c r="F18" s="1" cm="1">
        <f t="array" ref="F18">_xlfn.XLOOKUP(D18,'TABELA AUXILIAR'!$A$2:$A$5,IF('SPT-04'!A18&lt;3,'TABELA AUXILIAR'!$B$2:$B$5,'TABELA AUXILIAR'!$C$2:$C$5),"",0,1)</f>
        <v>10.5</v>
      </c>
      <c r="G18" s="6">
        <f t="shared" si="1"/>
        <v>54.521611498875856</v>
      </c>
      <c r="H18" s="2">
        <f t="shared" si="2"/>
        <v>43.13052403989137</v>
      </c>
      <c r="I18" s="2">
        <f t="shared" si="3"/>
        <v>828.45588672541851</v>
      </c>
      <c r="J18" s="1">
        <f t="shared" si="8"/>
        <v>120.44999999999992</v>
      </c>
      <c r="K18" s="1">
        <f t="shared" si="4"/>
        <v>1.1074686773381899</v>
      </c>
      <c r="L18" s="1">
        <f t="shared" si="5"/>
        <v>133.39460218538488</v>
      </c>
      <c r="M18" s="1">
        <f t="shared" si="6"/>
        <v>1516.1978478713511</v>
      </c>
      <c r="N18" s="1">
        <f>$L18*'TABELA AUXILIAR'!$I$3*(B18-A18)</f>
        <v>300.93822253022807</v>
      </c>
      <c r="O18" s="1">
        <f>$L18*'TABELA AUXILIAR'!$I$4*(B18-A18)</f>
        <v>326.54998614982202</v>
      </c>
      <c r="P18" s="1">
        <f>$L18*'TABELA AUXILIAR'!$I$5*(B18-A18)</f>
        <v>376.97314577589748</v>
      </c>
      <c r="Q18" s="1">
        <f>$M18*'TABELA AUXILIAR'!$J$3+SUM(N$2:N18)</f>
        <v>4620.6560848679455</v>
      </c>
      <c r="R18" s="1">
        <f>$M18*'TABELA AUXILIAR'!$J$4+SUM(O$2:O18)</f>
        <v>5156.1679327101674</v>
      </c>
      <c r="S18" s="1">
        <f>$M18*'TABELA AUXILIAR'!$J$5+SUM(P$2:P18)</f>
        <v>6310.4311787435599</v>
      </c>
      <c r="T18" s="2">
        <f t="shared" si="7"/>
        <v>2310</v>
      </c>
      <c r="U18" s="2">
        <f t="shared" si="7"/>
        <v>2578</v>
      </c>
      <c r="V18" s="2">
        <f t="shared" si="7"/>
        <v>3155</v>
      </c>
    </row>
    <row r="19" spans="1:22" x14ac:dyDescent="0.25">
      <c r="A19" s="1">
        <v>10.199999999999999</v>
      </c>
      <c r="B19" s="1">
        <v>10.8</v>
      </c>
      <c r="C19" s="1">
        <v>50</v>
      </c>
      <c r="D19" s="1" t="s">
        <v>18</v>
      </c>
      <c r="E19" s="1" t="s">
        <v>3</v>
      </c>
      <c r="F19" s="1" cm="1">
        <f t="array" ref="F19">_xlfn.XLOOKUP(D19,'TABELA AUXILIAR'!$A$2:$A$5,IF('SPT-04'!A19&lt;3,'TABELA AUXILIAR'!$B$2:$B$5,'TABELA AUXILIAR'!$C$2:$C$5),"",0,1)</f>
        <v>8.5</v>
      </c>
      <c r="G19" s="6">
        <f t="shared" si="1"/>
        <v>55.796750746612155</v>
      </c>
      <c r="H19" s="2">
        <f t="shared" si="2"/>
        <v>43.13052403989137</v>
      </c>
      <c r="I19" s="2">
        <f t="shared" si="3"/>
        <v>1188.4869860578683</v>
      </c>
      <c r="J19" s="1">
        <f t="shared" si="8"/>
        <v>126.14999999999992</v>
      </c>
      <c r="K19" s="1">
        <f t="shared" si="4"/>
        <v>1.373252056074252</v>
      </c>
      <c r="L19" s="1">
        <f t="shared" si="5"/>
        <v>173.2357468737668</v>
      </c>
      <c r="M19" s="1">
        <f t="shared" si="6"/>
        <v>1558.8493498166531</v>
      </c>
      <c r="N19" s="1">
        <f>$L19*'TABELA AUXILIAR'!$I$3*(B19-A19)</f>
        <v>390.81984494721877</v>
      </c>
      <c r="O19" s="1">
        <f>$L19*'TABELA AUXILIAR'!$I$4*(B19-A19)</f>
        <v>424.08110834698215</v>
      </c>
      <c r="P19" s="1">
        <f>$L19*'TABELA AUXILIAR'!$I$5*(B19-A19)</f>
        <v>489.56422066526613</v>
      </c>
      <c r="Q19" s="1">
        <f>$M19*'TABELA AUXILIAR'!$J$3+SUM(N$2:N19)</f>
        <v>5059.6721270133548</v>
      </c>
      <c r="R19" s="1">
        <f>$M19*'TABELA AUXILIAR'!$J$4+SUM(O$2:O19)</f>
        <v>5636.5490236249479</v>
      </c>
      <c r="S19" s="1">
        <f>$M19*'TABELA AUXILIAR'!$J$5+SUM(P$2:P19)</f>
        <v>6875.0620428325574</v>
      </c>
      <c r="T19" s="2">
        <f t="shared" si="7"/>
        <v>2529</v>
      </c>
      <c r="U19" s="2">
        <f t="shared" si="7"/>
        <v>2818</v>
      </c>
      <c r="V19" s="2">
        <f t="shared" si="7"/>
        <v>3437</v>
      </c>
    </row>
    <row r="20" spans="1:22" x14ac:dyDescent="0.25">
      <c r="A20" s="1">
        <v>10.8</v>
      </c>
      <c r="B20" s="1">
        <v>11.4</v>
      </c>
      <c r="C20" s="1">
        <v>50</v>
      </c>
      <c r="D20" s="1" t="s">
        <v>18</v>
      </c>
      <c r="E20" s="1" t="s">
        <v>3</v>
      </c>
      <c r="F20" s="1" cm="1">
        <f t="array" ref="F20">_xlfn.XLOOKUP(D20,'TABELA AUXILIAR'!$A$2:$A$5,IF('SPT-04'!A20&lt;3,'TABELA AUXILIAR'!$B$2:$B$5,'TABELA AUXILIAR'!$C$2:$C$5),"",0,1)</f>
        <v>8.5</v>
      </c>
      <c r="G20" s="6">
        <f t="shared" si="1"/>
        <v>56.913453285289755</v>
      </c>
      <c r="H20" s="2">
        <f t="shared" si="2"/>
        <v>43.13052403989137</v>
      </c>
      <c r="I20" s="2">
        <f t="shared" si="3"/>
        <v>1207.4780742682378</v>
      </c>
      <c r="J20" s="1">
        <f t="shared" si="8"/>
        <v>131.24999999999994</v>
      </c>
      <c r="K20" s="1">
        <f t="shared" si="4"/>
        <v>1.3511075267753514</v>
      </c>
      <c r="L20" s="1">
        <f t="shared" si="5"/>
        <v>177.33286288926479</v>
      </c>
      <c r="M20" s="1">
        <f t="shared" si="6"/>
        <v>1596.3619973049827</v>
      </c>
      <c r="N20" s="1">
        <f>$L20*'TABELA AUXILIAR'!$I$3*(B20-A20)</f>
        <v>400.06293867818107</v>
      </c>
      <c r="O20" s="1">
        <f>$L20*'TABELA AUXILIAR'!$I$4*(B20-A20)</f>
        <v>434.11084835291996</v>
      </c>
      <c r="P20" s="1">
        <f>$L20*'TABELA AUXILIAR'!$I$5*(B20-A20)</f>
        <v>501.14267052506199</v>
      </c>
      <c r="Q20" s="1">
        <f>$M20*'TABELA AUXILIAR'!$J$3+SUM(N$2:N20)</f>
        <v>5502.1243573533484</v>
      </c>
      <c r="R20" s="1">
        <f>$M20*'TABELA AUXILIAR'!$J$4+SUM(O$2:O20)</f>
        <v>6120.1765666624633</v>
      </c>
      <c r="S20" s="1">
        <f>$M20*'TABELA AUXILIAR'!$J$5+SUM(P$2:P20)</f>
        <v>7442.2269729370801</v>
      </c>
      <c r="T20" s="2">
        <f t="shared" si="7"/>
        <v>2751</v>
      </c>
      <c r="U20" s="2">
        <f t="shared" si="7"/>
        <v>3060</v>
      </c>
      <c r="V20" s="2">
        <f t="shared" si="7"/>
        <v>3721</v>
      </c>
    </row>
    <row r="21" spans="1:22" x14ac:dyDescent="0.25">
      <c r="A21" s="1">
        <v>11.4</v>
      </c>
      <c r="B21" s="1">
        <v>12</v>
      </c>
      <c r="C21" s="1">
        <v>45</v>
      </c>
      <c r="D21" s="1" t="s">
        <v>18</v>
      </c>
      <c r="E21" s="1" t="s">
        <v>3</v>
      </c>
      <c r="F21" s="1" cm="1">
        <f t="array" ref="F21">_xlfn.XLOOKUP(D21,'TABELA AUXILIAR'!$A$2:$A$5,IF('SPT-04'!A21&lt;3,'TABELA AUXILIAR'!$B$2:$B$5,'TABELA AUXILIAR'!$C$2:$C$5),"",0,1)</f>
        <v>8.5</v>
      </c>
      <c r="G21" s="6">
        <f t="shared" si="1"/>
        <v>52.207796333743737</v>
      </c>
      <c r="H21" s="2">
        <f t="shared" si="2"/>
        <v>42.709555126733164</v>
      </c>
      <c r="I21" s="2">
        <f t="shared" si="3"/>
        <v>1126.9265039283748</v>
      </c>
      <c r="J21" s="1">
        <f t="shared" si="8"/>
        <v>136.34999999999997</v>
      </c>
      <c r="K21" s="1">
        <f t="shared" si="4"/>
        <v>1.2441231111382776</v>
      </c>
      <c r="L21" s="1">
        <f t="shared" si="5"/>
        <v>169.63618620370411</v>
      </c>
      <c r="M21" s="1">
        <f t="shared" si="6"/>
        <v>1501.2702766447089</v>
      </c>
      <c r="N21" s="1">
        <f>$L21*'TABELA AUXILIAR'!$I$3*(B21-A21)</f>
        <v>382.69923607555626</v>
      </c>
      <c r="O21" s="1">
        <f>$L21*'TABELA AUXILIAR'!$I$4*(B21-A21)</f>
        <v>415.26938382666742</v>
      </c>
      <c r="P21" s="1">
        <f>$L21*'TABELA AUXILIAR'!$I$5*(B21-A21)</f>
        <v>479.39186221166756</v>
      </c>
      <c r="Q21" s="1">
        <f>$M21*'TABELA AUXILIAR'!$J$3+SUM(N$2:N21)</f>
        <v>5777.3699490827958</v>
      </c>
      <c r="R21" s="1">
        <f>$M21*'TABELA AUXILIAR'!$J$4+SUM(O$2:O21)</f>
        <v>6409.9248792175695</v>
      </c>
      <c r="S21" s="1">
        <f>$M21*'TABELA AUXILIAR'!$J$5+SUM(P$2:P21)</f>
        <v>7754.2574067866663</v>
      </c>
      <c r="T21" s="2">
        <f t="shared" si="7"/>
        <v>2888</v>
      </c>
      <c r="U21" s="2">
        <f t="shared" si="7"/>
        <v>3204</v>
      </c>
      <c r="V21" s="2">
        <f t="shared" si="7"/>
        <v>3877</v>
      </c>
    </row>
    <row r="22" spans="1:22" x14ac:dyDescent="0.25">
      <c r="A22" s="1">
        <v>12</v>
      </c>
      <c r="B22" s="1">
        <v>12.6</v>
      </c>
      <c r="C22" s="1">
        <v>29</v>
      </c>
      <c r="D22" s="1" t="s">
        <v>19</v>
      </c>
      <c r="E22" s="1" t="s">
        <v>4</v>
      </c>
      <c r="F22" s="1" cm="1">
        <f t="array" ref="F22">_xlfn.XLOOKUP(D22,'TABELA AUXILIAR'!$A$2:$A$5,IF('SPT-04'!A22&lt;3,'TABELA AUXILIAR'!$B$2:$B$5,'TABELA AUXILIAR'!$C$2:$C$5),"",0,1)</f>
        <v>10.5</v>
      </c>
      <c r="G22" s="6">
        <f t="shared" si="1"/>
        <v>34.341075650037219</v>
      </c>
      <c r="H22" s="2">
        <f t="shared" si="2"/>
        <v>40.954061580670398</v>
      </c>
      <c r="I22" s="2">
        <f t="shared" si="3"/>
        <v>521.81264450231549</v>
      </c>
      <c r="J22" s="1">
        <f t="shared" si="8"/>
        <v>142.04999999999998</v>
      </c>
      <c r="K22" s="1">
        <f t="shared" si="4"/>
        <v>0.70159538668593258</v>
      </c>
      <c r="L22" s="1">
        <f t="shared" si="5"/>
        <v>99.661624678736715</v>
      </c>
      <c r="M22" s="1">
        <f t="shared" si="6"/>
        <v>1082.6271920337326</v>
      </c>
      <c r="N22" s="1">
        <f>$L22*'TABELA AUXILIAR'!$I$3*(B22-A22)</f>
        <v>224.83662527522986</v>
      </c>
      <c r="O22" s="1">
        <f>$L22*'TABELA AUXILIAR'!$I$4*(B22-A22)</f>
        <v>243.97165721354733</v>
      </c>
      <c r="P22" s="1">
        <f>$L22*'TABELA AUXILIAR'!$I$5*(B22-A22)</f>
        <v>281.64375134210979</v>
      </c>
      <c r="Q22" s="1">
        <f>$M22*'TABELA AUXILIAR'!$J$3+SUM(N$2:N22)</f>
        <v>5529.1398887476225</v>
      </c>
      <c r="R22" s="1">
        <f>$M22*'TABELA AUXILIAR'!$J$4+SUM(O$2:O22)</f>
        <v>6101.2876647446283</v>
      </c>
      <c r="S22" s="1">
        <f>$M22*'TABELA AUXILIAR'!$J$5+SUM(P$2:P22)</f>
        <v>7299.0893292134569</v>
      </c>
      <c r="T22" s="2">
        <f t="shared" si="7"/>
        <v>2764</v>
      </c>
      <c r="U22" s="2">
        <f t="shared" si="7"/>
        <v>3050</v>
      </c>
      <c r="V22" s="2">
        <f t="shared" si="7"/>
        <v>3649</v>
      </c>
    </row>
    <row r="23" spans="1:22" x14ac:dyDescent="0.25">
      <c r="A23" s="1">
        <v>12.6</v>
      </c>
      <c r="B23" s="1">
        <v>13.2</v>
      </c>
      <c r="C23" s="1">
        <v>25</v>
      </c>
      <c r="D23" s="1" t="s">
        <v>19</v>
      </c>
      <c r="E23" s="1" t="s">
        <v>4</v>
      </c>
      <c r="F23" s="1" cm="1">
        <f t="array" ref="F23">_xlfn.XLOOKUP(D23,'TABELA AUXILIAR'!$A$2:$A$5,IF('SPT-04'!A23&lt;3,'TABELA AUXILIAR'!$B$2:$B$5,'TABELA AUXILIAR'!$C$2:$C$5),"",0,1)</f>
        <v>10.5</v>
      </c>
      <c r="G23" s="6">
        <f t="shared" si="1"/>
        <v>30.253739377110463</v>
      </c>
      <c r="H23" s="2">
        <f t="shared" si="2"/>
        <v>40.361048079782748</v>
      </c>
      <c r="I23" s="2">
        <f t="shared" si="3"/>
        <v>459.70556983519344</v>
      </c>
      <c r="J23" s="1">
        <f t="shared" si="8"/>
        <v>148.35</v>
      </c>
      <c r="K23" s="1">
        <f t="shared" si="4"/>
        <v>0.62301114514862865</v>
      </c>
      <c r="L23" s="1">
        <f t="shared" si="5"/>
        <v>92.423703382799062</v>
      </c>
      <c r="M23" s="1">
        <f t="shared" si="6"/>
        <v>986.77997378889779</v>
      </c>
      <c r="N23" s="1">
        <f>$L23*'TABELA AUXILIAR'!$I$3*(B23-A23)</f>
        <v>208.50787483159453</v>
      </c>
      <c r="O23" s="1">
        <f>$L23*'TABELA AUXILIAR'!$I$4*(B23-A23)</f>
        <v>226.25322588109196</v>
      </c>
      <c r="P23" s="1">
        <f>$L23*'TABELA AUXILIAR'!$I$5*(B23-A23)</f>
        <v>261.18938575978996</v>
      </c>
      <c r="Q23" s="1">
        <f>$M23*'TABELA AUXILIAR'!$J$3+SUM(N$2:N23)</f>
        <v>5629.340406962554</v>
      </c>
      <c r="R23" s="1">
        <f>$M23*'TABELA AUXILIAR'!$J$4+SUM(O$2:O23)</f>
        <v>6201.0225625425373</v>
      </c>
      <c r="S23" s="1">
        <f>$M23*'TABELA AUXILIAR'!$J$5+SUM(P$2:P23)</f>
        <v>7391.5876108623379</v>
      </c>
      <c r="T23" s="2">
        <f t="shared" si="7"/>
        <v>2814</v>
      </c>
      <c r="U23" s="2">
        <f t="shared" si="7"/>
        <v>3100</v>
      </c>
      <c r="V23" s="2">
        <f t="shared" si="7"/>
        <v>3695</v>
      </c>
    </row>
    <row r="24" spans="1:22" x14ac:dyDescent="0.25">
      <c r="A24" s="1">
        <v>13.2</v>
      </c>
      <c r="B24" s="1">
        <v>13.8</v>
      </c>
      <c r="C24" s="1">
        <v>45</v>
      </c>
      <c r="D24" s="1" t="s">
        <v>19</v>
      </c>
      <c r="E24" s="1" t="s">
        <v>4</v>
      </c>
      <c r="F24" s="1" cm="1">
        <f t="array" ref="F24">_xlfn.XLOOKUP(D24,'TABELA AUXILIAR'!$A$2:$A$5,IF('SPT-04'!A24&lt;3,'TABELA AUXILIAR'!$B$2:$B$5,'TABELA AUXILIAR'!$C$2:$C$5),"",0,1)</f>
        <v>10.5</v>
      </c>
      <c r="G24" s="6">
        <f t="shared" si="1"/>
        <v>55.60101929367444</v>
      </c>
      <c r="H24" s="2">
        <f t="shared" si="2"/>
        <v>42.709555126733164</v>
      </c>
      <c r="I24" s="2">
        <f t="shared" si="3"/>
        <v>844.85748816738305</v>
      </c>
      <c r="J24" s="1">
        <f t="shared" si="8"/>
        <v>154.65</v>
      </c>
      <c r="K24" s="1">
        <f t="shared" si="4"/>
        <v>0.93951457619365775</v>
      </c>
      <c r="L24" s="1">
        <f t="shared" si="5"/>
        <v>145.29592920834918</v>
      </c>
      <c r="M24" s="1">
        <f t="shared" si="6"/>
        <v>1619.1077642858579</v>
      </c>
      <c r="N24" s="1">
        <f>$L24*'TABELA AUXILIAR'!$I$3*(B24-A24)</f>
        <v>327.78761629403652</v>
      </c>
      <c r="O24" s="1">
        <f>$L24*'TABELA AUXILIAR'!$I$4*(B24-A24)</f>
        <v>355.68443470203965</v>
      </c>
      <c r="P24" s="1">
        <f>$L24*'TABELA AUXILIAR'!$I$5*(B24-A24)</f>
        <v>410.60629594279573</v>
      </c>
      <c r="Q24" s="1">
        <f>$M24*'TABELA AUXILIAR'!$J$3+SUM(N$2:N24)</f>
        <v>6671.6584265181555</v>
      </c>
      <c r="R24" s="1">
        <f>$M24*'TABELA AUXILIAR'!$J$4+SUM(O$2:O24)</f>
        <v>7391.3796807005647</v>
      </c>
      <c r="S24" s="1">
        <f>$M24*'TABELA AUXILIAR'!$J$5+SUM(P$2:P24)</f>
        <v>8915.0908180797833</v>
      </c>
      <c r="T24" s="2">
        <f t="shared" si="7"/>
        <v>3335</v>
      </c>
      <c r="U24" s="2">
        <f t="shared" si="7"/>
        <v>3695</v>
      </c>
      <c r="V24" s="2">
        <f t="shared" si="7"/>
        <v>4457</v>
      </c>
    </row>
    <row r="25" spans="1:22" x14ac:dyDescent="0.25">
      <c r="A25" s="1">
        <v>13.8</v>
      </c>
      <c r="B25" s="1">
        <v>14.4</v>
      </c>
      <c r="C25" s="1">
        <v>31</v>
      </c>
      <c r="D25" s="1" t="s">
        <v>19</v>
      </c>
      <c r="E25" s="1" t="s">
        <v>4</v>
      </c>
      <c r="F25" s="1" cm="1">
        <f t="array" ref="F25">_xlfn.XLOOKUP(D25,'TABELA AUXILIAR'!$A$2:$A$5,IF('SPT-04'!A25&lt;3,'TABELA AUXILIAR'!$B$2:$B$5,'TABELA AUXILIAR'!$C$2:$C$5),"",0,1)</f>
        <v>10.5</v>
      </c>
      <c r="G25" s="6">
        <f t="shared" si="1"/>
        <v>39.075312656842684</v>
      </c>
      <c r="H25" s="2">
        <f t="shared" si="2"/>
        <v>41.220527583275306</v>
      </c>
      <c r="I25" s="2">
        <f t="shared" si="3"/>
        <v>593.74937582072448</v>
      </c>
      <c r="J25" s="1">
        <f t="shared" si="8"/>
        <v>160.95000000000002</v>
      </c>
      <c r="K25" s="1">
        <f t="shared" si="4"/>
        <v>0.70618053937401759</v>
      </c>
      <c r="L25" s="1">
        <f t="shared" si="5"/>
        <v>113.65975781224815</v>
      </c>
      <c r="M25" s="1">
        <f t="shared" si="6"/>
        <v>1230.8347056111866</v>
      </c>
      <c r="N25" s="1">
        <f>$L25*'TABELA AUXILIAR'!$I$3*(B25-A25)</f>
        <v>256.41641362443164</v>
      </c>
      <c r="O25" s="1">
        <f>$L25*'TABELA AUXILIAR'!$I$4*(B25-A25)</f>
        <v>278.23908712438333</v>
      </c>
      <c r="P25" s="1">
        <f>$L25*'TABELA AUXILIAR'!$I$5*(B25-A25)</f>
        <v>321.20247557741305</v>
      </c>
      <c r="Q25" s="1">
        <f>$M25*'TABELA AUXILIAR'!$J$3+SUM(N$2:N25)</f>
        <v>6489.3262838402088</v>
      </c>
      <c r="R25" s="1">
        <f>$M25*'TABELA AUXILIAR'!$J$4+SUM(O$2:O25)</f>
        <v>7157.0983303743815</v>
      </c>
      <c r="S25" s="1">
        <f>$M25*'TABELA AUXILIAR'!$J$5+SUM(P$2:P25)</f>
        <v>8552.932710389774</v>
      </c>
      <c r="T25" s="2">
        <f t="shared" si="7"/>
        <v>3244</v>
      </c>
      <c r="U25" s="2">
        <f t="shared" si="7"/>
        <v>3578</v>
      </c>
      <c r="V25" s="2">
        <f t="shared" si="7"/>
        <v>4276</v>
      </c>
    </row>
    <row r="26" spans="1:22" x14ac:dyDescent="0.25">
      <c r="A26" s="1">
        <v>14.4</v>
      </c>
      <c r="B26" s="1">
        <v>15</v>
      </c>
      <c r="C26" s="1">
        <v>44</v>
      </c>
      <c r="D26" s="1" t="s">
        <v>19</v>
      </c>
      <c r="E26" s="1" t="s">
        <v>4</v>
      </c>
      <c r="F26" s="1" cm="1">
        <f t="array" ref="F26">_xlfn.XLOOKUP(D26,'TABELA AUXILIAR'!$A$2:$A$5,IF('SPT-04'!A26&lt;3,'TABELA AUXILIAR'!$B$2:$B$5,'TABELA AUXILIAR'!$C$2:$C$5),"",0,1)</f>
        <v>10.5</v>
      </c>
      <c r="G26" s="6">
        <f t="shared" si="1"/>
        <v>56.536773101535012</v>
      </c>
      <c r="H26" s="2">
        <f t="shared" si="2"/>
        <v>42.619764623672921</v>
      </c>
      <c r="I26" s="2">
        <f t="shared" si="3"/>
        <v>859.0762672778244</v>
      </c>
      <c r="J26" s="1">
        <f t="shared" si="8"/>
        <v>167.25000000000003</v>
      </c>
      <c r="K26" s="1">
        <f t="shared" si="4"/>
        <v>0.89973673276002608</v>
      </c>
      <c r="L26" s="1">
        <f t="shared" si="5"/>
        <v>150.48096855411438</v>
      </c>
      <c r="M26" s="1">
        <f t="shared" si="6"/>
        <v>1666.777414030943</v>
      </c>
      <c r="N26" s="1">
        <f>$L26*'TABELA AUXILIAR'!$I$3*(B26-A26)</f>
        <v>339.48506505808177</v>
      </c>
      <c r="O26" s="1">
        <f>$L26*'TABELA AUXILIAR'!$I$4*(B26-A26)</f>
        <v>368.37741102047181</v>
      </c>
      <c r="P26" s="1">
        <f>$L26*'TABELA AUXILIAR'!$I$5*(B26-A26)</f>
        <v>425.259217133927</v>
      </c>
      <c r="Q26" s="1">
        <f>$M26*'TABELA AUXILIAR'!$J$3+SUM(N$2:N26)</f>
        <v>7321.4266094126151</v>
      </c>
      <c r="R26" s="1">
        <f>$M26*'TABELA AUXILIAR'!$J$4+SUM(O$2:O26)</f>
        <v>8100.9201165089326</v>
      </c>
      <c r="S26" s="1">
        <f>$M26*'TABELA AUXILIAR'!$J$5+SUM(P$2:P26)</f>
        <v>9745.4510943424721</v>
      </c>
      <c r="T26" s="2">
        <f t="shared" si="7"/>
        <v>3660</v>
      </c>
      <c r="U26" s="2">
        <f t="shared" si="7"/>
        <v>4050</v>
      </c>
      <c r="V26" s="2">
        <f t="shared" si="7"/>
        <v>4872</v>
      </c>
    </row>
    <row r="27" spans="1:22" x14ac:dyDescent="0.25">
      <c r="A27" s="1">
        <v>15</v>
      </c>
      <c r="B27" s="1">
        <v>15.6</v>
      </c>
      <c r="C27" s="1">
        <v>32</v>
      </c>
      <c r="D27" s="1" t="s">
        <v>19</v>
      </c>
      <c r="E27" s="1" t="s">
        <v>4</v>
      </c>
      <c r="F27" s="1" cm="1">
        <f t="array" ref="F27">_xlfn.XLOOKUP(D27,'TABELA AUXILIAR'!$A$2:$A$5,IF('SPT-04'!A27&lt;3,'TABELA AUXILIAR'!$B$2:$B$5,'TABELA AUXILIAR'!$C$2:$C$5),"",0,1)</f>
        <v>10.5</v>
      </c>
      <c r="G27" s="6">
        <f t="shared" si="1"/>
        <v>41.884907883280803</v>
      </c>
      <c r="H27" s="2">
        <f t="shared" si="2"/>
        <v>41.347379800543138</v>
      </c>
      <c r="I27" s="2">
        <f t="shared" si="3"/>
        <v>636.44117528645177</v>
      </c>
      <c r="J27" s="1">
        <f t="shared" si="8"/>
        <v>173.55000000000004</v>
      </c>
      <c r="K27" s="1">
        <f t="shared" si="4"/>
        <v>0.70464604280038801</v>
      </c>
      <c r="L27" s="1">
        <f t="shared" si="5"/>
        <v>122.29132072800736</v>
      </c>
      <c r="M27" s="1">
        <f t="shared" si="6"/>
        <v>1320.90183422167</v>
      </c>
      <c r="N27" s="1">
        <f>$L27*'TABELA AUXILIAR'!$I$3*(B27-A27)</f>
        <v>275.88921956238443</v>
      </c>
      <c r="O27" s="1">
        <f>$L27*'TABELA AUXILIAR'!$I$4*(B27-A27)</f>
        <v>299.36915314216185</v>
      </c>
      <c r="P27" s="1">
        <f>$L27*'TABELA AUXILIAR'!$I$5*(B27-A27)</f>
        <v>345.59527237734858</v>
      </c>
      <c r="Q27" s="1">
        <f>$M27*'TABELA AUXILIAR'!$J$3+SUM(N$2:N27)</f>
        <v>7206.4764237905219</v>
      </c>
      <c r="R27" s="1">
        <f>$M27*'TABELA AUXILIAR'!$J$4+SUM(O$2:O27)</f>
        <v>7943.7335043028543</v>
      </c>
      <c r="S27" s="1">
        <f>$M27*'TABELA AUXILIAR'!$J$5+SUM(P$2:P27)</f>
        <v>9482.3053462554999</v>
      </c>
      <c r="T27" s="2">
        <f t="shared" si="7"/>
        <v>3603</v>
      </c>
      <c r="U27" s="2">
        <f t="shared" si="7"/>
        <v>3971</v>
      </c>
      <c r="V27" s="2">
        <f t="shared" si="7"/>
        <v>4741</v>
      </c>
    </row>
    <row r="28" spans="1:22" x14ac:dyDescent="0.25">
      <c r="A28" s="1">
        <v>15.6</v>
      </c>
      <c r="B28" s="1">
        <v>16.2</v>
      </c>
      <c r="C28" s="1">
        <v>42</v>
      </c>
      <c r="D28" s="1" t="s">
        <v>19</v>
      </c>
      <c r="E28" s="1" t="s">
        <v>11</v>
      </c>
      <c r="F28" s="1" cm="1">
        <f t="array" ref="F28">_xlfn.XLOOKUP(D28,'TABELA AUXILIAR'!$A$2:$A$5,IF('SPT-04'!A28&lt;3,'TABELA AUXILIAR'!$B$2:$B$5,'TABELA AUXILIAR'!$C$2:$C$5),"",0,1)</f>
        <v>10.5</v>
      </c>
      <c r="G28" s="6">
        <f t="shared" si="1"/>
        <v>55.962845522483462</v>
      </c>
      <c r="H28" s="2">
        <f t="shared" si="2"/>
        <v>42.433893471660681</v>
      </c>
      <c r="I28" s="2">
        <f t="shared" si="3"/>
        <v>850.35543771413609</v>
      </c>
      <c r="J28" s="1">
        <f t="shared" si="8"/>
        <v>179.85000000000005</v>
      </c>
      <c r="K28" s="1">
        <f t="shared" si="4"/>
        <v>0.84823851405006911</v>
      </c>
      <c r="L28" s="1">
        <f t="shared" si="5"/>
        <v>152.55569675190497</v>
      </c>
      <c r="M28" s="1">
        <f t="shared" si="6"/>
        <v>1677.4187275724548</v>
      </c>
      <c r="N28" s="1">
        <f>$L28*'TABELA AUXILIAR'!$I$3*(B28-A28)</f>
        <v>344.16565187229742</v>
      </c>
      <c r="O28" s="1">
        <f>$L28*'TABELA AUXILIAR'!$I$4*(B28-A28)</f>
        <v>373.45634564866316</v>
      </c>
      <c r="P28" s="1">
        <f>$L28*'TABELA AUXILIAR'!$I$5*(B28-A28)</f>
        <v>431.12239902088322</v>
      </c>
      <c r="Q28" s="1">
        <f>$M28*'TABELA AUXILIAR'!$J$3+SUM(N$2:N28)</f>
        <v>7953.506165149206</v>
      </c>
      <c r="R28" s="1">
        <f>$M28*'TABELA AUXILIAR'!$J$4+SUM(O$2:O28)</f>
        <v>8787.7921491745528</v>
      </c>
      <c r="S28" s="1">
        <f>$M28*'TABELA AUXILIAR'!$J$5+SUM(P$2:P28)</f>
        <v>10540.897477573764</v>
      </c>
      <c r="T28" s="2">
        <f t="shared" si="7"/>
        <v>3976</v>
      </c>
      <c r="U28" s="2">
        <f t="shared" si="7"/>
        <v>4393</v>
      </c>
      <c r="V28" s="2">
        <f t="shared" si="7"/>
        <v>5270</v>
      </c>
    </row>
    <row r="29" spans="1:22" x14ac:dyDescent="0.25">
      <c r="A29" s="1">
        <v>16.2</v>
      </c>
      <c r="B29" s="1">
        <v>16.8</v>
      </c>
      <c r="C29" s="1">
        <v>38</v>
      </c>
      <c r="D29" s="1" t="s">
        <v>19</v>
      </c>
      <c r="E29" s="1" t="s">
        <v>4</v>
      </c>
      <c r="F29" s="1" cm="1">
        <f t="array" ref="F29">_xlfn.XLOOKUP(D29,'TABELA AUXILIAR'!$A$2:$A$5,IF('SPT-04'!A29&lt;3,'TABELA AUXILIAR'!$B$2:$B$5,'TABELA AUXILIAR'!$C$2:$C$5),"",0,1)</f>
        <v>10.5</v>
      </c>
      <c r="G29" s="6">
        <f t="shared" si="1"/>
        <v>51.512235102465986</v>
      </c>
      <c r="H29" s="2">
        <f t="shared" si="2"/>
        <v>42.034009088874654</v>
      </c>
      <c r="I29" s="2">
        <f t="shared" si="3"/>
        <v>782.72841238197054</v>
      </c>
      <c r="J29" s="1">
        <f t="shared" si="8"/>
        <v>186.15000000000006</v>
      </c>
      <c r="K29" s="1">
        <f t="shared" si="4"/>
        <v>0.77925064077907591</v>
      </c>
      <c r="L29" s="1">
        <f t="shared" si="5"/>
        <v>145.05750678102504</v>
      </c>
      <c r="M29" s="1">
        <f t="shared" si="6"/>
        <v>1580.667381815098</v>
      </c>
      <c r="N29" s="1">
        <f>$L29*'TABELA AUXILIAR'!$I$3*(B29-A29)</f>
        <v>327.2497352979932</v>
      </c>
      <c r="O29" s="1">
        <f>$L29*'TABELA AUXILIAR'!$I$4*(B29-A29)</f>
        <v>355.10077659995011</v>
      </c>
      <c r="P29" s="1">
        <f>$L29*'TABELA AUXILIAR'!$I$5*(B29-A29)</f>
        <v>409.9325141631777</v>
      </c>
      <c r="Q29" s="1">
        <f>$M29*'TABELA AUXILIAR'!$J$3+SUM(N$2:N29)</f>
        <v>8171.4268797413861</v>
      </c>
      <c r="R29" s="1">
        <f>$M29*'TABELA AUXILIAR'!$J$4+SUM(O$2:O29)</f>
        <v>9015.1811493747919</v>
      </c>
      <c r="S29" s="1">
        <f>$M29*'TABELA AUXILIAR'!$J$5+SUM(P$2:P29)</f>
        <v>10780.547623203995</v>
      </c>
      <c r="T29" s="2">
        <f t="shared" si="7"/>
        <v>4085</v>
      </c>
      <c r="U29" s="2">
        <f t="shared" si="7"/>
        <v>4507</v>
      </c>
      <c r="V29" s="2">
        <f t="shared" si="7"/>
        <v>5390</v>
      </c>
    </row>
    <row r="30" spans="1:22" x14ac:dyDescent="0.25">
      <c r="A30" s="1">
        <v>16.8</v>
      </c>
      <c r="B30" s="1">
        <v>17.399999999999999</v>
      </c>
      <c r="C30" s="1">
        <v>27</v>
      </c>
      <c r="D30" s="1" t="s">
        <v>19</v>
      </c>
      <c r="E30" s="1" t="s">
        <v>4</v>
      </c>
      <c r="F30" s="1" cm="1">
        <f t="array" ref="F30">_xlfn.XLOOKUP(D30,'TABELA AUXILIAR'!$A$2:$A$5,IF('SPT-04'!A30&lt;3,'TABELA AUXILIAR'!$B$2:$B$5,'TABELA AUXILIAR'!$C$2:$C$5),"",0,1)</f>
        <v>10.5</v>
      </c>
      <c r="G30" s="6">
        <f t="shared" si="1"/>
        <v>37.214997931963026</v>
      </c>
      <c r="H30" s="2">
        <f t="shared" si="2"/>
        <v>40.668546630262682</v>
      </c>
      <c r="I30" s="2">
        <f t="shared" si="3"/>
        <v>565.48189357617809</v>
      </c>
      <c r="J30" s="1">
        <f t="shared" si="8"/>
        <v>192.45000000000005</v>
      </c>
      <c r="K30" s="1">
        <f t="shared" si="4"/>
        <v>0.60410630539567156</v>
      </c>
      <c r="L30" s="1">
        <f t="shared" si="5"/>
        <v>116.26025847339702</v>
      </c>
      <c r="M30" s="1">
        <f t="shared" si="6"/>
        <v>1226.8106864813828</v>
      </c>
      <c r="N30" s="1">
        <f>$L30*'TABELA AUXILIAR'!$I$3*(B30-A30)</f>
        <v>262.28314311598268</v>
      </c>
      <c r="O30" s="1">
        <f>$L30*'TABELA AUXILIAR'!$I$4*(B30-A30)</f>
        <v>284.60511274287489</v>
      </c>
      <c r="P30" s="1">
        <f>$L30*'TABELA AUXILIAR'!$I$5*(B30-A30)</f>
        <v>328.55149044581884</v>
      </c>
      <c r="Q30" s="1">
        <f>$M30*'TABELA AUXILIAR'!$J$3+SUM(N$2:N30)</f>
        <v>8033.8519571302713</v>
      </c>
      <c r="R30" s="1">
        <f>$M30*'TABELA AUXILIAR'!$J$4+SUM(O$2:O30)</f>
        <v>8832.6954242771626</v>
      </c>
      <c r="S30" s="1">
        <f>$M30*'TABELA AUXILIAR'!$J$5+SUM(P$2:P30)</f>
        <v>10486.311329862476</v>
      </c>
      <c r="T30" s="2">
        <f t="shared" si="7"/>
        <v>4016</v>
      </c>
      <c r="U30" s="2">
        <f t="shared" si="7"/>
        <v>4416</v>
      </c>
      <c r="V30" s="2">
        <f t="shared" si="7"/>
        <v>5243</v>
      </c>
    </row>
    <row r="31" spans="1:22" x14ac:dyDescent="0.25">
      <c r="A31" s="1">
        <v>17.399999999999999</v>
      </c>
      <c r="B31" s="1">
        <v>18</v>
      </c>
      <c r="C31" s="1">
        <v>39</v>
      </c>
      <c r="D31" s="1" t="s">
        <v>19</v>
      </c>
      <c r="E31" s="1" t="s">
        <v>4</v>
      </c>
      <c r="F31" s="1" cm="1">
        <f t="array" ref="F31">_xlfn.XLOOKUP(D31,'TABELA AUXILIAR'!$A$2:$A$5,IF('SPT-04'!A31&lt;3,'TABELA AUXILIAR'!$B$2:$B$5,'TABELA AUXILIAR'!$C$2:$C$5),"",0,1)</f>
        <v>10.5</v>
      </c>
      <c r="G31" s="6">
        <f t="shared" si="1"/>
        <v>54.62776758312112</v>
      </c>
      <c r="H31" s="2">
        <f t="shared" si="2"/>
        <v>42.13779438464379</v>
      </c>
      <c r="I31" s="2">
        <f t="shared" si="3"/>
        <v>830.06892842552531</v>
      </c>
      <c r="J31" s="1">
        <f t="shared" si="8"/>
        <v>198.75000000000003</v>
      </c>
      <c r="K31" s="1">
        <f t="shared" si="4"/>
        <v>0.77687928669324546</v>
      </c>
      <c r="L31" s="1">
        <f t="shared" si="5"/>
        <v>154.40475823028257</v>
      </c>
      <c r="M31" s="1">
        <f t="shared" si="6"/>
        <v>1678.5402425598134</v>
      </c>
      <c r="N31" s="1">
        <f>$L31*'TABELA AUXILIAR'!$I$3*(B31-A31)</f>
        <v>348.33713456751826</v>
      </c>
      <c r="O31" s="1">
        <f>$L31*'TABELA AUXILIAR'!$I$4*(B31-A31)</f>
        <v>377.98284814773262</v>
      </c>
      <c r="P31" s="1">
        <f>$L31*'TABELA AUXILIAR'!$I$5*(B31-A31)</f>
        <v>436.34784675877955</v>
      </c>
      <c r="Q31" s="1">
        <f>$M31*'TABELA AUXILIAR'!$J$3+SUM(N$2:N31)</f>
        <v>8892.6434900664171</v>
      </c>
      <c r="R31" s="1">
        <f>$M31*'TABELA AUXILIAR'!$J$4+SUM(O$2:O31)</f>
        <v>9806.9612864484243</v>
      </c>
      <c r="S31" s="1">
        <f>$M31*'TABELA AUXILIAR'!$J$5+SUM(P$2:P31)</f>
        <v>11717.703195319293</v>
      </c>
      <c r="T31" s="2">
        <f t="shared" si="7"/>
        <v>4446</v>
      </c>
      <c r="U31" s="2">
        <f t="shared" si="7"/>
        <v>4903</v>
      </c>
      <c r="V31" s="2">
        <f t="shared" si="7"/>
        <v>5858</v>
      </c>
    </row>
    <row r="32" spans="1:22" x14ac:dyDescent="0.25">
      <c r="A32" s="1">
        <v>18</v>
      </c>
      <c r="B32" s="1">
        <v>18.600000000000001</v>
      </c>
      <c r="C32" s="1">
        <v>47</v>
      </c>
      <c r="D32" s="1" t="s">
        <v>19</v>
      </c>
      <c r="E32" s="1" t="s">
        <v>4</v>
      </c>
      <c r="F32" s="1" cm="1">
        <f t="array" ref="F32">_xlfn.XLOOKUP(D32,'TABELA AUXILIAR'!$A$2:$A$5,IF('SPT-04'!A32&lt;3,'TABELA AUXILIAR'!$B$2:$B$5,'TABELA AUXILIAR'!$C$2:$C$5),"",0,1)</f>
        <v>10.5</v>
      </c>
      <c r="G32" s="6">
        <f t="shared" si="1"/>
        <v>66.86872185474806</v>
      </c>
      <c r="H32" s="2">
        <f t="shared" si="2"/>
        <v>42.883300293008602</v>
      </c>
      <c r="I32" s="2">
        <f t="shared" si="3"/>
        <v>1016.0702285828967</v>
      </c>
      <c r="J32" s="1">
        <f t="shared" si="8"/>
        <v>205.05000000000004</v>
      </c>
      <c r="K32" s="1">
        <f t="shared" si="4"/>
        <v>0.88173720407792244</v>
      </c>
      <c r="L32" s="1">
        <f t="shared" si="5"/>
        <v>180.80021369617802</v>
      </c>
      <c r="M32" s="1">
        <f t="shared" si="6"/>
        <v>1985.59166137123</v>
      </c>
      <c r="N32" s="1">
        <f>$L32*'TABELA AUXILIAR'!$I$3*(B32-A32)</f>
        <v>407.88528209857856</v>
      </c>
      <c r="O32" s="1">
        <f>$L32*'TABELA AUXILIAR'!$I$4*(B32-A32)</f>
        <v>442.59892312824479</v>
      </c>
      <c r="P32" s="1">
        <f>$L32*'TABELA AUXILIAR'!$I$5*(B32-A32)</f>
        <v>510.94140390540025</v>
      </c>
      <c r="Q32" s="1">
        <f>$M32*'TABELA AUXILIAR'!$J$3+SUM(N$2:N32)</f>
        <v>9647.4968754218953</v>
      </c>
      <c r="R32" s="1">
        <f>$M32*'TABELA AUXILIAR'!$J$4+SUM(O$2:O32)</f>
        <v>10654.868082407738</v>
      </c>
      <c r="S32" s="1">
        <f>$M32*'TABELA AUXILIAR'!$J$5+SUM(P$2:P32)</f>
        <v>12769.055096332786</v>
      </c>
      <c r="T32" s="2">
        <f t="shared" si="7"/>
        <v>4823</v>
      </c>
      <c r="U32" s="2">
        <f t="shared" si="7"/>
        <v>5327</v>
      </c>
      <c r="V32" s="2">
        <f t="shared" si="7"/>
        <v>6384</v>
      </c>
    </row>
    <row r="33" spans="1:22" x14ac:dyDescent="0.25">
      <c r="A33" s="1">
        <v>18.600000000000001</v>
      </c>
      <c r="B33" s="1">
        <v>19.2</v>
      </c>
      <c r="C33" s="1">
        <v>50</v>
      </c>
      <c r="D33" s="1" t="s">
        <v>18</v>
      </c>
      <c r="E33" s="1" t="s">
        <v>2</v>
      </c>
      <c r="F33" s="1" cm="1">
        <f t="array" ref="F33">_xlfn.XLOOKUP(D33,'TABELA AUXILIAR'!$A$2:$A$5,IF('SPT-04'!A33&lt;3,'TABELA AUXILIAR'!$B$2:$B$5,'TABELA AUXILIAR'!$C$2:$C$5),"",0,1)</f>
        <v>8.5</v>
      </c>
      <c r="G33" s="6">
        <f t="shared" si="1"/>
        <v>72.118896565712063</v>
      </c>
      <c r="H33" s="2">
        <f t="shared" si="2"/>
        <v>43.13052403989137</v>
      </c>
      <c r="I33" s="2">
        <f t="shared" si="3"/>
        <v>1459.3066513533058</v>
      </c>
      <c r="J33" s="1">
        <f t="shared" si="8"/>
        <v>210.75000000000003</v>
      </c>
      <c r="K33" s="1">
        <f t="shared" si="4"/>
        <v>1.1125647147532096</v>
      </c>
      <c r="L33" s="1">
        <f t="shared" si="5"/>
        <v>234.47301363423895</v>
      </c>
      <c r="M33" s="1">
        <f t="shared" si="6"/>
        <v>2120.9593415122058</v>
      </c>
      <c r="N33" s="1">
        <f>$L33*'TABELA AUXILIAR'!$I$3*(B33-A33)</f>
        <v>528.97111875884116</v>
      </c>
      <c r="O33" s="1">
        <f>$L33*'TABELA AUXILIAR'!$I$4*(B33-A33)</f>
        <v>573.98993737661488</v>
      </c>
      <c r="P33" s="1">
        <f>$L33*'TABELA AUXILIAR'!$I$5*(B33-A33)</f>
        <v>662.62073653035691</v>
      </c>
      <c r="Q33" s="1">
        <f>$M33*'TABELA AUXILIAR'!$J$3+SUM(N$2:N33)</f>
        <v>10329.433472740038</v>
      </c>
      <c r="R33" s="1">
        <f>$M33*'TABELA AUXILIAR'!$J$4+SUM(O$2:O33)</f>
        <v>11407.543357570441</v>
      </c>
      <c r="S33" s="1">
        <f>$M33*'TABELA AUXILIAR'!$J$5+SUM(P$2:P33)</f>
        <v>13669.922949911261</v>
      </c>
      <c r="T33" s="2">
        <f t="shared" si="7"/>
        <v>5164</v>
      </c>
      <c r="U33" s="2">
        <f t="shared" si="7"/>
        <v>5703</v>
      </c>
      <c r="V33" s="2">
        <f t="shared" si="7"/>
        <v>6834</v>
      </c>
    </row>
    <row r="34" spans="1:22" x14ac:dyDescent="0.25">
      <c r="A34" s="1">
        <v>19.2</v>
      </c>
      <c r="B34" s="1">
        <v>19.8</v>
      </c>
      <c r="C34" s="1">
        <v>36</v>
      </c>
      <c r="D34" s="1" t="s">
        <v>18</v>
      </c>
      <c r="E34" s="1" t="s">
        <v>2</v>
      </c>
      <c r="F34" s="1" cm="1">
        <f t="array" ref="F34">_xlfn.XLOOKUP(D34,'TABELA AUXILIAR'!$A$2:$A$5,IF('SPT-04'!A34&lt;3,'TABELA AUXILIAR'!$B$2:$B$5,'TABELA AUXILIAR'!$C$2:$C$5),"",0,1)</f>
        <v>8.5</v>
      </c>
      <c r="G34" s="6">
        <f t="shared" si="1"/>
        <v>52.550131191584235</v>
      </c>
      <c r="H34" s="2">
        <f t="shared" si="2"/>
        <v>41.817983007059041</v>
      </c>
      <c r="I34" s="2">
        <f t="shared" si="3"/>
        <v>1132.8341874012308</v>
      </c>
      <c r="J34" s="1">
        <f t="shared" si="8"/>
        <v>215.85000000000002</v>
      </c>
      <c r="K34" s="1">
        <f t="shared" si="4"/>
        <v>0.90051733575096082</v>
      </c>
      <c r="L34" s="1">
        <f t="shared" si="5"/>
        <v>194.3766669218449</v>
      </c>
      <c r="M34" s="1">
        <f t="shared" si="6"/>
        <v>1654.3561954944448</v>
      </c>
      <c r="N34" s="1">
        <f>$L34*'TABELA AUXILIAR'!$I$3*(B34-A34)</f>
        <v>438.51376057568308</v>
      </c>
      <c r="O34" s="1">
        <f>$L34*'TABELA AUXILIAR'!$I$4*(B34-A34)</f>
        <v>475.83408062467743</v>
      </c>
      <c r="P34" s="1">
        <f>$L34*'TABELA AUXILIAR'!$I$5*(B34-A34)</f>
        <v>549.30846072113502</v>
      </c>
      <c r="Q34" s="1">
        <f>$M34*'TABELA AUXILIAR'!$J$3+SUM(N$2:N34)</f>
        <v>10240.685678315653</v>
      </c>
      <c r="R34" s="1">
        <f>$M34*'TABELA AUXILIAR'!$J$4+SUM(O$2:O34)</f>
        <v>11267.461285451674</v>
      </c>
      <c r="S34" s="1">
        <f>$M34*'TABELA AUXILIAR'!$J$5+SUM(P$2:P34)</f>
        <v>13398.009873641135</v>
      </c>
      <c r="T34" s="2">
        <f t="shared" si="7"/>
        <v>5120</v>
      </c>
      <c r="U34" s="2">
        <f t="shared" si="7"/>
        <v>5633</v>
      </c>
      <c r="V34" s="2">
        <f t="shared" si="7"/>
        <v>6699</v>
      </c>
    </row>
    <row r="35" spans="1:22" x14ac:dyDescent="0.25">
      <c r="A35" s="1">
        <v>19.8</v>
      </c>
      <c r="B35" s="1">
        <v>20.399999999999999</v>
      </c>
      <c r="C35" s="1">
        <v>50</v>
      </c>
      <c r="D35" s="1" t="s">
        <v>18</v>
      </c>
      <c r="E35" s="1" t="s">
        <v>2</v>
      </c>
      <c r="F35" s="1" cm="1">
        <f t="array" ref="F35">_xlfn.XLOOKUP(D35,'TABELA AUXILIAR'!$A$2:$A$5,IF('SPT-04'!A35&lt;3,'TABELA AUXILIAR'!$B$2:$B$5,'TABELA AUXILIAR'!$C$2:$C$5),"",0,1)</f>
        <v>8.5</v>
      </c>
      <c r="G35" s="6">
        <f t="shared" si="1"/>
        <v>73.843501974178238</v>
      </c>
      <c r="H35" s="2">
        <f t="shared" si="2"/>
        <v>43.13052403989137</v>
      </c>
      <c r="I35" s="2">
        <f t="shared" si="3"/>
        <v>1487.158066073385</v>
      </c>
      <c r="J35" s="1">
        <f t="shared" si="8"/>
        <v>220.95000000000002</v>
      </c>
      <c r="K35" s="1">
        <f t="shared" si="4"/>
        <v>1.0912026017032395</v>
      </c>
      <c r="L35" s="1">
        <f t="shared" si="5"/>
        <v>241.10121484633078</v>
      </c>
      <c r="M35" s="1">
        <f t="shared" si="6"/>
        <v>2181.9670941935242</v>
      </c>
      <c r="N35" s="1">
        <f>$L35*'TABELA AUXILIAR'!$I$3*(B35-A35)</f>
        <v>543.92434069332023</v>
      </c>
      <c r="O35" s="1">
        <f>$L35*'TABELA AUXILIAR'!$I$4*(B35-A35)</f>
        <v>590.21577394381563</v>
      </c>
      <c r="P35" s="1">
        <f>$L35*'TABELA AUXILIAR'!$I$5*(B35-A35)</f>
        <v>681.35203315572835</v>
      </c>
      <c r="Q35" s="1">
        <f>$M35*'TABELA AUXILIAR'!$J$3+SUM(N$2:N35)</f>
        <v>11380.810334538932</v>
      </c>
      <c r="R35" s="1">
        <f>$M35*'TABELA AUXILIAR'!$J$4+SUM(O$2:O35)</f>
        <v>12554.123445678275</v>
      </c>
      <c r="S35" s="1">
        <f>$M35*'TABELA AUXILIAR'!$J$5+SUM(P$2:P35)</f>
        <v>15007.957088507244</v>
      </c>
      <c r="T35" s="2">
        <f t="shared" si="7"/>
        <v>5690</v>
      </c>
      <c r="U35" s="2">
        <f t="shared" si="7"/>
        <v>6277</v>
      </c>
      <c r="V35" s="2">
        <f t="shared" si="7"/>
        <v>7503</v>
      </c>
    </row>
    <row r="36" spans="1:22" x14ac:dyDescent="0.25">
      <c r="A36" s="1">
        <v>20.399999999999999</v>
      </c>
      <c r="B36" s="1">
        <v>21</v>
      </c>
      <c r="C36" s="1">
        <v>50</v>
      </c>
      <c r="D36" s="1" t="s">
        <v>18</v>
      </c>
      <c r="E36" s="1" t="s">
        <v>2</v>
      </c>
      <c r="F36" s="1" cm="1">
        <f t="array" ref="F36">_xlfn.XLOOKUP(D36,'TABELA AUXILIAR'!$A$2:$A$5,IF('SPT-04'!A36&lt;3,'TABELA AUXILIAR'!$B$2:$B$5,'TABELA AUXILIAR'!$C$2:$C$5),"",0,1)</f>
        <v>8.5</v>
      </c>
      <c r="G36" s="6">
        <f t="shared" si="1"/>
        <v>74.690873303153708</v>
      </c>
      <c r="H36" s="2">
        <f t="shared" si="2"/>
        <v>43.13052403989137</v>
      </c>
      <c r="I36" s="2">
        <f t="shared" si="3"/>
        <v>1500.7948583603854</v>
      </c>
      <c r="J36" s="1">
        <f t="shared" si="8"/>
        <v>226.05</v>
      </c>
      <c r="K36" s="1">
        <f t="shared" si="4"/>
        <v>1.081035926362107</v>
      </c>
      <c r="L36" s="1">
        <f t="shared" si="5"/>
        <v>244.36817115415431</v>
      </c>
      <c r="M36" s="1">
        <f t="shared" si="6"/>
        <v>2212.0477628251388</v>
      </c>
      <c r="N36" s="1">
        <f>$L36*'TABELA AUXILIAR'!$I$3*(B36-A36)</f>
        <v>551.29459412377344</v>
      </c>
      <c r="O36" s="1">
        <f>$L36*'TABELA AUXILIAR'!$I$4*(B36-A36)</f>
        <v>598.21328298537117</v>
      </c>
      <c r="P36" s="1">
        <f>$L36*'TABELA AUXILIAR'!$I$5*(B36-A36)</f>
        <v>690.58445168164167</v>
      </c>
      <c r="Q36" s="1">
        <f>$M36*'TABELA AUXILIAR'!$J$3+SUM(N$2:N36)</f>
        <v>11966.096084216431</v>
      </c>
      <c r="R36" s="1">
        <f>$M36*'TABELA AUXILIAR'!$J$4+SUM(O$2:O36)</f>
        <v>13192.043211257376</v>
      </c>
      <c r="S36" s="1">
        <f>$M36*'TABELA AUXILIAR'!$J$5+SUM(P$2:P36)</f>
        <v>15751.483516980526</v>
      </c>
      <c r="T36" s="2">
        <f t="shared" si="7"/>
        <v>5983</v>
      </c>
      <c r="U36" s="2">
        <f t="shared" si="7"/>
        <v>6596</v>
      </c>
      <c r="V36" s="2">
        <f t="shared" si="7"/>
        <v>7875</v>
      </c>
    </row>
    <row r="37" spans="1:22" x14ac:dyDescent="0.25">
      <c r="A37" s="1">
        <v>21</v>
      </c>
      <c r="B37" s="1">
        <v>21.6</v>
      </c>
      <c r="C37" s="1">
        <v>50</v>
      </c>
      <c r="D37" s="1" t="s">
        <v>19</v>
      </c>
      <c r="E37" s="1" t="s">
        <v>4</v>
      </c>
      <c r="F37" s="1" cm="1">
        <f t="array" ref="F37">_xlfn.XLOOKUP(D37,'TABELA AUXILIAR'!$A$2:$A$5,IF('SPT-04'!A37&lt;3,'TABELA AUXILIAR'!$B$2:$B$5,'TABELA AUXILIAR'!$C$2:$C$5),"",0,1)</f>
        <v>10.5</v>
      </c>
      <c r="G37" s="6">
        <f t="shared" si="1"/>
        <v>75.626700498124151</v>
      </c>
      <c r="H37" s="2">
        <f t="shared" si="2"/>
        <v>43.13052403989137</v>
      </c>
      <c r="I37" s="2">
        <f t="shared" si="3"/>
        <v>1149.1477140689963</v>
      </c>
      <c r="J37" s="1">
        <f t="shared" si="8"/>
        <v>231.75000000000003</v>
      </c>
      <c r="K37" s="1">
        <f t="shared" si="4"/>
        <v>0.88547960795560721</v>
      </c>
      <c r="L37" s="1">
        <f t="shared" si="5"/>
        <v>205.20989914371199</v>
      </c>
      <c r="M37" s="1">
        <f t="shared" si="6"/>
        <v>2245.3478880252878</v>
      </c>
      <c r="N37" s="1">
        <f>$L37*'TABELA AUXILIAR'!$I$3*(B37-A37)</f>
        <v>462.95353246821537</v>
      </c>
      <c r="O37" s="1">
        <f>$L37*'TABELA AUXILIAR'!$I$4*(B37-A37)</f>
        <v>502.35383310380814</v>
      </c>
      <c r="P37" s="1">
        <f>$L37*'TABELA AUXILIAR'!$I$5*(B37-A37)</f>
        <v>579.92317498013142</v>
      </c>
      <c r="Q37" s="1">
        <f>$M37*'TABELA AUXILIAR'!$J$3+SUM(N$2:N37)</f>
        <v>12466.678758160815</v>
      </c>
      <c r="R37" s="1">
        <f>$M37*'TABELA AUXILIAR'!$J$4+SUM(O$2:O37)</f>
        <v>13738.353209625382</v>
      </c>
      <c r="S37" s="1">
        <f>$M37*'TABELA AUXILIAR'!$J$5+SUM(P$2:P37)</f>
        <v>16390.014912312919</v>
      </c>
      <c r="T37" s="2">
        <f t="shared" si="7"/>
        <v>6233</v>
      </c>
      <c r="U37" s="2">
        <f t="shared" si="7"/>
        <v>6869</v>
      </c>
      <c r="V37" s="2">
        <f t="shared" si="7"/>
        <v>8195</v>
      </c>
    </row>
    <row r="38" spans="1:22" x14ac:dyDescent="0.25">
      <c r="A38" s="1">
        <v>21.6</v>
      </c>
      <c r="B38" s="1">
        <v>22.2</v>
      </c>
      <c r="C38" s="1">
        <v>50</v>
      </c>
      <c r="D38" s="1" t="s">
        <v>19</v>
      </c>
      <c r="E38" s="1" t="s">
        <v>4</v>
      </c>
      <c r="F38" s="1" cm="1">
        <f t="array" ref="F38">_xlfn.XLOOKUP(D38,'TABELA AUXILIAR'!$A$2:$A$5,IF('SPT-04'!A38&lt;3,'TABELA AUXILIAR'!$B$2:$B$5,'TABELA AUXILIAR'!$C$2:$C$5),"",0,1)</f>
        <v>10.5</v>
      </c>
      <c r="G38" s="6">
        <f t="shared" si="1"/>
        <v>76.647743633756775</v>
      </c>
      <c r="H38" s="2">
        <f t="shared" si="2"/>
        <v>43.13052403989137</v>
      </c>
      <c r="I38" s="2">
        <f t="shared" si="3"/>
        <v>1164.6624645149341</v>
      </c>
      <c r="J38" s="1">
        <f t="shared" si="8"/>
        <v>238.05</v>
      </c>
      <c r="K38" s="1">
        <f t="shared" si="4"/>
        <v>0.87739824485380991</v>
      </c>
      <c r="L38" s="1">
        <f t="shared" si="5"/>
        <v>208.86465218744945</v>
      </c>
      <c r="M38" s="1">
        <f t="shared" si="6"/>
        <v>2281.7744074383245</v>
      </c>
      <c r="N38" s="1">
        <f>$L38*'TABELA AUXILIAR'!$I$3*(B38-A38)</f>
        <v>471.19865533488428</v>
      </c>
      <c r="O38" s="1">
        <f>$L38*'TABELA AUXILIAR'!$I$4*(B38-A38)</f>
        <v>511.30066855487445</v>
      </c>
      <c r="P38" s="1">
        <f>$L38*'TABELA AUXILIAR'!$I$5*(B38-A38)</f>
        <v>590.2515070817301</v>
      </c>
      <c r="Q38" s="1">
        <f>$M38*'TABELA AUXILIAR'!$J$3+SUM(N$2:N38)</f>
        <v>12979.039380432429</v>
      </c>
      <c r="R38" s="1">
        <f>$M38*'TABELA AUXILIAR'!$J$4+SUM(O$2:O38)</f>
        <v>14297.736883805466</v>
      </c>
      <c r="S38" s="1">
        <f>$M38*'TABELA AUXILIAR'!$J$5+SUM(P$2:P38)</f>
        <v>17044.377093561594</v>
      </c>
      <c r="T38" s="2">
        <f t="shared" si="7"/>
        <v>6489</v>
      </c>
      <c r="U38" s="2">
        <f t="shared" si="7"/>
        <v>7148</v>
      </c>
      <c r="V38" s="2">
        <f t="shared" si="7"/>
        <v>8522</v>
      </c>
    </row>
    <row r="39" spans="1:22" x14ac:dyDescent="0.25">
      <c r="A39" s="1">
        <v>22.2</v>
      </c>
      <c r="B39" s="1">
        <v>22.8</v>
      </c>
      <c r="C39" s="1">
        <v>36</v>
      </c>
      <c r="D39" s="1" t="s">
        <v>19</v>
      </c>
      <c r="E39" s="1" t="s">
        <v>4</v>
      </c>
      <c r="F39" s="1" cm="1">
        <f t="array" ref="F39">_xlfn.XLOOKUP(D39,'TABELA AUXILIAR'!$A$2:$A$5,IF('SPT-04'!A39&lt;3,'TABELA AUXILIAR'!$B$2:$B$5,'TABELA AUXILIAR'!$C$2:$C$5),"",0,1)</f>
        <v>10.5</v>
      </c>
      <c r="G39" s="6">
        <f t="shared" si="1"/>
        <v>55.911861255217616</v>
      </c>
      <c r="H39" s="2">
        <f t="shared" si="2"/>
        <v>41.817983007059041</v>
      </c>
      <c r="I39" s="2">
        <f t="shared" si="3"/>
        <v>849.58073177303163</v>
      </c>
      <c r="J39" s="1">
        <f t="shared" si="8"/>
        <v>244.35</v>
      </c>
      <c r="K39" s="1">
        <f t="shared" si="4"/>
        <v>0.68432055517408052</v>
      </c>
      <c r="L39" s="1">
        <f t="shared" si="5"/>
        <v>167.21372765678657</v>
      </c>
      <c r="M39" s="1">
        <f t="shared" si="6"/>
        <v>1782.1538634232083</v>
      </c>
      <c r="N39" s="1">
        <f>$L39*'TABELA AUXILIAR'!$I$3*(B39-A39)</f>
        <v>377.23416959371139</v>
      </c>
      <c r="O39" s="1">
        <f>$L39*'TABELA AUXILIAR'!$I$4*(B39-A39)</f>
        <v>409.33920530381448</v>
      </c>
      <c r="P39" s="1">
        <f>$L39*'TABELA AUXILIAR'!$I$5*(B39-A39)</f>
        <v>472.54599435807995</v>
      </c>
      <c r="Q39" s="1">
        <f>$M39*'TABELA AUXILIAR'!$J$3+SUM(N$2:N39)</f>
        <v>12791.702335289059</v>
      </c>
      <c r="R39" s="1">
        <f>$M39*'TABELA AUXILIAR'!$J$4+SUM(O$2:O39)</f>
        <v>14047.576971009328</v>
      </c>
      <c r="S39" s="1">
        <f>$M39*'TABELA AUXILIAR'!$J$5+SUM(P$2:P39)</f>
        <v>16637.590930453069</v>
      </c>
      <c r="T39" s="2">
        <f t="shared" si="7"/>
        <v>6395</v>
      </c>
      <c r="U39" s="2">
        <f t="shared" si="7"/>
        <v>7023</v>
      </c>
      <c r="V39" s="2">
        <f t="shared" si="7"/>
        <v>8318</v>
      </c>
    </row>
    <row r="40" spans="1:22" x14ac:dyDescent="0.25">
      <c r="A40" s="1">
        <v>22.8</v>
      </c>
      <c r="B40" s="1">
        <v>23.4</v>
      </c>
      <c r="C40" s="1">
        <v>36</v>
      </c>
      <c r="D40" s="1" t="s">
        <v>19</v>
      </c>
      <c r="E40" s="1" t="s">
        <v>4</v>
      </c>
      <c r="F40" s="1" cm="1">
        <f t="array" ref="F40">_xlfn.XLOOKUP(D40,'TABELA AUXILIAR'!$A$2:$A$5,IF('SPT-04'!A40&lt;3,'TABELA AUXILIAR'!$B$2:$B$5,'TABELA AUXILIAR'!$C$2:$C$5),"",0,1)</f>
        <v>10.5</v>
      </c>
      <c r="G40" s="6">
        <f t="shared" si="1"/>
        <v>56.628053352168756</v>
      </c>
      <c r="H40" s="2">
        <f t="shared" si="2"/>
        <v>41.817983007059041</v>
      </c>
      <c r="I40" s="2">
        <f t="shared" si="3"/>
        <v>860.46327068620417</v>
      </c>
      <c r="J40" s="1">
        <f t="shared" si="8"/>
        <v>250.64999999999998</v>
      </c>
      <c r="K40" s="1">
        <f t="shared" si="4"/>
        <v>0.67853759009781722</v>
      </c>
      <c r="L40" s="1">
        <f t="shared" si="5"/>
        <v>170.07544695801786</v>
      </c>
      <c r="M40" s="1">
        <f t="shared" si="6"/>
        <v>1809.5826171531528</v>
      </c>
      <c r="N40" s="1">
        <f>$L40*'TABELA AUXILIAR'!$I$3*(B40-A40)</f>
        <v>383.69020833728689</v>
      </c>
      <c r="O40" s="1">
        <f>$L40*'TABELA AUXILIAR'!$I$4*(B40-A40)</f>
        <v>416.34469415322621</v>
      </c>
      <c r="P40" s="1">
        <f>$L40*'TABELA AUXILIAR'!$I$5*(B40-A40)</f>
        <v>480.63321310335681</v>
      </c>
      <c r="Q40" s="1">
        <f>$M40*'TABELA AUXILIAR'!$J$3+SUM(N$2:N40)</f>
        <v>13206.387035341184</v>
      </c>
      <c r="R40" s="1">
        <f>$M40*'TABELA AUXILIAR'!$J$4+SUM(O$2:O40)</f>
        <v>14500.127620086081</v>
      </c>
      <c r="S40" s="1">
        <f>$M40*'TABELA AUXILIAR'!$J$5+SUM(P$2:P40)</f>
        <v>17166.498750121129</v>
      </c>
      <c r="T40" s="2">
        <f t="shared" si="7"/>
        <v>6603</v>
      </c>
      <c r="U40" s="2">
        <f t="shared" si="7"/>
        <v>7250</v>
      </c>
      <c r="V40" s="2">
        <f t="shared" si="7"/>
        <v>8583</v>
      </c>
    </row>
    <row r="41" spans="1:22" x14ac:dyDescent="0.25">
      <c r="A41" s="1">
        <v>23.4</v>
      </c>
      <c r="B41" s="1">
        <v>24</v>
      </c>
      <c r="C41" s="1">
        <v>50</v>
      </c>
      <c r="D41" s="1" t="s">
        <v>18</v>
      </c>
      <c r="E41" s="1" t="s">
        <v>2</v>
      </c>
      <c r="F41" s="1" cm="1">
        <f t="array" ref="F41">_xlfn.XLOOKUP(D41,'TABELA AUXILIAR'!$A$2:$A$5,IF('SPT-04'!A41&lt;3,'TABELA AUXILIAR'!$B$2:$B$5,'TABELA AUXILIAR'!$C$2:$C$5),"",0,1)</f>
        <v>8.5</v>
      </c>
      <c r="G41" s="6">
        <f t="shared" si="1"/>
        <v>79.539332593488439</v>
      </c>
      <c r="H41" s="2">
        <f t="shared" si="2"/>
        <v>43.13052403989137</v>
      </c>
      <c r="I41" s="2">
        <f t="shared" si="3"/>
        <v>1578.2393134867093</v>
      </c>
      <c r="J41" s="1">
        <f t="shared" si="8"/>
        <v>256.34999999999997</v>
      </c>
      <c r="K41" s="1">
        <f t="shared" si="4"/>
        <v>1.0266715329676888</v>
      </c>
      <c r="L41" s="1">
        <f t="shared" si="5"/>
        <v>263.18724747626698</v>
      </c>
      <c r="M41" s="1">
        <f t="shared" si="6"/>
        <v>2385.4580650526045</v>
      </c>
      <c r="N41" s="1">
        <f>$L41*'TABELA AUXILIAR'!$I$3*(B41-A41)</f>
        <v>593.75043030645963</v>
      </c>
      <c r="O41" s="1">
        <f>$L41*'TABELA AUXILIAR'!$I$4*(B41-A41)</f>
        <v>644.28238182190307</v>
      </c>
      <c r="P41" s="1">
        <f>$L41*'TABELA AUXILIAR'!$I$5*(B41-A41)</f>
        <v>743.7671613679322</v>
      </c>
      <c r="Q41" s="1">
        <f>$M41*'TABELA AUXILIAR'!$J$3+SUM(N$2:N41)</f>
        <v>14450.876721774024</v>
      </c>
      <c r="R41" s="1">
        <f>$M41*'TABELA AUXILIAR'!$J$4+SUM(O$2:O41)</f>
        <v>15904.565593135259</v>
      </c>
      <c r="S41" s="1">
        <f>$M41*'TABELA AUXILIAR'!$J$5+SUM(P$2:P41)</f>
        <v>18923.806699792094</v>
      </c>
      <c r="T41" s="2">
        <f t="shared" si="7"/>
        <v>7225</v>
      </c>
      <c r="U41" s="2">
        <f t="shared" si="7"/>
        <v>7952</v>
      </c>
      <c r="V41" s="2">
        <f t="shared" si="7"/>
        <v>9461</v>
      </c>
    </row>
    <row r="42" spans="1:22" x14ac:dyDescent="0.25">
      <c r="A42" s="1">
        <v>24</v>
      </c>
      <c r="B42" s="1">
        <v>24.6</v>
      </c>
      <c r="C42" s="1">
        <v>50</v>
      </c>
      <c r="D42" s="1" t="s">
        <v>18</v>
      </c>
      <c r="E42" s="1" t="s">
        <v>2</v>
      </c>
      <c r="F42" s="1" cm="1">
        <f t="array" ref="F42">_xlfn.XLOOKUP(D42,'TABELA AUXILIAR'!$A$2:$A$5,IF('SPT-04'!A42&lt;3,'TABELA AUXILIAR'!$B$2:$B$5,'TABELA AUXILIAR'!$C$2:$C$5),"",0,1)</f>
        <v>8.5</v>
      </c>
      <c r="G42" s="6">
        <f t="shared" si="1"/>
        <v>80.326640664195992</v>
      </c>
      <c r="H42" s="2">
        <f t="shared" si="2"/>
        <v>43.13052403989137</v>
      </c>
      <c r="I42" s="2">
        <f t="shared" si="3"/>
        <v>1590.7245624533587</v>
      </c>
      <c r="J42" s="1">
        <f t="shared" si="8"/>
        <v>261.45</v>
      </c>
      <c r="K42" s="1">
        <f t="shared" si="4"/>
        <v>1.0184088079402702</v>
      </c>
      <c r="L42" s="1">
        <f t="shared" si="5"/>
        <v>266.26298283598362</v>
      </c>
      <c r="M42" s="1">
        <f t="shared" si="6"/>
        <v>2413.8205534947824</v>
      </c>
      <c r="N42" s="1">
        <f>$L42*'TABELA AUXILIAR'!$I$3*(B42-A42)</f>
        <v>600.68928927798038</v>
      </c>
      <c r="O42" s="1">
        <f>$L42*'TABELA AUXILIAR'!$I$4*(B42-A42)</f>
        <v>651.81178198248938</v>
      </c>
      <c r="P42" s="1">
        <f>$L42*'TABELA AUXILIAR'!$I$5*(B42-A42)</f>
        <v>752.45918949449151</v>
      </c>
      <c r="Q42" s="1">
        <f>$M42*'TABELA AUXILIAR'!$J$3+SUM(N$2:N42)</f>
        <v>15083.615622991663</v>
      </c>
      <c r="R42" s="1">
        <f>$M42*'TABELA AUXILIAR'!$J$4+SUM(O$2:O42)</f>
        <v>16593.815859861425</v>
      </c>
      <c r="S42" s="1">
        <f>$M42*'TABELA AUXILIAR'!$J$5+SUM(P$2:P42)</f>
        <v>19726.18386894482</v>
      </c>
      <c r="T42" s="2">
        <f t="shared" si="7"/>
        <v>7541</v>
      </c>
      <c r="U42" s="2">
        <f t="shared" si="7"/>
        <v>8296</v>
      </c>
      <c r="V42" s="2">
        <f t="shared" si="7"/>
        <v>9863</v>
      </c>
    </row>
    <row r="43" spans="1:22" x14ac:dyDescent="0.25">
      <c r="A43" s="1">
        <v>24.6</v>
      </c>
      <c r="B43" s="1">
        <v>25.2</v>
      </c>
      <c r="C43" s="1">
        <v>36</v>
      </c>
      <c r="D43" s="1" t="s">
        <v>18</v>
      </c>
      <c r="E43" s="1" t="s">
        <v>2</v>
      </c>
      <c r="F43" s="1" cm="1">
        <f t="array" ref="F43">_xlfn.XLOOKUP(D43,'TABELA AUXILIAR'!$A$2:$A$5,IF('SPT-04'!A43&lt;3,'TABELA AUXILIAR'!$B$2:$B$5,'TABELA AUXILIAR'!$C$2:$C$5),"",0,1)</f>
        <v>8.5</v>
      </c>
      <c r="G43" s="6">
        <f t="shared" si="1"/>
        <v>58.396540756789086</v>
      </c>
      <c r="H43" s="2">
        <f t="shared" si="2"/>
        <v>41.817983007059041</v>
      </c>
      <c r="I43" s="2">
        <f t="shared" si="3"/>
        <v>1232.5853469617214</v>
      </c>
      <c r="J43" s="1">
        <f t="shared" si="8"/>
        <v>266.55</v>
      </c>
      <c r="K43" s="1">
        <f t="shared" si="4"/>
        <v>0.82762945856135062</v>
      </c>
      <c r="L43" s="1">
        <f t="shared" si="5"/>
        <v>220.60463217952801</v>
      </c>
      <c r="M43" s="1">
        <f t="shared" si="6"/>
        <v>1877.608326439982</v>
      </c>
      <c r="N43" s="1">
        <f>$L43*'TABELA AUXILIAR'!$I$3*(B43-A43)</f>
        <v>497.68405019701333</v>
      </c>
      <c r="O43" s="1">
        <f>$L43*'TABELA AUXILIAR'!$I$4*(B43-A43)</f>
        <v>540.04013957548273</v>
      </c>
      <c r="P43" s="1">
        <f>$L43*'TABELA AUXILIAR'!$I$5*(B43-A43)</f>
        <v>623.42869053934396</v>
      </c>
      <c r="Q43" s="1">
        <f>$M43*'TABELA AUXILIAR'!$J$3+SUM(N$2:N43)</f>
        <v>14975.379856616753</v>
      </c>
      <c r="R43" s="1">
        <f>$M43*'TABELA AUXILIAR'!$J$4+SUM(O$2:O43)</f>
        <v>16426.055859724573</v>
      </c>
      <c r="S43" s="1">
        <f>$M43*'TABELA AUXILIAR'!$J$5+SUM(P$2:P43)</f>
        <v>19405.879039867716</v>
      </c>
      <c r="T43" s="2">
        <f t="shared" si="7"/>
        <v>7487</v>
      </c>
      <c r="U43" s="2">
        <f t="shared" si="7"/>
        <v>8213</v>
      </c>
      <c r="V43" s="2">
        <f t="shared" si="7"/>
        <v>9702</v>
      </c>
    </row>
    <row r="44" spans="1:22" x14ac:dyDescent="0.25">
      <c r="A44" s="1">
        <v>25.2</v>
      </c>
      <c r="B44" s="1">
        <v>25.8</v>
      </c>
      <c r="C44" s="1">
        <v>50</v>
      </c>
      <c r="D44" s="1" t="s">
        <v>18</v>
      </c>
      <c r="E44" s="1" t="s">
        <v>2</v>
      </c>
      <c r="F44" s="1" cm="1">
        <f t="array" ref="F44">_xlfn.XLOOKUP(D44,'TABELA AUXILIAR'!$A$2:$A$5,IF('SPT-04'!A44&lt;3,'TABELA AUXILIAR'!$B$2:$B$5,'TABELA AUXILIAR'!$C$2:$C$5),"",0,1)</f>
        <v>8.5</v>
      </c>
      <c r="G44" s="6">
        <f t="shared" si="1"/>
        <v>81.878548731334135</v>
      </c>
      <c r="H44" s="2">
        <f t="shared" si="2"/>
        <v>43.13052403989137</v>
      </c>
      <c r="I44" s="2">
        <f t="shared" si="3"/>
        <v>1615.263622394315</v>
      </c>
      <c r="J44" s="1">
        <f t="shared" si="8"/>
        <v>271.65000000000003</v>
      </c>
      <c r="K44" s="1">
        <f t="shared" si="4"/>
        <v>1.0025458106046095</v>
      </c>
      <c r="L44" s="1">
        <f t="shared" si="5"/>
        <v>272.34156945074221</v>
      </c>
      <c r="M44" s="1">
        <f t="shared" si="6"/>
        <v>2469.8900403657549</v>
      </c>
      <c r="N44" s="1">
        <f>$L44*'TABELA AUXILIAR'!$I$3*(B44-A44)</f>
        <v>614.40258068087587</v>
      </c>
      <c r="O44" s="1">
        <f>$L44*'TABELA AUXILIAR'!$I$4*(B44-A44)</f>
        <v>666.69216201541849</v>
      </c>
      <c r="P44" s="1">
        <f>$L44*'TABELA AUXILIAR'!$I$5*(B44-A44)</f>
        <v>769.63727526779928</v>
      </c>
      <c r="Q44" s="1">
        <f>$M44*'TABELA AUXILIAR'!$J$3+SUM(N$2:N44)</f>
        <v>16259.060774033753</v>
      </c>
      <c r="R44" s="1">
        <f>$M44*'TABELA AUXILIAR'!$J$4+SUM(O$2:O44)</f>
        <v>17874.559884122009</v>
      </c>
      <c r="S44" s="1">
        <f>$M44*'TABELA AUXILIAR'!$J$5+SUM(P$2:P44)</f>
        <v>21217.932131644873</v>
      </c>
      <c r="T44" s="2">
        <f t="shared" si="7"/>
        <v>8129</v>
      </c>
      <c r="U44" s="2">
        <f t="shared" si="7"/>
        <v>8937</v>
      </c>
      <c r="V44" s="2">
        <f t="shared" si="7"/>
        <v>10608</v>
      </c>
    </row>
    <row r="45" spans="1:22" x14ac:dyDescent="0.25">
      <c r="A45" s="1">
        <v>25.8</v>
      </c>
      <c r="B45" s="1">
        <v>26.4</v>
      </c>
      <c r="C45" s="1">
        <v>50</v>
      </c>
      <c r="D45" s="1" t="s">
        <v>18</v>
      </c>
      <c r="E45" s="1" t="s">
        <v>2</v>
      </c>
      <c r="F45" s="1" cm="1">
        <f t="array" ref="F45">_xlfn.XLOOKUP(D45,'TABELA AUXILIAR'!$A$2:$A$5,IF('SPT-04'!A45&lt;3,'TABELA AUXILIAR'!$B$2:$B$5,'TABELA AUXILIAR'!$C$2:$C$5),"",0,1)</f>
        <v>8.5</v>
      </c>
      <c r="G45" s="6">
        <f t="shared" si="1"/>
        <v>82.643575148505974</v>
      </c>
      <c r="H45" s="2">
        <f t="shared" si="2"/>
        <v>43.13052403989137</v>
      </c>
      <c r="I45" s="2">
        <f t="shared" si="3"/>
        <v>1627.3260643249105</v>
      </c>
      <c r="J45" s="1">
        <f t="shared" si="8"/>
        <v>276.75000000000006</v>
      </c>
      <c r="K45" s="1">
        <f t="shared" si="4"/>
        <v>0.99492577729698939</v>
      </c>
      <c r="L45" s="1">
        <f t="shared" si="5"/>
        <v>275.34570886694189</v>
      </c>
      <c r="M45" s="1">
        <f t="shared" si="6"/>
        <v>2497.6085416919168</v>
      </c>
      <c r="N45" s="1">
        <f>$L45*'TABELA AUXILIAR'!$I$3*(B45-A45)</f>
        <v>621.17991920381871</v>
      </c>
      <c r="O45" s="1">
        <f>$L45*'TABELA AUXILIAR'!$I$4*(B45-A45)</f>
        <v>674.04629530627142</v>
      </c>
      <c r="P45" s="1">
        <f>$L45*'TABELA AUXILIAR'!$I$5*(B45-A45)</f>
        <v>778.12697325797501</v>
      </c>
      <c r="Q45" s="1">
        <f>$M45*'TABELA AUXILIAR'!$J$3+SUM(N$2:N45)</f>
        <v>16911.562599736135</v>
      </c>
      <c r="R45" s="1">
        <f>$M45*'TABELA AUXILIAR'!$J$4+SUM(O$2:O45)</f>
        <v>18585.194601178817</v>
      </c>
      <c r="S45" s="1">
        <f>$M45*'TABELA AUXILIAR'!$J$5+SUM(P$2:P45)</f>
        <v>22044.843667236892</v>
      </c>
      <c r="T45" s="2">
        <f t="shared" si="7"/>
        <v>8455</v>
      </c>
      <c r="U45" s="2">
        <f t="shared" si="7"/>
        <v>9292</v>
      </c>
      <c r="V45" s="2">
        <f t="shared" si="7"/>
        <v>11022</v>
      </c>
    </row>
    <row r="46" spans="1:22" x14ac:dyDescent="0.25">
      <c r="A46" s="1">
        <v>26.4</v>
      </c>
      <c r="B46" s="1">
        <v>27</v>
      </c>
      <c r="C46" s="1">
        <v>50</v>
      </c>
      <c r="D46" s="1" t="s">
        <v>18</v>
      </c>
      <c r="E46" s="1" t="s">
        <v>2</v>
      </c>
      <c r="F46" s="1" cm="1">
        <f t="array" ref="F46">_xlfn.XLOOKUP(D46,'TABELA AUXILIAR'!$A$2:$A$5,IF('SPT-04'!A46&lt;3,'TABELA AUXILIAR'!$B$2:$B$5,'TABELA AUXILIAR'!$C$2:$C$5),"",0,1)</f>
        <v>8.5</v>
      </c>
      <c r="G46" s="6">
        <f t="shared" si="1"/>
        <v>83.401584423223326</v>
      </c>
      <c r="H46" s="2">
        <f t="shared" si="2"/>
        <v>43.13052403989137</v>
      </c>
      <c r="I46" s="2">
        <f t="shared" si="3"/>
        <v>1639.2558578450503</v>
      </c>
      <c r="J46" s="1">
        <f t="shared" si="8"/>
        <v>281.85000000000008</v>
      </c>
      <c r="K46" s="1">
        <f t="shared" si="4"/>
        <v>0.98750123639758414</v>
      </c>
      <c r="L46" s="1">
        <f t="shared" si="5"/>
        <v>278.32722347865916</v>
      </c>
      <c r="M46" s="1">
        <f t="shared" si="6"/>
        <v>2525.1234597851353</v>
      </c>
      <c r="N46" s="1">
        <f>$L46*'TABELA AUXILIAR'!$I$3*(B46-A46)</f>
        <v>627.90621616785643</v>
      </c>
      <c r="O46" s="1">
        <f>$L46*'TABELA AUXILIAR'!$I$4*(B46-A46)</f>
        <v>681.34504307575935</v>
      </c>
      <c r="P46" s="1">
        <f>$L46*'TABELA AUXILIAR'!$I$5*(B46-A46)</f>
        <v>786.55273355069266</v>
      </c>
      <c r="Q46" s="1">
        <f>$M46*'TABELA AUXILIAR'!$J$3+SUM(N$2:N46)</f>
        <v>17570.560673349326</v>
      </c>
      <c r="R46" s="1">
        <f>$M46*'TABELA AUXILIAR'!$J$4+SUM(O$2:O46)</f>
        <v>19302.859336137622</v>
      </c>
      <c r="S46" s="1">
        <f>$M46*'TABELA AUXILIAR'!$J$5+SUM(P$2:P46)</f>
        <v>22879.822656631648</v>
      </c>
      <c r="T46" s="2">
        <f t="shared" si="7"/>
        <v>8785</v>
      </c>
      <c r="U46" s="2">
        <f t="shared" si="7"/>
        <v>9651</v>
      </c>
      <c r="V46" s="2">
        <f t="shared" si="7"/>
        <v>11439</v>
      </c>
    </row>
    <row r="47" spans="1:22" x14ac:dyDescent="0.25">
      <c r="A47" s="1">
        <v>27</v>
      </c>
      <c r="B47" s="1">
        <v>27.6</v>
      </c>
      <c r="C47" s="1">
        <v>50</v>
      </c>
      <c r="D47" s="1" t="s">
        <v>18</v>
      </c>
      <c r="E47" s="1" t="s">
        <v>2</v>
      </c>
      <c r="F47" s="1" cm="1">
        <f t="array" ref="F47">_xlfn.XLOOKUP(D47,'TABELA AUXILIAR'!$A$2:$A$5,IF('SPT-04'!A47&lt;3,'TABELA AUXILIAR'!$B$2:$B$5,'TABELA AUXILIAR'!$C$2:$C$5),"",0,1)</f>
        <v>8.5</v>
      </c>
      <c r="G47" s="6">
        <f t="shared" si="1"/>
        <v>84.152766177240693</v>
      </c>
      <c r="H47" s="2">
        <f t="shared" si="2"/>
        <v>43.13052403989137</v>
      </c>
      <c r="I47" s="2">
        <f t="shared" si="3"/>
        <v>1651.0568229807079</v>
      </c>
      <c r="J47" s="1">
        <f t="shared" si="8"/>
        <v>286.9500000000001</v>
      </c>
      <c r="K47" s="1">
        <f t="shared" si="4"/>
        <v>0.98026376906147439</v>
      </c>
      <c r="L47" s="1">
        <f t="shared" si="5"/>
        <v>281.28668853219017</v>
      </c>
      <c r="M47" s="1">
        <f t="shared" si="6"/>
        <v>2552.4399338876933</v>
      </c>
      <c r="N47" s="1">
        <f>$L47*'TABELA AUXILIAR'!$I$3*(B47-A47)</f>
        <v>634.58276932862259</v>
      </c>
      <c r="O47" s="1">
        <f>$L47*'TABELA AUXILIAR'!$I$4*(B47-A47)</f>
        <v>688.58981352680325</v>
      </c>
      <c r="P47" s="1">
        <f>$L47*'TABELA AUXILIAR'!$I$5*(B47-A47)</f>
        <v>794.91618179197121</v>
      </c>
      <c r="Q47" s="1">
        <f>$M47*'TABELA AUXILIAR'!$J$3+SUM(N$2:N47)</f>
        <v>18236.011058413838</v>
      </c>
      <c r="R47" s="1">
        <f>$M47*'TABELA AUXILIAR'!$J$4+SUM(O$2:O47)</f>
        <v>20027.506895479804</v>
      </c>
      <c r="S47" s="1">
        <f>$M47*'TABELA AUXILIAR'!$J$5+SUM(P$2:P47)</f>
        <v>23722.81583284412</v>
      </c>
      <c r="T47" s="2">
        <f t="shared" si="7"/>
        <v>9118</v>
      </c>
      <c r="U47" s="2">
        <f t="shared" si="7"/>
        <v>10013</v>
      </c>
      <c r="V47" s="2">
        <f t="shared" si="7"/>
        <v>11861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18</v>
      </c>
      <c r="E48" s="1" t="s">
        <v>2</v>
      </c>
      <c r="F48" s="1" cm="1">
        <f t="array" ref="F48">_xlfn.XLOOKUP(D48,'TABELA AUXILIAR'!$A$2:$A$5,IF('SPT-04'!A48&lt;3,'TABELA AUXILIAR'!$B$2:$B$5,'TABELA AUXILIAR'!$C$2:$C$5),"",0,1)</f>
        <v>8.5</v>
      </c>
      <c r="G48" s="6">
        <f t="shared" si="1"/>
        <v>84.897301642977098</v>
      </c>
      <c r="H48" s="2">
        <f t="shared" si="2"/>
        <v>43.13052403989137</v>
      </c>
      <c r="I48" s="2">
        <f t="shared" si="3"/>
        <v>1662.7326041465365</v>
      </c>
      <c r="J48" s="1">
        <f t="shared" si="8"/>
        <v>292.05000000000013</v>
      </c>
      <c r="K48" s="1">
        <f t="shared" si="4"/>
        <v>0.97320546042830758</v>
      </c>
      <c r="L48" s="1">
        <f t="shared" si="5"/>
        <v>284.22465471808732</v>
      </c>
      <c r="M48" s="1">
        <f t="shared" si="6"/>
        <v>2579.5628847695702</v>
      </c>
      <c r="N48" s="1">
        <f>$L48*'TABELA AUXILIAR'!$I$3*(B48-A48)</f>
        <v>641.21082104400261</v>
      </c>
      <c r="O48" s="1">
        <f>$L48*'TABELA AUXILIAR'!$I$4*(B48-A48)</f>
        <v>695.78195474987535</v>
      </c>
      <c r="P48" s="1">
        <f>$L48*'TABELA AUXILIAR'!$I$5*(B48-A48)</f>
        <v>803.21887423331191</v>
      </c>
      <c r="Q48" s="1">
        <f>$M48*'TABELA AUXILIAR'!$J$3+SUM(N$2:N48)</f>
        <v>18907.870813954363</v>
      </c>
      <c r="R48" s="1">
        <f>$M48*'TABELA AUXILIAR'!$J$4+SUM(O$2:O48)</f>
        <v>20759.091145393759</v>
      </c>
      <c r="S48" s="1">
        <f>$M48*'TABELA AUXILIAR'!$J$5+SUM(P$2:P48)</f>
        <v>24573.771100629536</v>
      </c>
      <c r="T48" s="2">
        <f t="shared" si="7"/>
        <v>9453</v>
      </c>
      <c r="U48" s="2">
        <f t="shared" si="7"/>
        <v>10379</v>
      </c>
      <c r="V48" s="2">
        <f t="shared" si="7"/>
        <v>12286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19</v>
      </c>
      <c r="E49" s="1" t="s">
        <v>5</v>
      </c>
      <c r="F49" s="1" cm="1">
        <f t="array" ref="F49">_xlfn.XLOOKUP(D49,'TABELA AUXILIAR'!$A$2:$A$5,IF('SPT-04'!A49&lt;3,'TABELA AUXILIAR'!$B$2:$B$5,'TABELA AUXILIAR'!$C$2:$C$5),"",0,1)</f>
        <v>10.5</v>
      </c>
      <c r="G49" s="6">
        <f t="shared" si="1"/>
        <v>85.7217772780281</v>
      </c>
      <c r="H49" s="2">
        <f t="shared" si="2"/>
        <v>43.13052403989137</v>
      </c>
      <c r="I49" s="2">
        <f t="shared" si="3"/>
        <v>1302.5424057396369</v>
      </c>
      <c r="J49" s="1">
        <f t="shared" si="8"/>
        <v>297.75000000000017</v>
      </c>
      <c r="K49" s="1">
        <f t="shared" si="4"/>
        <v>0.81278628571879219</v>
      </c>
      <c r="L49" s="1">
        <f t="shared" si="5"/>
        <v>242.00711657277051</v>
      </c>
      <c r="M49" s="1">
        <f t="shared" si="6"/>
        <v>2609.6535491147297</v>
      </c>
      <c r="N49" s="1">
        <f>$L49*'TABELA AUXILIAR'!$I$3*(B49-A49)</f>
        <v>545.96805498817162</v>
      </c>
      <c r="O49" s="1">
        <f>$L49*'TABELA AUXILIAR'!$I$4*(B49-A49)</f>
        <v>592.43342137014361</v>
      </c>
      <c r="P49" s="1">
        <f>$L49*'TABELA AUXILIAR'!$I$5*(B49-A49)</f>
        <v>683.91211143465102</v>
      </c>
      <c r="Q49" s="1">
        <f>$M49*'TABELA AUXILIAR'!$J$3+SUM(N$2:N49)</f>
        <v>19487.841319652565</v>
      </c>
      <c r="R49" s="1">
        <f>$M49*'TABELA AUXILIAR'!$J$4+SUM(O$2:O49)</f>
        <v>21391.244243699512</v>
      </c>
      <c r="S49" s="1">
        <f>$M49*'TABELA AUXILIAR'!$J$5+SUM(P$2:P49)</f>
        <v>25310.642781311672</v>
      </c>
      <c r="T49" s="2">
        <f t="shared" si="7"/>
        <v>9743</v>
      </c>
      <c r="U49" s="2">
        <f t="shared" si="7"/>
        <v>10695</v>
      </c>
      <c r="V49" s="2">
        <f t="shared" si="7"/>
        <v>12655</v>
      </c>
    </row>
    <row r="50" spans="1:22" x14ac:dyDescent="0.25">
      <c r="A50" s="1">
        <v>28.8</v>
      </c>
      <c r="B50" s="1">
        <v>29.4</v>
      </c>
      <c r="C50" s="1">
        <v>50</v>
      </c>
      <c r="D50" s="1" t="s">
        <v>19</v>
      </c>
      <c r="E50" s="1" t="s">
        <v>5</v>
      </c>
      <c r="F50" s="1" cm="1">
        <f t="array" ref="F50">_xlfn.XLOOKUP(D50,'TABELA AUXILIAR'!$A$2:$A$5,IF('SPT-04'!A50&lt;3,'TABELA AUXILIAR'!$B$2:$B$5,'TABELA AUXILIAR'!$C$2:$C$5),"",0,1)</f>
        <v>10.5</v>
      </c>
      <c r="G50" s="6">
        <f t="shared" si="1"/>
        <v>86.623910530620734</v>
      </c>
      <c r="H50" s="2">
        <f t="shared" si="2"/>
        <v>43.13052403989137</v>
      </c>
      <c r="I50" s="2">
        <f t="shared" si="3"/>
        <v>1316.2503205127819</v>
      </c>
      <c r="J50" s="1">
        <f t="shared" si="8"/>
        <v>304.05000000000018</v>
      </c>
      <c r="K50" s="1">
        <f t="shared" si="4"/>
        <v>0.80698974068936813</v>
      </c>
      <c r="L50" s="1">
        <f t="shared" si="5"/>
        <v>245.36523065660253</v>
      </c>
      <c r="M50" s="1">
        <f t="shared" si="6"/>
        <v>2642.6448287108124</v>
      </c>
      <c r="N50" s="1">
        <f>$L50*'TABELA AUXILIAR'!$I$3*(B50-A50)</f>
        <v>553.54396036129333</v>
      </c>
      <c r="O50" s="1">
        <f>$L50*'TABELA AUXILIAR'!$I$4*(B50-A50)</f>
        <v>600.65408464736083</v>
      </c>
      <c r="P50" s="1">
        <f>$L50*'TABELA AUXILIAR'!$I$5*(B50-A50)</f>
        <v>693.40214183555622</v>
      </c>
      <c r="Q50" s="1">
        <f>$M50*'TABELA AUXILIAR'!$J$3+SUM(N$2:N50)</f>
        <v>20078.665425957432</v>
      </c>
      <c r="R50" s="1">
        <f>$M50*'TABELA AUXILIAR'!$J$4+SUM(O$2:O50)</f>
        <v>22035.446817413704</v>
      </c>
      <c r="S50" s="1">
        <f>$M50*'TABELA AUXILIAR'!$J$5+SUM(P$2:P50)</f>
        <v>26062.109575236333</v>
      </c>
      <c r="T50" s="2">
        <f t="shared" si="7"/>
        <v>10039</v>
      </c>
      <c r="U50" s="2">
        <f t="shared" si="7"/>
        <v>11017</v>
      </c>
      <c r="V50" s="2">
        <f t="shared" si="7"/>
        <v>13031</v>
      </c>
    </row>
    <row r="51" spans="1:22" x14ac:dyDescent="0.25">
      <c r="A51" s="1">
        <v>29.4</v>
      </c>
      <c r="B51" s="1">
        <v>30</v>
      </c>
      <c r="C51" s="1">
        <v>50</v>
      </c>
      <c r="D51" s="1" t="s">
        <v>19</v>
      </c>
      <c r="E51" s="1" t="s">
        <v>5</v>
      </c>
      <c r="F51" s="1" cm="1">
        <f t="array" ref="F51">_xlfn.XLOOKUP(D51,'TABELA AUXILIAR'!$A$2:$A$5,IF('SPT-04'!A51&lt;3,'TABELA AUXILIAR'!$B$2:$B$5,'TABELA AUXILIAR'!$C$2:$C$5),"",0,1)</f>
        <v>10.5</v>
      </c>
      <c r="G51" s="6">
        <f t="shared" si="1"/>
        <v>87.516744977919018</v>
      </c>
      <c r="H51" s="2">
        <f t="shared" si="2"/>
        <v>43.13052403989137</v>
      </c>
      <c r="I51" s="2">
        <f t="shared" si="3"/>
        <v>1329.8169399394794</v>
      </c>
      <c r="J51" s="1">
        <f t="shared" si="8"/>
        <v>310.35000000000019</v>
      </c>
      <c r="K51" s="1">
        <f t="shared" si="4"/>
        <v>0.80135215663524506</v>
      </c>
      <c r="L51" s="1">
        <f t="shared" si="5"/>
        <v>248.69964181174845</v>
      </c>
      <c r="M51" s="1">
        <f t="shared" si="6"/>
        <v>2675.3637796534626</v>
      </c>
      <c r="N51" s="1">
        <f>$L51*'TABELA AUXILIAR'!$I$3*(B51-A51)</f>
        <v>561.06639192730586</v>
      </c>
      <c r="O51" s="1">
        <f>$L51*'TABELA AUXILIAR'!$I$4*(B51-A51)</f>
        <v>608.81672315516164</v>
      </c>
      <c r="P51" s="1">
        <f>$L51*'TABELA AUXILIAR'!$I$5*(B51-A51)</f>
        <v>702.82518776000279</v>
      </c>
      <c r="Q51" s="1">
        <f>$M51*'TABELA AUXILIAR'!$J$3+SUM(N$2:N51)</f>
        <v>20676.704232449934</v>
      </c>
      <c r="R51" s="1">
        <f>$M51*'TABELA AUXILIAR'!$J$4+SUM(O$2:O51)</f>
        <v>22687.452555813165</v>
      </c>
      <c r="S51" s="1">
        <f>$M51*'TABELA AUXILIAR'!$J$5+SUM(P$2:P51)</f>
        <v>26822.520116655396</v>
      </c>
      <c r="T51" s="2">
        <f t="shared" si="7"/>
        <v>10338</v>
      </c>
      <c r="U51" s="2">
        <f t="shared" si="7"/>
        <v>11343</v>
      </c>
      <c r="V51" s="2">
        <f t="shared" si="7"/>
        <v>13411</v>
      </c>
    </row>
    <row r="52" spans="1:22" x14ac:dyDescent="0.25">
      <c r="A52" s="1">
        <v>30</v>
      </c>
      <c r="B52" s="1">
        <v>30.6</v>
      </c>
      <c r="C52" s="1">
        <v>50</v>
      </c>
      <c r="D52" s="1" t="s">
        <v>19</v>
      </c>
      <c r="E52" s="1" t="s">
        <v>5</v>
      </c>
      <c r="F52" s="1" cm="1">
        <f t="array" ref="F52">_xlfn.XLOOKUP(D52,'TABELA AUXILIAR'!$A$2:$A$5,IF('SPT-04'!A52&lt;3,'TABELA AUXILIAR'!$B$2:$B$5,'TABELA AUXILIAR'!$C$2:$C$5),"",0,1)</f>
        <v>10.5</v>
      </c>
      <c r="G52" s="6">
        <f t="shared" si="1"/>
        <v>88.400562370627739</v>
      </c>
      <c r="H52" s="2">
        <f t="shared" si="2"/>
        <v>43.13052403989137</v>
      </c>
      <c r="I52" s="2">
        <f t="shared" si="3"/>
        <v>1343.2465452216884</v>
      </c>
      <c r="J52" s="1">
        <f t="shared" si="8"/>
        <v>316.65000000000026</v>
      </c>
      <c r="K52" s="1">
        <f t="shared" si="4"/>
        <v>0.7958660777823795</v>
      </c>
      <c r="L52" s="1">
        <f t="shared" si="5"/>
        <v>252.01099352979068</v>
      </c>
      <c r="M52" s="1">
        <f t="shared" si="6"/>
        <v>2707.8181111225249</v>
      </c>
      <c r="N52" s="1">
        <f>$L52*'TABELA AUXILIAR'!$I$3*(B52-A52)</f>
        <v>568.5368014032091</v>
      </c>
      <c r="O52" s="1">
        <f>$L52*'TABELA AUXILIAR'!$I$4*(B52-A52)</f>
        <v>616.92291216092895</v>
      </c>
      <c r="P52" s="1">
        <f>$L52*'TABELA AUXILIAR'!$I$5*(B52-A52)</f>
        <v>712.18306771519019</v>
      </c>
      <c r="Q52" s="1">
        <f>$M52*'TABELA AUXILIAR'!$J$3+SUM(N$2:N52)</f>
        <v>21281.914428413183</v>
      </c>
      <c r="R52" s="1">
        <f>$M52*'TABELA AUXILIAR'!$J$4+SUM(O$2:O52)</f>
        <v>23347.215185513254</v>
      </c>
      <c r="S52" s="1">
        <f>$M52*'TABELA AUXILIAR'!$J$5+SUM(P$2:P52)</f>
        <v>27591.82280775614</v>
      </c>
      <c r="T52" s="2">
        <f t="shared" si="7"/>
        <v>10640</v>
      </c>
      <c r="U52" s="2">
        <f t="shared" si="7"/>
        <v>11673</v>
      </c>
      <c r="V52" s="2">
        <f t="shared" si="7"/>
        <v>13795</v>
      </c>
    </row>
    <row r="53" spans="1:22" x14ac:dyDescent="0.25">
      <c r="A53" s="1">
        <v>30.6</v>
      </c>
      <c r="B53" s="1">
        <v>31.2</v>
      </c>
      <c r="C53" s="1">
        <v>50</v>
      </c>
      <c r="D53" s="1" t="s">
        <v>19</v>
      </c>
      <c r="E53" s="1" t="s">
        <v>5</v>
      </c>
      <c r="F53" s="1" cm="1">
        <f t="array" ref="F53">_xlfn.XLOOKUP(D53,'TABELA AUXILIAR'!$A$2:$A$5,IF('SPT-04'!A53&lt;3,'TABELA AUXILIAR'!$B$2:$B$5,'TABELA AUXILIAR'!$C$2:$C$5),"",0,1)</f>
        <v>10.5</v>
      </c>
      <c r="G53" s="6">
        <f t="shared" si="1"/>
        <v>89.275630512230904</v>
      </c>
      <c r="H53" s="2">
        <f t="shared" si="2"/>
        <v>43.13052403989137</v>
      </c>
      <c r="I53" s="2">
        <f t="shared" si="3"/>
        <v>1356.5432056333484</v>
      </c>
      <c r="J53" s="1">
        <f t="shared" si="8"/>
        <v>322.95000000000027</v>
      </c>
      <c r="K53" s="1">
        <f t="shared" si="4"/>
        <v>0.79052453759540231</v>
      </c>
      <c r="L53" s="1">
        <f t="shared" si="5"/>
        <v>255.29989941643538</v>
      </c>
      <c r="M53" s="1">
        <f t="shared" si="6"/>
        <v>2740.0151655774775</v>
      </c>
      <c r="N53" s="1">
        <f>$L53*'TABELA AUXILIAR'!$I$3*(B53-A53)</f>
        <v>575.9565730834762</v>
      </c>
      <c r="O53" s="1">
        <f>$L53*'TABELA AUXILIAR'!$I$4*(B53-A53)</f>
        <v>624.9741537714317</v>
      </c>
      <c r="P53" s="1">
        <f>$L53*'TABELA AUXILIAR'!$I$5*(B53-A53)</f>
        <v>721.47751575084385</v>
      </c>
      <c r="Q53" s="1">
        <f>$M53*'TABELA AUXILIAR'!$J$3+SUM(N$2:N53)</f>
        <v>21894.253673030758</v>
      </c>
      <c r="R53" s="1">
        <f>$M53*'TABELA AUXILIAR'!$J$4+SUM(O$2:O53)</f>
        <v>24014.689451165224</v>
      </c>
      <c r="S53" s="1">
        <f>$M53*'TABELA AUXILIAR'!$J$5+SUM(P$2:P53)</f>
        <v>28369.9671393477</v>
      </c>
      <c r="T53" s="2">
        <f t="shared" si="7"/>
        <v>10947</v>
      </c>
      <c r="U53" s="2">
        <f t="shared" si="7"/>
        <v>12007</v>
      </c>
      <c r="V53" s="2">
        <f t="shared" si="7"/>
        <v>14184</v>
      </c>
    </row>
    <row r="54" spans="1:22" x14ac:dyDescent="0.25">
      <c r="A54" s="1">
        <v>31.2</v>
      </c>
      <c r="B54" s="1">
        <v>31.8</v>
      </c>
      <c r="C54" s="1">
        <v>50</v>
      </c>
      <c r="D54" s="1" t="s">
        <v>19</v>
      </c>
      <c r="E54" s="1" t="s">
        <v>5</v>
      </c>
      <c r="F54" s="1" cm="1">
        <f t="array" ref="F54">_xlfn.XLOOKUP(D54,'TABELA AUXILIAR'!$A$2:$A$5,IF('SPT-04'!A54&lt;3,'TABELA AUXILIAR'!$B$2:$B$5,'TABELA AUXILIAR'!$C$2:$C$5),"",0,1)</f>
        <v>10.5</v>
      </c>
      <c r="G54" s="6">
        <f t="shared" si="1"/>
        <v>90.142204206850323</v>
      </c>
      <c r="H54" s="2">
        <f t="shared" si="2"/>
        <v>43.13052403989137</v>
      </c>
      <c r="I54" s="2">
        <f t="shared" si="3"/>
        <v>1369.7107929230906</v>
      </c>
      <c r="J54" s="1">
        <f t="shared" si="8"/>
        <v>329.25000000000028</v>
      </c>
      <c r="K54" s="1">
        <f t="shared" si="4"/>
        <v>0.78532101787029296</v>
      </c>
      <c r="L54" s="1">
        <f t="shared" si="5"/>
        <v>258.56694513379421</v>
      </c>
      <c r="M54" s="1">
        <f t="shared" si="6"/>
        <v>2771.9619429915874</v>
      </c>
      <c r="N54" s="1">
        <f>$L54*'TABELA AUXILIAR'!$I$3*(B54-A54)</f>
        <v>583.32702822184103</v>
      </c>
      <c r="O54" s="1">
        <f>$L54*'TABELA AUXILIAR'!$I$4*(B54-A54)</f>
        <v>632.97188168752973</v>
      </c>
      <c r="P54" s="1">
        <f>$L54*'TABELA AUXILIAR'!$I$5*(B54-A54)</f>
        <v>730.71018694810414</v>
      </c>
      <c r="Q54" s="1">
        <f>$M54*'TABELA AUXILIAR'!$J$3+SUM(N$2:N54)</f>
        <v>22513.680559730543</v>
      </c>
      <c r="R54" s="1">
        <f>$M54*'TABELA AUXILIAR'!$J$4+SUM(O$2:O54)</f>
        <v>24689.831079039377</v>
      </c>
      <c r="S54" s="1">
        <f>$M54*'TABELA AUXILIAR'!$J$5+SUM(P$2:P54)</f>
        <v>29156.90365454464</v>
      </c>
      <c r="T54" s="2">
        <f t="shared" si="7"/>
        <v>11256</v>
      </c>
      <c r="U54" s="2">
        <f t="shared" si="7"/>
        <v>12344</v>
      </c>
      <c r="V54" s="2">
        <f t="shared" si="7"/>
        <v>14578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18</v>
      </c>
      <c r="E55" s="1" t="s">
        <v>8</v>
      </c>
      <c r="F55" s="1" cm="1">
        <f t="array" ref="F55">_xlfn.XLOOKUP(D55,'TABELA AUXILIAR'!$A$2:$A$5,IF('SPT-04'!A55&lt;3,'TABELA AUXILIAR'!$B$2:$B$5,'TABELA AUXILIAR'!$C$2:$C$5),"",0,1)</f>
        <v>8.5</v>
      </c>
      <c r="G55" s="6">
        <f t="shared" si="1"/>
        <v>90.919130290135953</v>
      </c>
      <c r="H55" s="2">
        <f t="shared" si="2"/>
        <v>43.13052403989137</v>
      </c>
      <c r="I55" s="2">
        <f t="shared" si="3"/>
        <v>1756.4327306633761</v>
      </c>
      <c r="J55" s="1">
        <f t="shared" si="8"/>
        <v>334.95000000000033</v>
      </c>
      <c r="K55" s="1">
        <f t="shared" si="4"/>
        <v>0.92000129559519717</v>
      </c>
      <c r="L55" s="1">
        <f t="shared" si="5"/>
        <v>308.15443395961159</v>
      </c>
      <c r="M55" s="1">
        <f t="shared" si="6"/>
        <v>2800.6560910145927</v>
      </c>
      <c r="N55" s="1">
        <f>$L55*'TABELA AUXILIAR'!$I$3*(B55-A55)</f>
        <v>695.19640301288121</v>
      </c>
      <c r="O55" s="1">
        <f>$L55*'TABELA AUXILIAR'!$I$4*(B55-A55)</f>
        <v>754.36205433312648</v>
      </c>
      <c r="P55" s="1">
        <f>$L55*'TABELA AUXILIAR'!$I$5*(B55-A55)</f>
        <v>870.8444303698592</v>
      </c>
      <c r="Q55" s="1">
        <f>$M55*'TABELA AUXILIAR'!$J$3+SUM(N$2:N55)</f>
        <v>23241.301350009417</v>
      </c>
      <c r="R55" s="1">
        <f>$M55*'TABELA AUXILIAR'!$J$4+SUM(O$2:O55)</f>
        <v>25482.069408762873</v>
      </c>
      <c r="S55" s="1">
        <f>$M55*'TABELA AUXILIAR'!$J$5+SUM(P$2:P55)</f>
        <v>30078.249785434986</v>
      </c>
      <c r="T55" s="2">
        <f t="shared" si="7"/>
        <v>11620</v>
      </c>
      <c r="U55" s="2">
        <f t="shared" si="7"/>
        <v>12741</v>
      </c>
      <c r="V55" s="2">
        <f t="shared" si="7"/>
        <v>15039</v>
      </c>
    </row>
    <row r="56" spans="1:22" x14ac:dyDescent="0.25">
      <c r="A56" s="1">
        <v>32.4</v>
      </c>
      <c r="B56" s="1">
        <v>33</v>
      </c>
      <c r="C56" s="1">
        <v>50</v>
      </c>
      <c r="D56" s="1" t="s">
        <v>18</v>
      </c>
      <c r="E56" s="1" t="s">
        <v>8</v>
      </c>
      <c r="F56" s="1" cm="1">
        <f t="array" ref="F56">_xlfn.XLOOKUP(D56,'TABELA AUXILIAR'!$A$2:$A$5,IF('SPT-04'!A56&lt;3,'TABELA AUXILIAR'!$B$2:$B$5,'TABELA AUXILIAR'!$C$2:$C$5),"",0,1)</f>
        <v>8.5</v>
      </c>
      <c r="G56" s="6">
        <f t="shared" si="1"/>
        <v>91.608689673480285</v>
      </c>
      <c r="H56" s="2">
        <f t="shared" si="2"/>
        <v>43.13052403989137</v>
      </c>
      <c r="I56" s="2">
        <f t="shared" si="3"/>
        <v>1767.0817446293572</v>
      </c>
      <c r="J56" s="1">
        <f t="shared" si="8"/>
        <v>340.05000000000035</v>
      </c>
      <c r="K56" s="1">
        <f t="shared" si="4"/>
        <v>0.91431615916861741</v>
      </c>
      <c r="L56" s="1">
        <f t="shared" si="5"/>
        <v>310.9132099252887</v>
      </c>
      <c r="M56" s="1">
        <f t="shared" si="6"/>
        <v>2826.1646557252129</v>
      </c>
      <c r="N56" s="1">
        <f>$L56*'TABELA AUXILIAR'!$I$3*(B56-A56)</f>
        <v>701.42020159145295</v>
      </c>
      <c r="O56" s="1">
        <f>$L56*'TABELA AUXILIAR'!$I$4*(B56-A56)</f>
        <v>761.11553789710854</v>
      </c>
      <c r="P56" s="1">
        <f>$L56*'TABELA AUXILIAR'!$I$5*(B56-A56)</f>
        <v>878.64073124886795</v>
      </c>
      <c r="Q56" s="1">
        <f>$M56*'TABELA AUXILIAR'!$J$3+SUM(N$2:N56)</f>
        <v>23971.54622972387</v>
      </c>
      <c r="R56" s="1">
        <f>$M56*'TABELA AUXILIAR'!$J$4+SUM(O$2:O56)</f>
        <v>26276.856252078</v>
      </c>
      <c r="S56" s="1">
        <f>$M56*'TABELA AUXILIAR'!$J$5+SUM(P$2:P56)</f>
        <v>31001.785590574545</v>
      </c>
      <c r="T56" s="2">
        <f t="shared" si="7"/>
        <v>11985</v>
      </c>
      <c r="U56" s="2">
        <f t="shared" si="7"/>
        <v>13138</v>
      </c>
      <c r="V56" s="2">
        <f t="shared" si="7"/>
        <v>15500</v>
      </c>
    </row>
    <row r="57" spans="1:22" x14ac:dyDescent="0.25">
      <c r="A57" s="1">
        <v>33</v>
      </c>
      <c r="B57" s="1">
        <v>33.6</v>
      </c>
      <c r="C57" s="1">
        <v>50</v>
      </c>
      <c r="D57" s="1" t="s">
        <v>18</v>
      </c>
      <c r="E57" s="1" t="s">
        <v>8</v>
      </c>
      <c r="F57" s="1" cm="1">
        <f t="array" ref="F57">_xlfn.XLOOKUP(D57,'TABELA AUXILIAR'!$A$2:$A$5,IF('SPT-04'!A57&lt;3,'TABELA AUXILIAR'!$B$2:$B$5,'TABELA AUXILIAR'!$C$2:$C$5),"",0,1)</f>
        <v>8.5</v>
      </c>
      <c r="G57" s="6">
        <f t="shared" si="1"/>
        <v>92.293097221131916</v>
      </c>
      <c r="H57" s="2">
        <f t="shared" si="2"/>
        <v>43.13052403989137</v>
      </c>
      <c r="I57" s="2">
        <f t="shared" si="3"/>
        <v>1777.6353568008599</v>
      </c>
      <c r="J57" s="1">
        <f t="shared" si="8"/>
        <v>345.15000000000038</v>
      </c>
      <c r="K57" s="1">
        <f t="shared" si="4"/>
        <v>0.90875000746188572</v>
      </c>
      <c r="L57" s="1">
        <f t="shared" si="5"/>
        <v>313.65506507547019</v>
      </c>
      <c r="M57" s="1">
        <f t="shared" si="6"/>
        <v>2851.5206428106312</v>
      </c>
      <c r="N57" s="1">
        <f>$L57*'TABELA AUXILIAR'!$I$3*(B57-A57)</f>
        <v>707.60582681026244</v>
      </c>
      <c r="O57" s="1">
        <f>$L57*'TABELA AUXILIAR'!$I$4*(B57-A57)</f>
        <v>767.82759930475288</v>
      </c>
      <c r="P57" s="1">
        <f>$L57*'TABELA AUXILIAR'!$I$5*(B57-A57)</f>
        <v>886.38921390328073</v>
      </c>
      <c r="Q57" s="1">
        <f>$M57*'TABELA AUXILIAR'!$J$3+SUM(N$2:N57)</f>
        <v>24707.804321940657</v>
      </c>
      <c r="R57" s="1">
        <f>$M57*'TABELA AUXILIAR'!$J$4+SUM(O$2:O57)</f>
        <v>27078.153754335508</v>
      </c>
      <c r="S57" s="1">
        <f>$M57*'TABELA AUXILIAR'!$J$5+SUM(P$2:P57)</f>
        <v>31932.801341748163</v>
      </c>
      <c r="T57" s="2">
        <f t="shared" si="7"/>
        <v>12353</v>
      </c>
      <c r="U57" s="2">
        <f t="shared" si="7"/>
        <v>13539</v>
      </c>
      <c r="V57" s="2">
        <f t="shared" si="7"/>
        <v>15966</v>
      </c>
    </row>
    <row r="58" spans="1:22" x14ac:dyDescent="0.25">
      <c r="A58" s="1">
        <v>33.6</v>
      </c>
      <c r="B58" s="1">
        <v>34.200000000000003</v>
      </c>
      <c r="C58" s="1">
        <v>50</v>
      </c>
      <c r="D58" s="1" t="s">
        <v>18</v>
      </c>
      <c r="E58" s="1" t="s">
        <v>8</v>
      </c>
      <c r="F58" s="1" cm="1">
        <f t="array" ref="F58">_xlfn.XLOOKUP(D58,'TABELA AUXILIAR'!$A$2:$A$5,IF('SPT-04'!A58&lt;3,'TABELA AUXILIAR'!$B$2:$B$5,'TABELA AUXILIAR'!$C$2:$C$5),"",0,1)</f>
        <v>8.5</v>
      </c>
      <c r="G58" s="6">
        <f t="shared" si="1"/>
        <v>92.972466707335485</v>
      </c>
      <c r="H58" s="2">
        <f t="shared" si="2"/>
        <v>43.13052403989137</v>
      </c>
      <c r="I58" s="2">
        <f t="shared" si="3"/>
        <v>1788.0958128521806</v>
      </c>
      <c r="J58" s="1">
        <f t="shared" si="8"/>
        <v>350.2500000000004</v>
      </c>
      <c r="K58" s="1">
        <f t="shared" si="4"/>
        <v>0.90329864655031233</v>
      </c>
      <c r="L58" s="1">
        <f t="shared" si="5"/>
        <v>316.38035095424726</v>
      </c>
      <c r="M58" s="1">
        <f t="shared" si="6"/>
        <v>2876.7271995127076</v>
      </c>
      <c r="N58" s="1">
        <f>$L58*'TABELA AUXILIAR'!$I$3*(B58-A58)</f>
        <v>713.75407175278349</v>
      </c>
      <c r="O58" s="1">
        <f>$L58*'TABELA AUXILIAR'!$I$4*(B58-A58)</f>
        <v>774.49909913599913</v>
      </c>
      <c r="P58" s="1">
        <f>$L58*'TABELA AUXILIAR'!$I$5*(B58-A58)</f>
        <v>894.09087179670485</v>
      </c>
      <c r="Q58" s="1">
        <f>$M58*'TABELA AUXILIAR'!$J$3+SUM(N$2:N58)</f>
        <v>25450.041802766787</v>
      </c>
      <c r="R58" s="1">
        <f>$M58*'TABELA AUXILIAR'!$J$4+SUM(O$2:O58)</f>
        <v>27885.925508318247</v>
      </c>
      <c r="S58" s="1">
        <f>$M58*'TABELA AUXILIAR'!$J$5+SUM(P$2:P58)</f>
        <v>32871.25575334052</v>
      </c>
      <c r="T58" s="2">
        <f t="shared" si="7"/>
        <v>12725</v>
      </c>
      <c r="U58" s="2">
        <f t="shared" si="7"/>
        <v>13942</v>
      </c>
      <c r="V58" s="2">
        <f t="shared" si="7"/>
        <v>16435</v>
      </c>
    </row>
    <row r="59" spans="1:22" x14ac:dyDescent="0.25">
      <c r="A59" s="1">
        <v>34.200000000000003</v>
      </c>
      <c r="B59" s="1">
        <v>34.799999999999997</v>
      </c>
      <c r="C59" s="1">
        <v>50</v>
      </c>
      <c r="D59" s="1" t="s">
        <v>18</v>
      </c>
      <c r="E59" s="1" t="s">
        <v>8</v>
      </c>
      <c r="F59" s="1" cm="1">
        <f t="array" ref="F59">_xlfn.XLOOKUP(D59,'TABELA AUXILIAR'!$A$2:$A$5,IF('SPT-04'!A59&lt;3,'TABELA AUXILIAR'!$B$2:$B$5,'TABELA AUXILIAR'!$C$2:$C$5),"",0,1)</f>
        <v>8.5</v>
      </c>
      <c r="G59" s="6">
        <f t="shared" si="1"/>
        <v>93.646907779295617</v>
      </c>
      <c r="H59" s="2">
        <f t="shared" si="2"/>
        <v>43.13052403989137</v>
      </c>
      <c r="I59" s="2">
        <f t="shared" si="3"/>
        <v>1798.4652738015227</v>
      </c>
      <c r="J59" s="1">
        <f t="shared" si="8"/>
        <v>355.35000000000036</v>
      </c>
      <c r="K59" s="1">
        <f t="shared" si="4"/>
        <v>0.89795808865577631</v>
      </c>
      <c r="L59" s="1">
        <f t="shared" si="5"/>
        <v>319.08940680383046</v>
      </c>
      <c r="M59" s="1">
        <f t="shared" si="6"/>
        <v>2901.7873633970135</v>
      </c>
      <c r="N59" s="1">
        <f>$L59*'TABELA AUXILIAR'!$I$3*(B59-A59)</f>
        <v>719.86570174943461</v>
      </c>
      <c r="O59" s="1">
        <f>$L59*'TABELA AUXILIAR'!$I$4*(B59-A59)</f>
        <v>781.13086785576968</v>
      </c>
      <c r="P59" s="1">
        <f>$L59*'TABELA AUXILIAR'!$I$5*(B59-A59)</f>
        <v>901.74666362761627</v>
      </c>
      <c r="Q59" s="1">
        <f>$M59*'TABELA AUXILIAR'!$J$3+SUM(N$2:N59)</f>
        <v>26198.225489705488</v>
      </c>
      <c r="R59" s="1">
        <f>$M59*'TABELA AUXILIAR'!$J$4+SUM(O$2:O59)</f>
        <v>28700.1357925013</v>
      </c>
      <c r="S59" s="1">
        <f>$M59*'TABELA AUXILIAR'!$J$5+SUM(P$2:P59)</f>
        <v>33817.108305404516</v>
      </c>
      <c r="T59" s="2">
        <f t="shared" si="7"/>
        <v>13099</v>
      </c>
      <c r="U59" s="2">
        <f t="shared" si="7"/>
        <v>14350</v>
      </c>
      <c r="V59" s="2">
        <f t="shared" si="7"/>
        <v>16908</v>
      </c>
    </row>
    <row r="60" spans="1:22" x14ac:dyDescent="0.25">
      <c r="A60" s="1">
        <v>34.799999999999997</v>
      </c>
      <c r="B60" s="1">
        <v>35.4</v>
      </c>
      <c r="C60" s="1">
        <v>50</v>
      </c>
      <c r="D60" s="1" t="s">
        <v>18</v>
      </c>
      <c r="E60" s="1" t="s">
        <v>8</v>
      </c>
      <c r="F60" s="1" cm="1">
        <f t="array" ref="F60">_xlfn.XLOOKUP(D60,'TABELA AUXILIAR'!$A$2:$A$5,IF('SPT-04'!A60&lt;3,'TABELA AUXILIAR'!$B$2:$B$5,'TABELA AUXILIAR'!$C$2:$C$5),"",0,1)</f>
        <v>8.5</v>
      </c>
      <c r="G60" s="6">
        <f t="shared" si="1"/>
        <v>94.316526163770433</v>
      </c>
      <c r="H60" s="2">
        <f t="shared" si="2"/>
        <v>43.13052403989137</v>
      </c>
      <c r="I60" s="2">
        <f t="shared" si="3"/>
        <v>1808.7458203666877</v>
      </c>
      <c r="J60" s="1">
        <f t="shared" si="8"/>
        <v>360.45000000000033</v>
      </c>
      <c r="K60" s="1">
        <f t="shared" si="4"/>
        <v>0.8927245392286034</v>
      </c>
      <c r="L60" s="1">
        <f t="shared" si="5"/>
        <v>321.78256016495038</v>
      </c>
      <c r="M60" s="1">
        <f t="shared" si="6"/>
        <v>2926.7040676900515</v>
      </c>
      <c r="N60" s="1">
        <f>$L60*'TABELA AUXILIAR'!$I$3*(B60-A60)</f>
        <v>725.94145573212973</v>
      </c>
      <c r="O60" s="1">
        <f>$L60*'TABELA AUXILIAR'!$I$4*(B60-A60)</f>
        <v>787.72370728380042</v>
      </c>
      <c r="P60" s="1">
        <f>$L60*'TABELA AUXILIAR'!$I$5*(B60-A60)</f>
        <v>909.35751502615199</v>
      </c>
      <c r="Q60" s="1">
        <f>$M60*'TABELA AUXILIAR'!$J$3+SUM(N$2:N60)</f>
        <v>26952.322821288748</v>
      </c>
      <c r="R60" s="1">
        <f>$M60*'TABELA AUXILIAR'!$J$4+SUM(O$2:O60)</f>
        <v>29520.74954945191</v>
      </c>
      <c r="S60" s="1">
        <f>$M60*'TABELA AUXILIAR'!$J$5+SUM(P$2:P60)</f>
        <v>34770.319219986413</v>
      </c>
      <c r="T60" s="2">
        <f t="shared" si="7"/>
        <v>13476</v>
      </c>
      <c r="U60" s="2">
        <f t="shared" si="7"/>
        <v>14760</v>
      </c>
      <c r="V60" s="2">
        <f t="shared" si="7"/>
        <v>17385</v>
      </c>
    </row>
    <row r="61" spans="1:22" x14ac:dyDescent="0.25">
      <c r="A61" s="1">
        <v>35.4</v>
      </c>
      <c r="B61" s="1">
        <v>36</v>
      </c>
      <c r="C61" s="1">
        <v>50</v>
      </c>
      <c r="D61" s="1" t="s">
        <v>18</v>
      </c>
      <c r="E61" s="1" t="s">
        <v>2</v>
      </c>
      <c r="F61" s="1" cm="1">
        <f t="array" ref="F61">_xlfn.XLOOKUP(D61,'TABELA AUXILIAR'!$A$2:$A$5,IF('SPT-04'!A61&lt;3,'TABELA AUXILIAR'!$B$2:$B$5,'TABELA AUXILIAR'!$C$2:$C$5),"",0,1)</f>
        <v>8.5</v>
      </c>
      <c r="G61" s="6">
        <f t="shared" si="1"/>
        <v>94.981423860555424</v>
      </c>
      <c r="H61" s="2">
        <f t="shared" si="2"/>
        <v>43.13052403989137</v>
      </c>
      <c r="I61" s="2">
        <f t="shared" si="3"/>
        <v>1818.9394570384454</v>
      </c>
      <c r="J61" s="1">
        <f t="shared" si="8"/>
        <v>365.55000000000035</v>
      </c>
      <c r="K61" s="1">
        <f t="shared" si="4"/>
        <v>0.88759438500861043</v>
      </c>
      <c r="L61" s="1">
        <f t="shared" si="5"/>
        <v>324.46012743989786</v>
      </c>
      <c r="M61" s="1">
        <f t="shared" si="6"/>
        <v>2951.4801462850737</v>
      </c>
      <c r="N61" s="1">
        <f>$L61*'TABELA AUXILIAR'!$I$3*(B61-A61)</f>
        <v>731.98204750441118</v>
      </c>
      <c r="O61" s="1">
        <f>$L61*'TABELA AUXILIAR'!$I$4*(B61-A61)</f>
        <v>794.27839197287187</v>
      </c>
      <c r="P61" s="1">
        <f>$L61*'TABELA AUXILIAR'!$I$5*(B61-A61)</f>
        <v>916.9243201451535</v>
      </c>
      <c r="Q61" s="1">
        <f>$M61*'TABELA AUXILIAR'!$J$3+SUM(N$2:N61)</f>
        <v>27712.301837605533</v>
      </c>
      <c r="R61" s="1">
        <f>$M61*'TABELA AUXILIAR'!$J$4+SUM(O$2:O61)</f>
        <v>30347.73236517021</v>
      </c>
      <c r="S61" s="1">
        <f>$M61*'TABELA AUXILIAR'!$J$5+SUM(P$2:P61)</f>
        <v>35730.849438458805</v>
      </c>
      <c r="T61" s="2">
        <f t="shared" si="7"/>
        <v>13856</v>
      </c>
      <c r="U61" s="2">
        <f t="shared" si="7"/>
        <v>15173</v>
      </c>
      <c r="V61" s="2">
        <f t="shared" si="7"/>
        <v>17865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18</v>
      </c>
      <c r="E62" s="1" t="s">
        <v>2</v>
      </c>
      <c r="F62" s="1" cm="1">
        <f t="array" ref="F62">_xlfn.XLOOKUP(D62,'TABELA AUXILIAR'!$A$2:$A$5,IF('SPT-04'!A62&lt;3,'TABELA AUXILIAR'!$B$2:$B$5,'TABELA AUXILIAR'!$C$2:$C$5),"",0,1)</f>
        <v>8.5</v>
      </c>
      <c r="G62" s="6">
        <f t="shared" si="1"/>
        <v>95.641699323860749</v>
      </c>
      <c r="H62" s="2">
        <f t="shared" si="2"/>
        <v>43.13052403989137</v>
      </c>
      <c r="I62" s="2">
        <f t="shared" si="3"/>
        <v>1829.0481158935313</v>
      </c>
      <c r="J62" s="1">
        <f t="shared" si="8"/>
        <v>370.65000000000038</v>
      </c>
      <c r="K62" s="1">
        <f t="shared" si="4"/>
        <v>0.88256418297858485</v>
      </c>
      <c r="L62" s="1">
        <f t="shared" si="5"/>
        <v>327.12241442101282</v>
      </c>
      <c r="M62" s="1">
        <f t="shared" si="6"/>
        <v>2976.1183384414303</v>
      </c>
      <c r="N62" s="1">
        <f>$L62*'TABELA AUXILIAR'!$I$3*(B62-A62)</f>
        <v>737.98816693380661</v>
      </c>
      <c r="O62" s="1">
        <f>$L62*'TABELA AUXILIAR'!$I$4*(B62-A62)</f>
        <v>800.7956705026412</v>
      </c>
      <c r="P62" s="1">
        <f>$L62*'TABELA AUXILIAR'!$I$5*(B62-A62)</f>
        <v>924.44794315378442</v>
      </c>
      <c r="Q62" s="1">
        <f>$M62*'TABELA AUXILIAR'!$J$3+SUM(N$2:N62)</f>
        <v>28478.131161676025</v>
      </c>
      <c r="R62" s="1">
        <f>$M62*'TABELA AUXILIAR'!$J$4+SUM(O$2:O62)</f>
        <v>31181.050449319242</v>
      </c>
      <c r="S62" s="1">
        <f>$M62*'TABELA AUXILIAR'!$J$5+SUM(P$2:P62)</f>
        <v>36698.660599807779</v>
      </c>
      <c r="T62" s="2">
        <f t="shared" si="7"/>
        <v>14239</v>
      </c>
      <c r="U62" s="2">
        <f t="shared" si="7"/>
        <v>15590</v>
      </c>
      <c r="V62" s="2">
        <f t="shared" si="7"/>
        <v>18349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18</v>
      </c>
      <c r="E63" s="1" t="s">
        <v>2</v>
      </c>
      <c r="F63" s="1" cm="1">
        <f t="array" ref="F63">_xlfn.XLOOKUP(D63,'TABELA AUXILIAR'!$A$2:$A$5,IF('SPT-04'!A63&lt;3,'TABELA AUXILIAR'!$B$2:$B$5,'TABELA AUXILIAR'!$C$2:$C$5),"",0,1)</f>
        <v>8.5</v>
      </c>
      <c r="G63" s="6">
        <f t="shared" si="1"/>
        <v>96.297447632494809</v>
      </c>
      <c r="H63" s="2">
        <f t="shared" si="2"/>
        <v>43.13052403989137</v>
      </c>
      <c r="I63" s="2">
        <f t="shared" si="3"/>
        <v>1839.0736601672747</v>
      </c>
      <c r="J63" s="1">
        <f t="shared" si="8"/>
        <v>375.7500000000004</v>
      </c>
      <c r="K63" s="1">
        <f t="shared" si="4"/>
        <v>0.87763065013224373</v>
      </c>
      <c r="L63" s="1">
        <f t="shared" si="5"/>
        <v>329.76971678719093</v>
      </c>
      <c r="M63" s="1">
        <f t="shared" si="6"/>
        <v>3000.6212932001386</v>
      </c>
      <c r="N63" s="1">
        <f>$L63*'TABELA AUXILIAR'!$I$3*(B63-A63)</f>
        <v>743.96048107190438</v>
      </c>
      <c r="O63" s="1">
        <f>$L63*'TABELA AUXILIAR'!$I$4*(B63-A63)</f>
        <v>807.27626669504536</v>
      </c>
      <c r="P63" s="1">
        <f>$L63*'TABELA AUXILIAR'!$I$5*(B63-A63)</f>
        <v>931.92921964060372</v>
      </c>
      <c r="Q63" s="1">
        <f>$M63*'TABELA AUXILIAR'!$J$3+SUM(N$2:N63)</f>
        <v>29249.779981625266</v>
      </c>
      <c r="R63" s="1">
        <f>$M63*'TABELA AUXILIAR'!$J$4+SUM(O$2:O63)</f>
        <v>32020.670616295778</v>
      </c>
      <c r="S63" s="1">
        <f>$M63*'TABELA AUXILIAR'!$J$5+SUM(P$2:P63)</f>
        <v>37673.715019823707</v>
      </c>
      <c r="T63" s="2">
        <f t="shared" si="7"/>
        <v>14624</v>
      </c>
      <c r="U63" s="2">
        <f t="shared" si="7"/>
        <v>16010</v>
      </c>
      <c r="V63" s="2">
        <f t="shared" si="7"/>
        <v>18836</v>
      </c>
    </row>
    <row r="64" spans="1:22" x14ac:dyDescent="0.25">
      <c r="A64" s="1">
        <v>37.200000000000003</v>
      </c>
      <c r="B64" s="1">
        <v>37.799999999999997</v>
      </c>
      <c r="C64" s="1">
        <v>50</v>
      </c>
      <c r="D64" s="1" t="s">
        <v>18</v>
      </c>
      <c r="E64" s="1" t="s">
        <v>2</v>
      </c>
      <c r="F64" s="1" cm="1">
        <f t="array" ref="F64">_xlfn.XLOOKUP(D64,'TABELA AUXILIAR'!$A$2:$A$5,IF('SPT-04'!A64&lt;3,'TABELA AUXILIAR'!$B$2:$B$5,'TABELA AUXILIAR'!$C$2:$C$5),"",0,1)</f>
        <v>8.5</v>
      </c>
      <c r="G64" s="6">
        <f t="shared" si="1"/>
        <v>96.948760649687401</v>
      </c>
      <c r="H64" s="2">
        <f t="shared" si="2"/>
        <v>43.13052403989137</v>
      </c>
      <c r="I64" s="2">
        <f t="shared" si="3"/>
        <v>1849.0178876040397</v>
      </c>
      <c r="J64" s="1">
        <f t="shared" si="8"/>
        <v>380.85000000000036</v>
      </c>
      <c r="K64" s="1">
        <f t="shared" si="4"/>
        <v>0.87279065398646782</v>
      </c>
      <c r="L64" s="1">
        <f t="shared" si="5"/>
        <v>332.40232057074661</v>
      </c>
      <c r="M64" s="1">
        <f t="shared" si="6"/>
        <v>3024.9915735364566</v>
      </c>
      <c r="N64" s="1">
        <f>$L64*'TABELA AUXILIAR'!$I$3*(B64-A64)</f>
        <v>749.89963520759727</v>
      </c>
      <c r="O64" s="1">
        <f>$L64*'TABELA AUXILIAR'!$I$4*(B64-A64)</f>
        <v>813.72088075718</v>
      </c>
      <c r="P64" s="1">
        <f>$L64*'TABELA AUXILIAR'!$I$5*(B64-A64)</f>
        <v>939.36895793292103</v>
      </c>
      <c r="Q64" s="1">
        <f>$M64*'TABELA AUXILIAR'!$J$3+SUM(N$2:N64)</f>
        <v>30027.218033612902</v>
      </c>
      <c r="R64" s="1">
        <f>$M64*'TABELA AUXILIAR'!$J$4+SUM(O$2:O64)</f>
        <v>32866.560267096902</v>
      </c>
      <c r="S64" s="1">
        <f>$M64*'TABELA AUXILIAR'!$J$5+SUM(P$2:P64)</f>
        <v>38655.975671148546</v>
      </c>
      <c r="T64" s="2">
        <f t="shared" si="7"/>
        <v>15013</v>
      </c>
      <c r="U64" s="2">
        <f t="shared" si="7"/>
        <v>16433</v>
      </c>
      <c r="V64" s="2">
        <f t="shared" si="7"/>
        <v>19327</v>
      </c>
    </row>
    <row r="65" spans="1:22" x14ac:dyDescent="0.25">
      <c r="A65" s="1">
        <v>37.799999999999997</v>
      </c>
      <c r="B65" s="1">
        <v>38.4</v>
      </c>
      <c r="C65" s="1">
        <v>50</v>
      </c>
      <c r="D65" s="1" t="s">
        <v>18</v>
      </c>
      <c r="E65" s="1" t="s">
        <v>2</v>
      </c>
      <c r="F65" s="1" cm="1">
        <f t="array" ref="F65">_xlfn.XLOOKUP(D65,'TABELA AUXILIAR'!$A$2:$A$5,IF('SPT-04'!A65&lt;3,'TABELA AUXILIAR'!$B$2:$B$5,'TABELA AUXILIAR'!$C$2:$C$5),"",0,1)</f>
        <v>8.5</v>
      </c>
      <c r="G65" s="6">
        <f t="shared" si="1"/>
        <v>97.595727173312611</v>
      </c>
      <c r="H65" s="2">
        <f t="shared" si="2"/>
        <v>43.13052403989137</v>
      </c>
      <c r="I65" s="2">
        <f t="shared" si="3"/>
        <v>1858.8825336020855</v>
      </c>
      <c r="J65" s="1">
        <f t="shared" si="8"/>
        <v>385.95000000000033</v>
      </c>
      <c r="K65" s="1">
        <f t="shared" si="4"/>
        <v>0.86804120377452221</v>
      </c>
      <c r="L65" s="1">
        <f t="shared" si="5"/>
        <v>335.02050259677713</v>
      </c>
      <c r="M65" s="1">
        <f t="shared" si="6"/>
        <v>3049.2316602683663</v>
      </c>
      <c r="N65" s="1">
        <f>$L65*'TABELA AUXILIAR'!$I$3*(B65-A65)</f>
        <v>755.80625385833093</v>
      </c>
      <c r="O65" s="1">
        <f>$L65*'TABELA AUXILIAR'!$I$4*(B65-A65)</f>
        <v>820.13019035691229</v>
      </c>
      <c r="P65" s="1">
        <f>$L65*'TABELA AUXILIAR'!$I$5*(B65-A65)</f>
        <v>946.76794033849444</v>
      </c>
      <c r="Q65" s="1">
        <f>$M65*'TABELA AUXILIAR'!$J$3+SUM(N$2:N65)</f>
        <v>30810.415585478295</v>
      </c>
      <c r="R65" s="1">
        <f>$M65*'TABELA AUXILIAR'!$J$4+SUM(O$2:O65)</f>
        <v>33718.68737193993</v>
      </c>
      <c r="S65" s="1">
        <f>$M65*'TABELA AUXILIAR'!$J$5+SUM(P$2:P65)</f>
        <v>39645.406164135202</v>
      </c>
      <c r="T65" s="2">
        <f t="shared" si="7"/>
        <v>15405</v>
      </c>
      <c r="U65" s="2">
        <f t="shared" si="7"/>
        <v>16859</v>
      </c>
      <c r="V65" s="2">
        <f t="shared" si="7"/>
        <v>19822</v>
      </c>
    </row>
    <row r="66" spans="1:22" x14ac:dyDescent="0.25">
      <c r="A66" s="1">
        <v>38.4</v>
      </c>
      <c r="B66" s="1">
        <v>39</v>
      </c>
      <c r="C66" s="1">
        <v>50</v>
      </c>
      <c r="D66" s="1" t="s">
        <v>18</v>
      </c>
      <c r="E66" s="1" t="s">
        <v>2</v>
      </c>
      <c r="F66" s="1" cm="1">
        <f t="array" ref="F66">_xlfn.XLOOKUP(D66,'TABELA AUXILIAR'!$A$2:$A$5,IF('SPT-04'!A66&lt;3,'TABELA AUXILIAR'!$B$2:$B$5,'TABELA AUXILIAR'!$C$2:$C$5),"",0,1)</f>
        <v>8.5</v>
      </c>
      <c r="G66" s="6">
        <f t="shared" si="1"/>
        <v>98.238433077207432</v>
      </c>
      <c r="H66" s="2">
        <f t="shared" si="2"/>
        <v>43.13052403989137</v>
      </c>
      <c r="I66" s="2">
        <f t="shared" si="3"/>
        <v>1868.6692741680029</v>
      </c>
      <c r="J66" s="1">
        <f t="shared" si="8"/>
        <v>391.05000000000035</v>
      </c>
      <c r="K66" s="1">
        <f t="shared" si="4"/>
        <v>0.86337944226310614</v>
      </c>
      <c r="L66" s="1">
        <f t="shared" si="5"/>
        <v>337.62453089698795</v>
      </c>
      <c r="M66" s="1">
        <f t="shared" si="6"/>
        <v>3073.3439557384095</v>
      </c>
      <c r="N66" s="1">
        <f>$L66*'TABELA AUXILIAR'!$I$3*(B66-A66)</f>
        <v>761.68094170360655</v>
      </c>
      <c r="O66" s="1">
        <f>$L66*'TABELA AUXILIAR'!$I$4*(B66-A66)</f>
        <v>826.50485163582846</v>
      </c>
      <c r="P66" s="1">
        <f>$L66*'TABELA AUXILIAR'!$I$5*(B66-A66)</f>
        <v>954.12692431489018</v>
      </c>
      <c r="Q66" s="1">
        <f>$M66*'TABELA AUXILIAR'!$J$3+SUM(N$2:N66)</f>
        <v>31599.343421063048</v>
      </c>
      <c r="R66" s="1">
        <f>$M66*'TABELA AUXILIAR'!$J$4+SUM(O$2:O66)</f>
        <v>34577.020453596218</v>
      </c>
      <c r="S66" s="1">
        <f>$M66*'TABELA AUXILIAR'!$J$5+SUM(P$2:P66)</f>
        <v>40641.970728477369</v>
      </c>
      <c r="T66" s="2">
        <f t="shared" si="7"/>
        <v>15799</v>
      </c>
      <c r="U66" s="2">
        <f t="shared" si="7"/>
        <v>17288</v>
      </c>
      <c r="V66" s="2">
        <f t="shared" si="7"/>
        <v>20320</v>
      </c>
    </row>
    <row r="67" spans="1:22" x14ac:dyDescent="0.25">
      <c r="A67" s="1">
        <v>39</v>
      </c>
      <c r="B67" s="1">
        <v>39.6</v>
      </c>
      <c r="C67" s="1">
        <v>34</v>
      </c>
      <c r="D67" s="1" t="s">
        <v>18</v>
      </c>
      <c r="E67" s="1" t="s">
        <v>6</v>
      </c>
      <c r="F67" s="1" cm="1">
        <f t="array" ref="F67">_xlfn.XLOOKUP(D67,'TABELA AUXILIAR'!$A$2:$A$5,IF('SPT-04'!A67&lt;3,'TABELA AUXILIAR'!$B$2:$B$5,'TABELA AUXILIAR'!$C$2:$C$5),"",0,1)</f>
        <v>8.5</v>
      </c>
      <c r="G67" s="6">
        <f t="shared" ref="G67:G75" si="9">C67 / MIN(2, SQRT(101.3/J67))</f>
        <v>67.236333782071299</v>
      </c>
      <c r="H67" s="2">
        <f t="shared" ref="H67:H75" si="10">27.5+9.2*LOG10(C67)</f>
        <v>41.589606036788744</v>
      </c>
      <c r="I67" s="2">
        <f t="shared" ref="I67:I75" si="11">IF(D67="Areias",101.3*0.47*(G67)^0.8,101.3*0.15*(G67))</f>
        <v>1379.7186121656682</v>
      </c>
      <c r="J67" s="1">
        <f t="shared" si="8"/>
        <v>396.15000000000038</v>
      </c>
      <c r="K67" s="1">
        <f t="shared" ref="K67:K75" si="12">(1-SIN(RADIANS(H67)))*(I67/J67)^SIN(RADIANS(H67))*TAN(RADIANS(H67))</f>
        <v>0.68314875288387922</v>
      </c>
      <c r="L67" s="1">
        <f t="shared" ref="L67:L75" si="13">K67*J67</f>
        <v>270.62937845494901</v>
      </c>
      <c r="M67" s="1">
        <f t="shared" ref="M67:M75" si="14">0.59*(G67*101.3/J67)^0.8*J67</f>
        <v>2275.0697688909086</v>
      </c>
      <c r="N67" s="1">
        <f>$L67*'TABELA AUXILIAR'!$I$3*(B67-A67)</f>
        <v>610.53987779436636</v>
      </c>
      <c r="O67" s="1">
        <f>$L67*'TABELA AUXILIAR'!$I$4*(B67-A67)</f>
        <v>662.50071845771674</v>
      </c>
      <c r="P67" s="1">
        <f>$L67*'TABELA AUXILIAR'!$I$5*(B67-A67)</f>
        <v>764.79862351368774</v>
      </c>
      <c r="Q67" s="1">
        <f>$M67*'TABELA AUXILIAR'!$J$3+SUM(N$2:N67)</f>
        <v>31307.833467719738</v>
      </c>
      <c r="R67" s="1">
        <f>$M67*'TABELA AUXILIAR'!$J$4+SUM(O$2:O67)</f>
        <v>34185.799245415234</v>
      </c>
      <c r="S67" s="1">
        <f>$M67*'TABELA AUXILIAR'!$J$5+SUM(P$2:P67)</f>
        <v>40001.806783139451</v>
      </c>
      <c r="T67" s="2">
        <f t="shared" ref="T67:V75" si="15">ROUNDDOWN(Q67/2,0)</f>
        <v>15653</v>
      </c>
      <c r="U67" s="2">
        <f t="shared" si="15"/>
        <v>17092</v>
      </c>
      <c r="V67" s="2">
        <f t="shared" si="15"/>
        <v>20000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18</v>
      </c>
      <c r="E68" s="1" t="s">
        <v>6</v>
      </c>
      <c r="F68" s="1" cm="1">
        <f t="array" ref="F68">_xlfn.XLOOKUP(D68,'TABELA AUXILIAR'!$A$2:$A$5,IF('SPT-04'!A68&lt;3,'TABELA AUXILIAR'!$B$2:$B$5,'TABELA AUXILIAR'!$C$2:$C$5),"",0,1)</f>
        <v>8.5</v>
      </c>
      <c r="G68" s="6">
        <f t="shared" si="9"/>
        <v>99.511392691588611</v>
      </c>
      <c r="H68" s="2">
        <f t="shared" si="10"/>
        <v>43.13052403989137</v>
      </c>
      <c r="I68" s="2">
        <f t="shared" si="11"/>
        <v>1888.0154625747161</v>
      </c>
      <c r="J68" s="1">
        <f t="shared" ref="J68:J75" si="16">J67+(B67-A67)/2*F67+(B68-A68)/2*F68</f>
        <v>401.2500000000004</v>
      </c>
      <c r="K68" s="1">
        <f t="shared" si="12"/>
        <v>0.85430817893637157</v>
      </c>
      <c r="L68" s="1">
        <f t="shared" si="13"/>
        <v>342.79115679821945</v>
      </c>
      <c r="M68" s="1">
        <f t="shared" si="14"/>
        <v>3121.1944105161288</v>
      </c>
      <c r="N68" s="1">
        <f>$L68*'TABELA AUXILIAR'!$I$3*(B68-A68)</f>
        <v>773.33684973678476</v>
      </c>
      <c r="O68" s="1">
        <f>$L68*'TABELA AUXILIAR'!$I$4*(B68-A68)</f>
        <v>839.15275184204313</v>
      </c>
      <c r="P68" s="1">
        <f>$L68*'TABELA AUXILIAR'!$I$5*(B68-A68)</f>
        <v>968.7278091117704</v>
      </c>
      <c r="Q68" s="1">
        <f>$M68*'TABELA AUXILIAR'!$J$3+SUM(N$2:N68)</f>
        <v>33037.29116249302</v>
      </c>
      <c r="R68" s="1">
        <f>$M68*'TABELA AUXILIAR'!$J$4+SUM(O$2:O68)</f>
        <v>36141.836524202568</v>
      </c>
      <c r="S68" s="1">
        <f>$M68*'TABELA AUXILIAR'!$J$5+SUM(P$2:P68)</f>
        <v>42459.71396151161</v>
      </c>
      <c r="T68" s="2">
        <f t="shared" si="15"/>
        <v>16518</v>
      </c>
      <c r="U68" s="2">
        <f t="shared" si="15"/>
        <v>18070</v>
      </c>
      <c r="V68" s="2">
        <f t="shared" si="15"/>
        <v>21229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18</v>
      </c>
      <c r="E69" s="1" t="s">
        <v>6</v>
      </c>
      <c r="F69" s="1" cm="1">
        <f t="array" ref="F69">_xlfn.XLOOKUP(D69,'TABELA AUXILIAR'!$A$2:$A$5,IF('SPT-04'!A69&lt;3,'TABELA AUXILIAR'!$B$2:$B$5,'TABELA AUXILIAR'!$C$2:$C$5),"",0,1)</f>
        <v>8.5</v>
      </c>
      <c r="G69" s="6">
        <f t="shared" si="9"/>
        <v>100.14180468913494</v>
      </c>
      <c r="H69" s="2">
        <f t="shared" si="10"/>
        <v>43.13052403989137</v>
      </c>
      <c r="I69" s="2">
        <f t="shared" si="11"/>
        <v>1897.5779896632444</v>
      </c>
      <c r="J69" s="1">
        <f t="shared" si="16"/>
        <v>406.35000000000036</v>
      </c>
      <c r="K69" s="1">
        <f t="shared" si="12"/>
        <v>0.84989356440875496</v>
      </c>
      <c r="L69" s="1">
        <f t="shared" si="13"/>
        <v>345.35424989749788</v>
      </c>
      <c r="M69" s="1">
        <f t="shared" si="14"/>
        <v>3144.9370124040383</v>
      </c>
      <c r="N69" s="1">
        <f>$L69*'TABELA AUXILIAR'!$I$3*(B69-A69)</f>
        <v>779.11918776874779</v>
      </c>
      <c r="O69" s="1">
        <f>$L69*'TABELA AUXILIAR'!$I$4*(B69-A69)</f>
        <v>845.42720374906673</v>
      </c>
      <c r="P69" s="1">
        <f>$L69*'TABELA AUXILIAR'!$I$5*(B69-A69)</f>
        <v>975.97111021031981</v>
      </c>
      <c r="Q69" s="1">
        <f>$M69*'TABELA AUXILIAR'!$J$3+SUM(N$2:N69)</f>
        <v>33843.239490395106</v>
      </c>
      <c r="R69" s="1">
        <f>$M69*'TABELA AUXILIAR'!$J$4+SUM(O$2:O69)</f>
        <v>37018.603962443682</v>
      </c>
      <c r="S69" s="1">
        <f>$M69*'TABELA AUXILIAR'!$J$5+SUM(P$2:P69)</f>
        <v>43477.47205104465</v>
      </c>
      <c r="T69" s="2">
        <f t="shared" si="15"/>
        <v>16921</v>
      </c>
      <c r="U69" s="2">
        <f t="shared" si="15"/>
        <v>18509</v>
      </c>
      <c r="V69" s="2">
        <f t="shared" si="15"/>
        <v>21738</v>
      </c>
    </row>
    <row r="70" spans="1:22" x14ac:dyDescent="0.25">
      <c r="A70" s="1">
        <v>40.799999999999997</v>
      </c>
      <c r="B70" s="1">
        <v>41.4</v>
      </c>
      <c r="C70" s="1">
        <v>50</v>
      </c>
      <c r="D70" s="1" t="s">
        <v>18</v>
      </c>
      <c r="E70" s="1" t="s">
        <v>6</v>
      </c>
      <c r="F70" s="1" cm="1">
        <f t="array" ref="F70">_xlfn.XLOOKUP(D70,'TABELA AUXILIAR'!$A$2:$A$5,IF('SPT-04'!A70&lt;3,'TABELA AUXILIAR'!$B$2:$B$5,'TABELA AUXILIAR'!$C$2:$C$5),"",0,1)</f>
        <v>8.5</v>
      </c>
      <c r="G70" s="6">
        <f t="shared" si="9"/>
        <v>100.7682728708503</v>
      </c>
      <c r="H70" s="2">
        <f t="shared" si="10"/>
        <v>43.13052403989137</v>
      </c>
      <c r="I70" s="2">
        <f t="shared" si="11"/>
        <v>1907.0687745969069</v>
      </c>
      <c r="J70" s="1">
        <f t="shared" si="16"/>
        <v>411.45000000000033</v>
      </c>
      <c r="K70" s="1">
        <f t="shared" si="12"/>
        <v>0.84555640039644875</v>
      </c>
      <c r="L70" s="1">
        <f t="shared" si="13"/>
        <v>347.90418094311912</v>
      </c>
      <c r="M70" s="1">
        <f t="shared" si="14"/>
        <v>3168.5607142046397</v>
      </c>
      <c r="N70" s="1">
        <f>$L70*'TABELA AUXILIAR'!$I$3*(B70-A70)</f>
        <v>784.87183220767861</v>
      </c>
      <c r="O70" s="1">
        <f>$L70*'TABELA AUXILIAR'!$I$4*(B70-A70)</f>
        <v>851.66943494875761</v>
      </c>
      <c r="P70" s="1">
        <f>$L70*'TABELA AUXILIAR'!$I$5*(B70-A70)</f>
        <v>983.17721534525697</v>
      </c>
      <c r="Q70" s="1">
        <f>$M70*'TABELA AUXILIAR'!$J$3+SUM(N$2:N70)</f>
        <v>34654.806105637464</v>
      </c>
      <c r="R70" s="1">
        <f>$M70*'TABELA AUXILIAR'!$J$4+SUM(O$2:O70)</f>
        <v>37901.456683769233</v>
      </c>
      <c r="S70" s="1">
        <f>$M70*'TABELA AUXILIAR'!$J$5+SUM(P$2:P70)</f>
        <v>44502.226981558961</v>
      </c>
      <c r="T70" s="2">
        <f t="shared" si="15"/>
        <v>17327</v>
      </c>
      <c r="U70" s="2">
        <f t="shared" si="15"/>
        <v>18950</v>
      </c>
      <c r="V70" s="2">
        <f t="shared" si="15"/>
        <v>22251</v>
      </c>
    </row>
    <row r="71" spans="1:22" x14ac:dyDescent="0.25">
      <c r="A71" s="1">
        <v>41.4</v>
      </c>
      <c r="B71" s="1">
        <v>42</v>
      </c>
      <c r="C71" s="1">
        <v>50</v>
      </c>
      <c r="D71" s="1" t="s">
        <v>18</v>
      </c>
      <c r="E71" s="1" t="s">
        <v>6</v>
      </c>
      <c r="F71" s="1" cm="1">
        <f t="array" ref="F71">_xlfn.XLOOKUP(D71,'TABELA AUXILIAR'!$A$2:$A$5,IF('SPT-04'!A71&lt;3,'TABELA AUXILIAR'!$B$2:$B$5,'TABELA AUXILIAR'!$C$2:$C$5),"",0,1)</f>
        <v>8.5</v>
      </c>
      <c r="G71" s="6">
        <f t="shared" si="9"/>
        <v>101.3908703402404</v>
      </c>
      <c r="H71" s="2">
        <f t="shared" si="10"/>
        <v>43.13052403989137</v>
      </c>
      <c r="I71" s="2">
        <f t="shared" si="11"/>
        <v>1916.4892349827039</v>
      </c>
      <c r="J71" s="1">
        <f t="shared" si="16"/>
        <v>416.55000000000035</v>
      </c>
      <c r="K71" s="1">
        <f t="shared" si="12"/>
        <v>0.8412943930650697</v>
      </c>
      <c r="L71" s="1">
        <f t="shared" si="13"/>
        <v>350.44117943125508</v>
      </c>
      <c r="M71" s="1">
        <f t="shared" si="14"/>
        <v>3192.0675742216258</v>
      </c>
      <c r="N71" s="1">
        <f>$L71*'TABELA AUXILIAR'!$I$3*(B71-A71)</f>
        <v>790.59530079691331</v>
      </c>
      <c r="O71" s="1">
        <f>$L71*'TABELA AUXILIAR'!$I$4*(B71-A71)</f>
        <v>857.88000724771439</v>
      </c>
      <c r="P71" s="1">
        <f>$L71*'TABELA AUXILIAR'!$I$5*(B71-A71)</f>
        <v>990.34677307272921</v>
      </c>
      <c r="Q71" s="1">
        <f>$M71*'TABELA AUXILIAR'!$J$3+SUM(N$2:N71)</f>
        <v>35471.964158253577</v>
      </c>
      <c r="R71" s="1">
        <f>$M71*'TABELA AUXILIAR'!$J$4+SUM(O$2:O71)</f>
        <v>38790.365746239368</v>
      </c>
      <c r="S71" s="1">
        <f>$M71*'TABELA AUXILIAR'!$J$5+SUM(P$2:P71)</f>
        <v>45533.945828261589</v>
      </c>
      <c r="T71" s="2">
        <f t="shared" si="15"/>
        <v>17735</v>
      </c>
      <c r="U71" s="2">
        <f t="shared" si="15"/>
        <v>19395</v>
      </c>
      <c r="V71" s="2">
        <f t="shared" si="15"/>
        <v>22766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19</v>
      </c>
      <c r="E72" s="1" t="s">
        <v>5</v>
      </c>
      <c r="F72" s="1" cm="1">
        <f t="array" ref="F72">_xlfn.XLOOKUP(D72,'TABELA AUXILIAR'!$A$2:$A$5,IF('SPT-04'!A72&lt;3,'TABELA AUXILIAR'!$B$2:$B$5,'TABELA AUXILIAR'!$C$2:$C$5),"",0,1)</f>
        <v>10.5</v>
      </c>
      <c r="G72" s="6">
        <f t="shared" si="9"/>
        <v>102.08222108573391</v>
      </c>
      <c r="H72" s="2">
        <f t="shared" si="10"/>
        <v>43.13052403989137</v>
      </c>
      <c r="I72" s="2">
        <f t="shared" si="11"/>
        <v>1551.1393493977266</v>
      </c>
      <c r="J72" s="1">
        <f t="shared" si="16"/>
        <v>422.2500000000004</v>
      </c>
      <c r="K72" s="1">
        <f t="shared" si="12"/>
        <v>0.72129752015890047</v>
      </c>
      <c r="L72" s="1">
        <f t="shared" si="13"/>
        <v>304.56787788709602</v>
      </c>
      <c r="M72" s="1">
        <f t="shared" si="14"/>
        <v>3218.2041326532071</v>
      </c>
      <c r="N72" s="1">
        <f>$L72*'TABELA AUXILIAR'!$I$3*(B72-A72)</f>
        <v>687.1051325132903</v>
      </c>
      <c r="O72" s="1">
        <f>$L72*'TABELA AUXILIAR'!$I$4*(B72-A72)</f>
        <v>745.58216506761278</v>
      </c>
      <c r="P72" s="1">
        <f>$L72*'TABELA AUXILIAR'!$I$5*(B72-A72)</f>
        <v>860.70882290893542</v>
      </c>
      <c r="Q72" s="1">
        <f>$M72*'TABELA AUXILIAR'!$J$3+SUM(N$2:N72)</f>
        <v>36188.603601794552</v>
      </c>
      <c r="R72" s="1">
        <f>$M72*'TABELA AUXILIAR'!$J$4+SUM(O$2:O72)</f>
        <v>39570.448168436669</v>
      </c>
      <c r="S72" s="1">
        <f>$M72*'TABELA AUXILIAR'!$J$5+SUM(P$2:P72)</f>
        <v>46440.654994010103</v>
      </c>
      <c r="T72" s="2">
        <f t="shared" si="15"/>
        <v>18094</v>
      </c>
      <c r="U72" s="2">
        <f t="shared" si="15"/>
        <v>19785</v>
      </c>
      <c r="V72" s="2">
        <f t="shared" si="15"/>
        <v>23220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19</v>
      </c>
      <c r="E73" s="1" t="s">
        <v>5</v>
      </c>
      <c r="F73" s="1" cm="1">
        <f t="array" ref="F73">_xlfn.XLOOKUP(D73,'TABELA AUXILIAR'!$A$2:$A$5,IF('SPT-04'!A73&lt;3,'TABELA AUXILIAR'!$B$2:$B$5,'TABELA AUXILIAR'!$C$2:$C$5),"",0,1)</f>
        <v>10.5</v>
      </c>
      <c r="G73" s="6">
        <f t="shared" si="9"/>
        <v>102.84093852989569</v>
      </c>
      <c r="H73" s="2">
        <f t="shared" si="10"/>
        <v>43.13052403989137</v>
      </c>
      <c r="I73" s="2">
        <f t="shared" si="11"/>
        <v>1562.6680609617649</v>
      </c>
      <c r="J73" s="1">
        <f t="shared" si="16"/>
        <v>428.55000000000047</v>
      </c>
      <c r="K73" s="1">
        <f t="shared" si="12"/>
        <v>0.71765519703268177</v>
      </c>
      <c r="L73" s="1">
        <f t="shared" si="13"/>
        <v>307.55113468835611</v>
      </c>
      <c r="M73" s="1">
        <f t="shared" si="14"/>
        <v>3246.9282585421574</v>
      </c>
      <c r="N73" s="1">
        <f>$L73*'TABELA AUXILIAR'!$I$3*(B73-A73)</f>
        <v>693.83535985693288</v>
      </c>
      <c r="O73" s="1">
        <f>$L73*'TABELA AUXILIAR'!$I$4*(B73-A73)</f>
        <v>752.88517771709758</v>
      </c>
      <c r="P73" s="1">
        <f>$L73*'TABELA AUXILIAR'!$I$5*(B73-A73)</f>
        <v>869.13950662929653</v>
      </c>
      <c r="Q73" s="1">
        <f>$M73*'TABELA AUXILIAR'!$J$3+SUM(N$2:N73)</f>
        <v>36914.897223905995</v>
      </c>
      <c r="R73" s="1">
        <f>$M73*'TABELA AUXILIAR'!$J$4+SUM(O$2:O73)</f>
        <v>40361.249192327188</v>
      </c>
      <c r="S73" s="1">
        <f>$M73*'TABELA AUXILIAR'!$J$5+SUM(P$2:P73)</f>
        <v>47360.348962203956</v>
      </c>
      <c r="T73" s="2">
        <f t="shared" si="15"/>
        <v>18457</v>
      </c>
      <c r="U73" s="2">
        <f t="shared" si="15"/>
        <v>20180</v>
      </c>
      <c r="V73" s="2">
        <f t="shared" si="15"/>
        <v>23680</v>
      </c>
    </row>
    <row r="74" spans="1:22" x14ac:dyDescent="0.25">
      <c r="A74" s="1">
        <v>43.2</v>
      </c>
      <c r="B74" s="1">
        <v>43.8</v>
      </c>
      <c r="C74" s="1">
        <v>50</v>
      </c>
      <c r="D74" s="1" t="s">
        <v>19</v>
      </c>
      <c r="E74" s="1" t="s">
        <v>5</v>
      </c>
      <c r="F74" s="1" cm="1">
        <f t="array" ref="F74">_xlfn.XLOOKUP(D74,'TABELA AUXILIAR'!$A$2:$A$5,IF('SPT-04'!A74&lt;3,'TABELA AUXILIAR'!$B$2:$B$5,'TABELA AUXILIAR'!$C$2:$C$5),"",0,1)</f>
        <v>10.5</v>
      </c>
      <c r="G74" s="6">
        <f t="shared" si="9"/>
        <v>103.59409931855633</v>
      </c>
      <c r="H74" s="2">
        <f t="shared" si="10"/>
        <v>43.13052403989137</v>
      </c>
      <c r="I74" s="2">
        <f t="shared" si="11"/>
        <v>1574.1123391454632</v>
      </c>
      <c r="J74" s="1">
        <f t="shared" si="16"/>
        <v>434.85000000000048</v>
      </c>
      <c r="K74" s="1">
        <f t="shared" si="12"/>
        <v>0.71408402227537005</v>
      </c>
      <c r="L74" s="1">
        <f t="shared" si="13"/>
        <v>310.51943708644501</v>
      </c>
      <c r="M74" s="1">
        <f t="shared" si="14"/>
        <v>3275.4839665045229</v>
      </c>
      <c r="N74" s="1">
        <f>$L74*'TABELA AUXILIAR'!$I$3*(B74-A74)</f>
        <v>700.53185006701335</v>
      </c>
      <c r="O74" s="1">
        <f>$L74*'TABELA AUXILIAR'!$I$4*(B74-A74)</f>
        <v>760.15158198761014</v>
      </c>
      <c r="P74" s="1">
        <f>$L74*'TABELA AUXILIAR'!$I$5*(B74-A74)</f>
        <v>877.52792920628519</v>
      </c>
      <c r="Q74" s="1">
        <f>$M74*'TABELA AUXILIAR'!$J$3+SUM(N$2:N74)</f>
        <v>37647.697023970482</v>
      </c>
      <c r="R74" s="1">
        <f>$M74*'TABELA AUXILIAR'!$J$4+SUM(O$2:O74)</f>
        <v>41159.094308825115</v>
      </c>
      <c r="S74" s="1">
        <f>$M74*'TABELA AUXILIAR'!$J$5+SUM(P$2:P74)</f>
        <v>48288.134937424002</v>
      </c>
      <c r="T74" s="2">
        <f t="shared" si="15"/>
        <v>18823</v>
      </c>
      <c r="U74" s="2">
        <f t="shared" si="15"/>
        <v>20579</v>
      </c>
      <c r="V74" s="2">
        <f t="shared" si="15"/>
        <v>24144</v>
      </c>
    </row>
    <row r="75" spans="1:22" x14ac:dyDescent="0.25">
      <c r="A75" s="1">
        <v>43.8</v>
      </c>
      <c r="B75" s="1">
        <v>44.4</v>
      </c>
      <c r="C75" s="1">
        <v>50</v>
      </c>
      <c r="D75" s="1" t="s">
        <v>19</v>
      </c>
      <c r="E75" s="1" t="s">
        <v>5</v>
      </c>
      <c r="F75" s="1" cm="1">
        <f t="array" ref="F75">_xlfn.XLOOKUP(D75,'TABELA AUXILIAR'!$A$2:$A$5,IF('SPT-04'!A75&lt;3,'TABELA AUXILIAR'!$B$2:$B$5,'TABELA AUXILIAR'!$C$2:$C$5),"",0,1)</f>
        <v>10.5</v>
      </c>
      <c r="G75" s="6">
        <f t="shared" si="9"/>
        <v>104.34182377903907</v>
      </c>
      <c r="H75" s="2">
        <f t="shared" si="10"/>
        <v>43.13052403989137</v>
      </c>
      <c r="I75" s="2">
        <f t="shared" si="11"/>
        <v>1585.4740123224985</v>
      </c>
      <c r="J75" s="1">
        <f t="shared" si="16"/>
        <v>441.15000000000049</v>
      </c>
      <c r="K75" s="1">
        <f t="shared" si="12"/>
        <v>0.71058160511958524</v>
      </c>
      <c r="L75" s="1">
        <f t="shared" si="13"/>
        <v>313.47307509850538</v>
      </c>
      <c r="M75" s="1">
        <f t="shared" si="14"/>
        <v>3303.8746628972781</v>
      </c>
      <c r="N75" s="1">
        <f>$L75*'TABELA AUXILIAR'!$I$3*(B75-A75)</f>
        <v>707.19525742222982</v>
      </c>
      <c r="O75" s="1">
        <f>$L75*'TABELA AUXILIAR'!$I$4*(B75-A75)</f>
        <v>767.38208784114295</v>
      </c>
      <c r="P75" s="1">
        <f>$L75*'TABELA AUXILIAR'!$I$5*(B75-A75)</f>
        <v>885.87491022837833</v>
      </c>
      <c r="Q75" s="1">
        <f>$M75*'TABELA AUXILIAR'!$J$3+SUM(N$2:N75)</f>
        <v>38386.973768316522</v>
      </c>
      <c r="R75" s="1">
        <f>$M75*'TABELA AUXILIAR'!$J$4+SUM(O$2:O75)</f>
        <v>41963.9521159047</v>
      </c>
      <c r="S75" s="1">
        <f>$M75*'TABELA AUXILIAR'!$J$5+SUM(P$2:P75)</f>
        <v>49223.977473303625</v>
      </c>
      <c r="T75" s="2">
        <f t="shared" si="15"/>
        <v>19193</v>
      </c>
      <c r="U75" s="2">
        <f t="shared" si="15"/>
        <v>20981</v>
      </c>
      <c r="V75" s="2">
        <f t="shared" si="15"/>
        <v>24611</v>
      </c>
    </row>
    <row r="76" spans="1:22" x14ac:dyDescent="0.25">
      <c r="A76" s="1">
        <v>44.4</v>
      </c>
      <c r="B76" s="1">
        <v>45</v>
      </c>
      <c r="C76" s="1">
        <v>50</v>
      </c>
      <c r="D76" s="1" t="s">
        <v>19</v>
      </c>
      <c r="E76" s="1" t="s">
        <v>5</v>
      </c>
      <c r="F76" s="1" cm="1">
        <f t="array" ref="F76">_xlfn.XLOOKUP(D76,'TABELA AUXILIAR'!$A$2:$A$5,IF('SPT-04'!A76&lt;3,'TABELA AUXILIAR'!$B$2:$B$5,'TABELA AUXILIAR'!$C$2:$C$5),"",0,1)</f>
        <v>10.5</v>
      </c>
      <c r="G76" s="6">
        <f t="shared" ref="G76:G77" si="17">C76 / MIN(2, SQRT(101.3/J76))</f>
        <v>105.08422795762063</v>
      </c>
      <c r="H76" s="2">
        <f t="shared" ref="H76:H77" si="18">27.5+9.2*LOG10(C76)</f>
        <v>43.13052403989137</v>
      </c>
      <c r="I76" s="2">
        <f t="shared" ref="I76:I77" si="19">IF(D76="Areias",101.3*0.47*(G76)^0.8,101.3*0.15*(G76))</f>
        <v>1596.7548438160452</v>
      </c>
      <c r="J76" s="1">
        <f t="shared" ref="J76:J77" si="20">J75+(B75-A75)/2*F75+(B76-A76)/2*F76</f>
        <v>447.45000000000056</v>
      </c>
      <c r="K76" s="1">
        <f t="shared" ref="K76:K77" si="21">(1-SIN(RADIANS(H76)))*(I76/J76)^SIN(RADIANS(H76))*TAN(RADIANS(H76))</f>
        <v>0.70714566781813915</v>
      </c>
      <c r="L76" s="1">
        <f t="shared" ref="L76:L77" si="22">K76*J76</f>
        <v>316.41232906522674</v>
      </c>
      <c r="M76" s="1">
        <f t="shared" ref="M76:M77" si="23">0.59*(G76*101.3/J76)^0.8*J76</f>
        <v>3332.1036376493489</v>
      </c>
      <c r="N76" s="1">
        <f>$L76*'TABELA AUXILIAR'!$I$3*(B76-A76)</f>
        <v>713.82621437115313</v>
      </c>
      <c r="O76" s="1">
        <f>$L76*'TABELA AUXILIAR'!$I$4*(B76-A76)</f>
        <v>774.57738155167692</v>
      </c>
      <c r="P76" s="1">
        <f>$L76*'TABELA AUXILIAR'!$I$5*(B76-A76)</f>
        <v>894.18124193833285</v>
      </c>
      <c r="Q76" s="1">
        <f>$M76*'TABELA AUXILIAR'!$J$3+SUM(N$2:N76)</f>
        <v>39132.698724157519</v>
      </c>
      <c r="R76" s="1">
        <f>$M76*'TABELA AUXILIAR'!$J$4+SUM(O$2:O76)</f>
        <v>42775.791744129107</v>
      </c>
      <c r="S76" s="1">
        <f>$M76*'TABELA AUXILIAR'!$J$5+SUM(P$2:P76)</f>
        <v>50167.841710805609</v>
      </c>
    </row>
    <row r="77" spans="1:22" x14ac:dyDescent="0.25">
      <c r="A77" s="1">
        <v>45</v>
      </c>
      <c r="B77" s="1">
        <v>45.6</v>
      </c>
      <c r="C77" s="1">
        <v>50</v>
      </c>
      <c r="D77" s="1" t="s">
        <v>19</v>
      </c>
      <c r="E77" s="1" t="s">
        <v>5</v>
      </c>
      <c r="F77" s="1" cm="1">
        <f t="array" ref="F77">_xlfn.XLOOKUP(D77,'TABELA AUXILIAR'!$A$2:$A$5,IF('SPT-04'!A77&lt;3,'TABELA AUXILIAR'!$B$2:$B$5,'TABELA AUXILIAR'!$C$2:$C$5),"",0,1)</f>
        <v>10.5</v>
      </c>
      <c r="G77" s="6">
        <f t="shared" si="17"/>
        <v>105.82142382978178</v>
      </c>
      <c r="H77" s="2">
        <f t="shared" si="18"/>
        <v>43.13052403989137</v>
      </c>
      <c r="I77" s="2">
        <f t="shared" si="19"/>
        <v>1607.9565350935341</v>
      </c>
      <c r="J77" s="1">
        <f t="shared" si="20"/>
        <v>453.75000000000063</v>
      </c>
      <c r="K77" s="1">
        <f t="shared" si="21"/>
        <v>0.70377403879913158</v>
      </c>
      <c r="L77" s="1">
        <f t="shared" si="22"/>
        <v>319.33747010510638</v>
      </c>
      <c r="M77" s="1">
        <f t="shared" si="23"/>
        <v>3360.1740698201679</v>
      </c>
      <c r="N77" s="1">
        <f>$L77*'TABELA AUXILIAR'!$I$3*(B77-A77)</f>
        <v>720.42533255712169</v>
      </c>
      <c r="O77" s="1">
        <f>$L77*'TABELA AUXILIAR'!$I$4*(B77-A77)</f>
        <v>781.73812681730226</v>
      </c>
      <c r="P77" s="1">
        <f>$L77*'TABELA AUXILIAR'!$I$5*(B77-A77)</f>
        <v>902.4476905170327</v>
      </c>
      <c r="Q77" s="1">
        <f>$M77*'TABELA AUXILIAR'!$J$3+SUM(N$2:N77)</f>
        <v>39884.84364506766</v>
      </c>
      <c r="R77" s="1">
        <f>$M77*'TABELA AUXILIAR'!$J$4+SUM(O$2:O77)</f>
        <v>43594.582841411895</v>
      </c>
      <c r="S77" s="1">
        <f>$M77*'TABELA AUXILIAR'!$J$5+SUM(P$2:P77)</f>
        <v>51119.693361943282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D7C4-B547-4D2F-8728-449F0AACA2D3}">
  <dimension ref="A1:V76"/>
  <sheetViews>
    <sheetView topLeftCell="A60" workbookViewId="0">
      <selection sqref="A1:XFD1048576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16384" width="9.140625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50</v>
      </c>
      <c r="D2" s="1" t="s">
        <v>18</v>
      </c>
      <c r="E2" s="1" t="s">
        <v>3</v>
      </c>
      <c r="F2" s="1" cm="1">
        <f t="array" ref="F2">_xlfn.XLOOKUP(D2,'TABELA AUXILIAR'!$A$2:$A$5,IF('SPT-05'!A2&lt;3,'TABELA AUXILIAR'!$B$2:$B$5,'TABELA AUXILIAR'!$C$2:$C$5),"",0,1)</f>
        <v>18.5</v>
      </c>
      <c r="G2" s="6">
        <f>C2 / MIN(2, SQRT(101.3/J2))</f>
        <v>25</v>
      </c>
      <c r="H2" s="2">
        <f>27.5+9.2*LOG10(C2)</f>
        <v>43.13052403989137</v>
      </c>
      <c r="I2" s="2">
        <f>IF(D2="Areias",101.3*0.47*(G2)^0.8,101.3*0.15*(G2))</f>
        <v>625.25807647733882</v>
      </c>
      <c r="J2" s="1">
        <f>(B2-A2)/2*F2</f>
        <v>5.55</v>
      </c>
      <c r="K2" s="1">
        <f>(1-SIN(RADIANS(H2)))*(I2/J2)^SIN(RADIANS(H2))*TAN(RADIANS(H2))</f>
        <v>7.4904099537645372</v>
      </c>
      <c r="L2" s="1">
        <f>K2*J2</f>
        <v>41.571775243393184</v>
      </c>
      <c r="M2" s="1">
        <f>0.59*(G2*101.3/J2)^0.8*J2</f>
        <v>439.08658780747459</v>
      </c>
      <c r="N2" s="1">
        <f>$L2*'TABELA AUXILIAR'!$I$3*(B2-A2)</f>
        <v>93.785924949095019</v>
      </c>
      <c r="O2" s="1">
        <f>$L2*'TABELA AUXILIAR'!$I$4*(B2-A2)</f>
        <v>101.7677057958265</v>
      </c>
      <c r="P2" s="1">
        <f>$L2*'TABELA AUXILIAR'!$I$5*(B2-A2)</f>
        <v>117.48183683782914</v>
      </c>
      <c r="Q2" s="1">
        <f>$M2*'TABELA AUXILIAR'!$J$3+SUM(N$2:N2)</f>
        <v>589.95376917154124</v>
      </c>
      <c r="R2" s="1">
        <f>$M2*'TABELA AUXILIAR'!$J$4+SUM(O$2:O2)</f>
        <v>681.36200170169298</v>
      </c>
      <c r="S2" s="1">
        <f>$M2*'TABELA AUXILIAR'!$J$5+SUM(P$2:P2)</f>
        <v>890.2742313789845</v>
      </c>
      <c r="T2" s="2">
        <f>ROUNDDOWN(Q2/2,0)</f>
        <v>294</v>
      </c>
      <c r="U2" s="2">
        <f t="shared" ref="U2:V17" si="0">ROUNDDOWN(R2/2,0)</f>
        <v>340</v>
      </c>
      <c r="V2" s="2">
        <f t="shared" si="0"/>
        <v>445</v>
      </c>
    </row>
    <row r="3" spans="1:22" x14ac:dyDescent="0.25">
      <c r="A3" s="1">
        <v>0.6</v>
      </c>
      <c r="B3" s="1">
        <v>1.2</v>
      </c>
      <c r="C3" s="1">
        <v>50</v>
      </c>
      <c r="D3" s="1" t="s">
        <v>18</v>
      </c>
      <c r="E3" s="1" t="s">
        <v>3</v>
      </c>
      <c r="F3" s="1" cm="1">
        <f t="array" ref="F3">_xlfn.XLOOKUP(D3,'TABELA AUXILIAR'!$A$2:$A$5,IF('SPT-05'!A3&lt;3,'TABELA AUXILIAR'!$B$2:$B$5,'TABELA AUXILIAR'!$C$2:$C$5),"",0,1)</f>
        <v>18.5</v>
      </c>
      <c r="G3" s="6">
        <f t="shared" ref="G3:G66" si="1">C3 / MIN(2, SQRT(101.3/J3))</f>
        <v>25</v>
      </c>
      <c r="H3" s="2">
        <f t="shared" ref="H3:H66" si="2">27.5+9.2*LOG10(C3)</f>
        <v>43.13052403989137</v>
      </c>
      <c r="I3" s="2">
        <f t="shared" ref="I3:I66" si="3">IF(D3="Areias",101.3*0.47*(G3)^0.8,101.3*0.15*(G3))</f>
        <v>625.25807647733882</v>
      </c>
      <c r="J3" s="1">
        <f>J2+(B2-A2)/2*F2+(B3-A3)/2*F3</f>
        <v>16.649999999999999</v>
      </c>
      <c r="K3" s="1">
        <f t="shared" ref="K3:K66" si="4">(1-SIN(RADIANS(H3)))*(I3/J3)^SIN(RADIANS(H3))*TAN(RADIANS(H3))</f>
        <v>3.5343991819907079</v>
      </c>
      <c r="L3" s="1">
        <f t="shared" ref="L3:L66" si="5">K3*J3</f>
        <v>58.847746380145281</v>
      </c>
      <c r="M3" s="1">
        <f t="shared" ref="M3:M66" si="6">0.59*(G3*101.3/J3)^0.8*J3</f>
        <v>546.98374760197623</v>
      </c>
      <c r="N3" s="1">
        <f>$L3*'TABELA AUXILIAR'!$I$3*(B3-A3)</f>
        <v>132.76051583360774</v>
      </c>
      <c r="O3" s="1">
        <f>$L3*'TABELA AUXILIAR'!$I$4*(B3-A3)</f>
        <v>144.05928313859565</v>
      </c>
      <c r="P3" s="1">
        <f>$L3*'TABELA AUXILIAR'!$I$5*(B3-A3)</f>
        <v>166.30373127029057</v>
      </c>
      <c r="Q3" s="1">
        <f>$M3*'TABELA AUXILIAR'!$J$3+SUM(N$2:N3)</f>
        <v>844.6380755729358</v>
      </c>
      <c r="R3" s="1">
        <f>$M3*'TABELA AUXILIAR'!$J$4+SUM(O$2:O3)</f>
        <v>967.84553576903079</v>
      </c>
      <c r="S3" s="1">
        <f>$M3*'TABELA AUXILIAR'!$J$5+SUM(P$2:P3)</f>
        <v>1246.4769638875978</v>
      </c>
      <c r="T3" s="2">
        <f t="shared" ref="T3:V66" si="7">ROUNDDOWN(Q3/2,0)</f>
        <v>422</v>
      </c>
      <c r="U3" s="2">
        <f t="shared" si="0"/>
        <v>483</v>
      </c>
      <c r="V3" s="2">
        <f t="shared" si="0"/>
        <v>623</v>
      </c>
    </row>
    <row r="4" spans="1:22" x14ac:dyDescent="0.25">
      <c r="A4" s="1">
        <v>1.2</v>
      </c>
      <c r="B4" s="1">
        <v>1.8</v>
      </c>
      <c r="C4" s="1">
        <v>50</v>
      </c>
      <c r="D4" s="1" t="s">
        <v>18</v>
      </c>
      <c r="E4" s="1" t="s">
        <v>3</v>
      </c>
      <c r="F4" s="1" cm="1">
        <f t="array" ref="F4">_xlfn.XLOOKUP(D4,'TABELA AUXILIAR'!$A$2:$A$5,IF('SPT-05'!A4&lt;3,'TABELA AUXILIAR'!$B$2:$B$5,'TABELA AUXILIAR'!$C$2:$C$5),"",0,1)</f>
        <v>18.5</v>
      </c>
      <c r="G4" s="6">
        <f t="shared" si="1"/>
        <v>26.169581371148542</v>
      </c>
      <c r="H4" s="2">
        <f t="shared" si="2"/>
        <v>43.13052403989137</v>
      </c>
      <c r="I4" s="2">
        <f t="shared" si="3"/>
        <v>648.55188151603841</v>
      </c>
      <c r="J4" s="1">
        <f t="shared" ref="J4:J67" si="8">J3+(B3-A3)/2*F3+(B4-A4)/2*F4</f>
        <v>27.75</v>
      </c>
      <c r="K4" s="1">
        <f t="shared" si="4"/>
        <v>2.5556781165228073</v>
      </c>
      <c r="L4" s="1">
        <f t="shared" si="5"/>
        <v>70.920067733507906</v>
      </c>
      <c r="M4" s="1">
        <f t="shared" si="6"/>
        <v>628.39046378564501</v>
      </c>
      <c r="N4" s="1">
        <f>$L4*'TABELA AUXILIAR'!$I$3*(B4-A4)</f>
        <v>159.99567280679383</v>
      </c>
      <c r="O4" s="1">
        <f>$L4*'TABELA AUXILIAR'!$I$4*(B4-A4)</f>
        <v>173.61232581162741</v>
      </c>
      <c r="P4" s="1">
        <f>$L4*'TABELA AUXILIAR'!$I$5*(B4-A4)</f>
        <v>200.42011141489337</v>
      </c>
      <c r="Q4" s="1">
        <f>$M4*'TABELA AUXILIAR'!$J$3+SUM(N$2:N4)</f>
        <v>1096.6233376672753</v>
      </c>
      <c r="R4" s="1">
        <f>$M4*'TABELA AUXILIAR'!$J$4+SUM(O$2:O4)</f>
        <v>1248.914726943101</v>
      </c>
      <c r="S4" s="1">
        <f>$M4*'TABELA AUXILIAR'!$J$5+SUM(P$2:P4)</f>
        <v>1590.1728957857483</v>
      </c>
      <c r="T4" s="2">
        <f t="shared" si="7"/>
        <v>548</v>
      </c>
      <c r="U4" s="2">
        <f t="shared" si="0"/>
        <v>624</v>
      </c>
      <c r="V4" s="2">
        <f t="shared" si="0"/>
        <v>795</v>
      </c>
    </row>
    <row r="5" spans="1:22" x14ac:dyDescent="0.25">
      <c r="A5" s="1">
        <v>1.8</v>
      </c>
      <c r="B5" s="1">
        <v>2.4</v>
      </c>
      <c r="C5" s="1">
        <v>50</v>
      </c>
      <c r="D5" s="1" t="s">
        <v>18</v>
      </c>
      <c r="E5" s="1" t="s">
        <v>3</v>
      </c>
      <c r="F5" s="1" cm="1">
        <f t="array" ref="F5">_xlfn.XLOOKUP(D5,'TABELA AUXILIAR'!$A$2:$A$5,IF('SPT-05'!A5&lt;3,'TABELA AUXILIAR'!$B$2:$B$5,'TABELA AUXILIAR'!$C$2:$C$5),"",0,1)</f>
        <v>18.5</v>
      </c>
      <c r="G5" s="6">
        <f t="shared" si="1"/>
        <v>30.964266256406443</v>
      </c>
      <c r="H5" s="2">
        <f t="shared" si="2"/>
        <v>43.13052403989137</v>
      </c>
      <c r="I5" s="2">
        <f t="shared" si="3"/>
        <v>741.98638767137265</v>
      </c>
      <c r="J5" s="1">
        <f t="shared" si="8"/>
        <v>38.849999999999994</v>
      </c>
      <c r="K5" s="1">
        <f t="shared" si="4"/>
        <v>2.2262031077982765</v>
      </c>
      <c r="L5" s="1">
        <f t="shared" si="5"/>
        <v>86.487990737963031</v>
      </c>
      <c r="M5" s="1">
        <f t="shared" si="6"/>
        <v>768.96470628189718</v>
      </c>
      <c r="N5" s="1">
        <f>$L5*'TABELA AUXILIAR'!$I$3*(B5-A5)</f>
        <v>195.11690710484453</v>
      </c>
      <c r="O5" s="1">
        <f>$L5*'TABELA AUXILIAR'!$I$4*(B5-A5)</f>
        <v>211.72260132653346</v>
      </c>
      <c r="P5" s="1">
        <f>$L5*'TABELA AUXILIAR'!$I$5*(B5-A5)</f>
        <v>244.41506182548346</v>
      </c>
      <c r="Q5" s="1">
        <f>$M5*'TABELA AUXILIAR'!$J$3+SUM(N$2:N5)</f>
        <v>1450.5891387928848</v>
      </c>
      <c r="R5" s="1">
        <f>$M5*'TABELA AUXILIAR'!$J$4+SUM(O$2:O5)</f>
        <v>1646.1953283646874</v>
      </c>
      <c r="S5" s="1">
        <f>$M5*'TABELA AUXILIAR'!$J$5+SUM(P$2:P5)</f>
        <v>2081.9986244046358</v>
      </c>
      <c r="T5" s="2">
        <f t="shared" si="7"/>
        <v>725</v>
      </c>
      <c r="U5" s="2">
        <f t="shared" si="0"/>
        <v>823</v>
      </c>
      <c r="V5" s="2">
        <f t="shared" si="0"/>
        <v>1040</v>
      </c>
    </row>
    <row r="6" spans="1:22" x14ac:dyDescent="0.25">
      <c r="A6" s="1">
        <v>2.4</v>
      </c>
      <c r="B6" s="1">
        <v>3</v>
      </c>
      <c r="C6" s="1">
        <v>50</v>
      </c>
      <c r="D6" s="1" t="s">
        <v>18</v>
      </c>
      <c r="E6" s="1" t="s">
        <v>3</v>
      </c>
      <c r="F6" s="1" cm="1">
        <f t="array" ref="F6">_xlfn.XLOOKUP(D6,'TABELA AUXILIAR'!$A$2:$A$5,IF('SPT-05'!A6&lt;3,'TABELA AUXILIAR'!$B$2:$B$5,'TABELA AUXILIAR'!$C$2:$C$5),"",0,1)</f>
        <v>18.5</v>
      </c>
      <c r="G6" s="6">
        <f t="shared" si="1"/>
        <v>35.110177733160178</v>
      </c>
      <c r="H6" s="2">
        <f t="shared" si="2"/>
        <v>43.13052403989137</v>
      </c>
      <c r="I6" s="2">
        <f t="shared" si="3"/>
        <v>820.45303454982184</v>
      </c>
      <c r="J6" s="1">
        <f t="shared" si="8"/>
        <v>49.949999999999989</v>
      </c>
      <c r="K6" s="1">
        <f t="shared" si="4"/>
        <v>2.008139992359657</v>
      </c>
      <c r="L6" s="1">
        <f t="shared" si="5"/>
        <v>100.30659261836485</v>
      </c>
      <c r="M6" s="1">
        <f t="shared" si="6"/>
        <v>894.11439877160092</v>
      </c>
      <c r="N6" s="1">
        <f>$L6*'TABELA AUXILIAR'!$I$3*(B6-A6)</f>
        <v>226.29167294703112</v>
      </c>
      <c r="O6" s="1">
        <f>$L6*'TABELA AUXILIAR'!$I$4*(B6-A6)</f>
        <v>245.55053872975719</v>
      </c>
      <c r="P6" s="1">
        <f>$L6*'TABELA AUXILIAR'!$I$5*(B6-A6)</f>
        <v>283.46643073949906</v>
      </c>
      <c r="Q6" s="1">
        <f>$M6*'TABELA AUXILIAR'!$J$3+SUM(N$2:N6)</f>
        <v>1818.2999642532811</v>
      </c>
      <c r="R6" s="1">
        <f>$M6*'TABELA AUXILIAR'!$J$4+SUM(O$2:O6)</f>
        <v>2056.9434611808538</v>
      </c>
      <c r="S6" s="1">
        <f>$M6*'TABELA AUXILIAR'!$J$5+SUM(P$2:P6)</f>
        <v>2585.728513926013</v>
      </c>
      <c r="T6" s="2">
        <f t="shared" si="7"/>
        <v>909</v>
      </c>
      <c r="U6" s="2">
        <f t="shared" si="0"/>
        <v>1028</v>
      </c>
      <c r="V6" s="2">
        <f t="shared" si="0"/>
        <v>1292</v>
      </c>
    </row>
    <row r="7" spans="1:22" x14ac:dyDescent="0.25">
      <c r="A7" s="1">
        <v>3</v>
      </c>
      <c r="B7" s="1">
        <v>3.6</v>
      </c>
      <c r="C7" s="1">
        <v>50</v>
      </c>
      <c r="D7" s="1" t="s">
        <v>18</v>
      </c>
      <c r="E7" s="1" t="s">
        <v>3</v>
      </c>
      <c r="F7" s="1" cm="1">
        <f t="array" ref="F7">_xlfn.XLOOKUP(D7,'TABELA AUXILIAR'!$A$2:$A$5,IF('SPT-05'!A7&lt;3,'TABELA AUXILIAR'!$B$2:$B$5,'TABELA AUXILIAR'!$C$2:$C$5),"",0,1)</f>
        <v>8.5</v>
      </c>
      <c r="G7" s="6">
        <f t="shared" si="1"/>
        <v>37.850044435521831</v>
      </c>
      <c r="H7" s="2">
        <f t="shared" si="2"/>
        <v>43.13052403989137</v>
      </c>
      <c r="I7" s="2">
        <f t="shared" si="3"/>
        <v>871.28536301273346</v>
      </c>
      <c r="J7" s="1">
        <f t="shared" si="8"/>
        <v>58.049999999999983</v>
      </c>
      <c r="K7" s="1">
        <f t="shared" si="4"/>
        <v>1.8880858114424712</v>
      </c>
      <c r="L7" s="1">
        <f t="shared" si="5"/>
        <v>109.60338135423542</v>
      </c>
      <c r="M7" s="1">
        <f t="shared" si="6"/>
        <v>978.48264627263291</v>
      </c>
      <c r="N7" s="1">
        <f>$L7*'TABELA AUXILIAR'!$I$3*(B7-A7)</f>
        <v>247.26522833515514</v>
      </c>
      <c r="O7" s="1">
        <f>$L7*'TABELA AUXILIAR'!$I$4*(B7-A7)</f>
        <v>268.30907755516836</v>
      </c>
      <c r="P7" s="1">
        <f>$L7*'TABELA AUXILIAR'!$I$5*(B7-A7)</f>
        <v>309.73915570706936</v>
      </c>
      <c r="Q7" s="1">
        <f>$M7*'TABELA AUXILIAR'!$J$3+SUM(N$2:N7)</f>
        <v>2160.901312264602</v>
      </c>
      <c r="R7" s="1">
        <f>$M7*'TABELA AUXILIAR'!$J$4+SUM(O$2:O7)</f>
        <v>2436.6186254373843</v>
      </c>
      <c r="S7" s="1">
        <f>$M7*'TABELA AUXILIAR'!$J$5+SUM(P$2:P7)</f>
        <v>3043.9557852348989</v>
      </c>
      <c r="T7" s="2">
        <f t="shared" si="7"/>
        <v>1080</v>
      </c>
      <c r="U7" s="2">
        <f t="shared" si="0"/>
        <v>1218</v>
      </c>
      <c r="V7" s="2">
        <f t="shared" si="0"/>
        <v>1521</v>
      </c>
    </row>
    <row r="8" spans="1:22" x14ac:dyDescent="0.25">
      <c r="A8" s="1">
        <v>3.6</v>
      </c>
      <c r="B8" s="1">
        <v>4.2</v>
      </c>
      <c r="C8" s="1">
        <v>47</v>
      </c>
      <c r="D8" s="1" t="s">
        <v>20</v>
      </c>
      <c r="E8" s="1" t="s">
        <v>9</v>
      </c>
      <c r="F8" s="1" cm="1">
        <f t="array" ref="F8">_xlfn.XLOOKUP(D8,'TABELA AUXILIAR'!$A$2:$A$5,IF('SPT-05'!A8&lt;3,'TABELA AUXILIAR'!$B$2:$B$5,'TABELA AUXILIAR'!$C$2:$C$5),"",0,1)</f>
        <v>11</v>
      </c>
      <c r="G8" s="6">
        <f t="shared" si="1"/>
        <v>37.328760061638633</v>
      </c>
      <c r="H8" s="2">
        <f t="shared" si="2"/>
        <v>42.883300293008602</v>
      </c>
      <c r="I8" s="2">
        <f t="shared" si="3"/>
        <v>567.21050913659894</v>
      </c>
      <c r="J8" s="1">
        <f t="shared" si="8"/>
        <v>63.899999999999977</v>
      </c>
      <c r="K8" s="1">
        <f t="shared" si="4"/>
        <v>1.3110813586436969</v>
      </c>
      <c r="L8" s="1">
        <f t="shared" si="5"/>
        <v>83.778098817332207</v>
      </c>
      <c r="M8" s="1">
        <f t="shared" si="6"/>
        <v>986.44889584409452</v>
      </c>
      <c r="N8" s="1">
        <f>$L8*'TABELA AUXILIAR'!$I$3*(B8-A8)</f>
        <v>189.00339093190146</v>
      </c>
      <c r="O8" s="1">
        <f>$L8*'TABELA AUXILIAR'!$I$4*(B8-A8)</f>
        <v>205.08878590482928</v>
      </c>
      <c r="P8" s="1">
        <f>$L8*'TABELA AUXILIAR'!$I$5*(B8-A8)</f>
        <v>236.75690725778085</v>
      </c>
      <c r="Q8" s="1">
        <f>$M8*'TABELA AUXILIAR'!$J$3+SUM(N$2:N8)</f>
        <v>2358.9065652122554</v>
      </c>
      <c r="R8" s="1">
        <f>$M8*'TABELA AUXILIAR'!$J$4+SUM(O$2:O8)</f>
        <v>2652.2228607765428</v>
      </c>
      <c r="S8" s="1">
        <f>$M8*'TABELA AUXILIAR'!$J$5+SUM(P$2:P8)</f>
        <v>3294.733291738452</v>
      </c>
      <c r="T8" s="2">
        <f t="shared" si="7"/>
        <v>1179</v>
      </c>
      <c r="U8" s="2">
        <f t="shared" si="0"/>
        <v>1326</v>
      </c>
      <c r="V8" s="2">
        <f t="shared" si="0"/>
        <v>1647</v>
      </c>
    </row>
    <row r="9" spans="1:22" x14ac:dyDescent="0.25">
      <c r="A9" s="1">
        <v>4.2</v>
      </c>
      <c r="B9" s="1">
        <v>4.8</v>
      </c>
      <c r="C9" s="1">
        <v>18</v>
      </c>
      <c r="D9" s="1" t="s">
        <v>20</v>
      </c>
      <c r="E9" s="1" t="s">
        <v>9</v>
      </c>
      <c r="F9" s="1" cm="1">
        <f t="array" ref="F9">_xlfn.XLOOKUP(D9,'TABELA AUXILIAR'!$A$2:$A$5,IF('SPT-05'!A9&lt;3,'TABELA AUXILIAR'!$B$2:$B$5,'TABELA AUXILIAR'!$C$2:$C$5),"",0,1)</f>
        <v>11</v>
      </c>
      <c r="G9" s="6">
        <f t="shared" si="1"/>
        <v>15.01627941873223</v>
      </c>
      <c r="H9" s="2">
        <f t="shared" si="2"/>
        <v>39.048507046950412</v>
      </c>
      <c r="I9" s="2">
        <f t="shared" si="3"/>
        <v>228.17236576763622</v>
      </c>
      <c r="J9" s="1">
        <f t="shared" si="8"/>
        <v>70.499999999999972</v>
      </c>
      <c r="K9" s="1">
        <f t="shared" si="4"/>
        <v>0.62904785790673268</v>
      </c>
      <c r="L9" s="1">
        <f t="shared" si="5"/>
        <v>44.347873982424638</v>
      </c>
      <c r="M9" s="1">
        <f t="shared" si="6"/>
        <v>485.5425155894448</v>
      </c>
      <c r="N9" s="1">
        <f>$L9*'TABELA AUXILIAR'!$I$3*(B9-A9)</f>
        <v>100.04880370434991</v>
      </c>
      <c r="O9" s="1">
        <f>$L9*'TABELA AUXILIAR'!$I$4*(B9-A9)</f>
        <v>108.56359550897545</v>
      </c>
      <c r="P9" s="1">
        <f>$L9*'TABELA AUXILIAR'!$I$5*(B9-A9)</f>
        <v>125.32709187433196</v>
      </c>
      <c r="Q9" s="1">
        <f>$M9*'TABELA AUXILIAR'!$J$3+SUM(N$2:N9)</f>
        <v>1892.9311592288514</v>
      </c>
      <c r="R9" s="1">
        <f>$M9*'TABELA AUXILIAR'!$J$4+SUM(O$2:O9)</f>
        <v>2099.5900343493804</v>
      </c>
      <c r="S9" s="1">
        <f>$M9*'TABELA AUXILIAR'!$J$5+SUM(P$2:P9)</f>
        <v>2538.4651543646005</v>
      </c>
      <c r="T9" s="2">
        <f t="shared" si="7"/>
        <v>946</v>
      </c>
      <c r="U9" s="2">
        <f t="shared" si="0"/>
        <v>1049</v>
      </c>
      <c r="V9" s="2">
        <f t="shared" si="0"/>
        <v>1269</v>
      </c>
    </row>
    <row r="10" spans="1:22" x14ac:dyDescent="0.25">
      <c r="A10" s="1">
        <v>4.8</v>
      </c>
      <c r="B10" s="1">
        <v>5.4</v>
      </c>
      <c r="C10" s="1">
        <v>40</v>
      </c>
      <c r="D10" s="1" t="s">
        <v>20</v>
      </c>
      <c r="E10" s="1" t="s">
        <v>9</v>
      </c>
      <c r="F10" s="1" cm="1">
        <f t="array" ref="F10">_xlfn.XLOOKUP(D10,'TABELA AUXILIAR'!$A$2:$A$5,IF('SPT-05'!A10&lt;3,'TABELA AUXILIAR'!$B$2:$B$5,'TABELA AUXILIAR'!$C$2:$C$5),"",0,1)</f>
        <v>11</v>
      </c>
      <c r="G10" s="6">
        <f t="shared" si="1"/>
        <v>34.896547149560519</v>
      </c>
      <c r="H10" s="2">
        <f t="shared" si="2"/>
        <v>42.238951920217254</v>
      </c>
      <c r="I10" s="2">
        <f t="shared" si="3"/>
        <v>530.25303393757201</v>
      </c>
      <c r="J10" s="1">
        <f t="shared" si="8"/>
        <v>77.099999999999966</v>
      </c>
      <c r="K10" s="1">
        <f t="shared" si="4"/>
        <v>1.0879154214466489</v>
      </c>
      <c r="L10" s="1">
        <f t="shared" si="5"/>
        <v>83.878278993536597</v>
      </c>
      <c r="M10" s="1">
        <f t="shared" si="6"/>
        <v>970.45725181706973</v>
      </c>
      <c r="N10" s="1">
        <f>$L10*'TABELA AUXILIAR'!$I$3*(B10-A10)</f>
        <v>189.22939740941871</v>
      </c>
      <c r="O10" s="1">
        <f>$L10*'TABELA AUXILIAR'!$I$4*(B10-A10)</f>
        <v>205.33402697617777</v>
      </c>
      <c r="P10" s="1">
        <f>$L10*'TABELA AUXILIAR'!$I$5*(B10-A10)</f>
        <v>237.04001643573466</v>
      </c>
      <c r="Q10" s="1">
        <f>$M10*'TABELA AUXILIAR'!$J$3+SUM(N$2:N10)</f>
        <v>2630.1142085754859</v>
      </c>
      <c r="R10" s="1">
        <f>$M10*'TABELA AUXILIAR'!$J$4+SUM(O$2:O10)</f>
        <v>2945.0115131460234</v>
      </c>
      <c r="S10" s="1">
        <f>$M10*'TABELA AUXILIAR'!$J$5+SUM(P$2:P10)</f>
        <v>3628.9551065609553</v>
      </c>
      <c r="T10" s="2">
        <f t="shared" si="7"/>
        <v>1315</v>
      </c>
      <c r="U10" s="2">
        <f t="shared" si="0"/>
        <v>1472</v>
      </c>
      <c r="V10" s="2">
        <f t="shared" si="0"/>
        <v>1814</v>
      </c>
    </row>
    <row r="11" spans="1:22" x14ac:dyDescent="0.25">
      <c r="A11" s="1">
        <v>5.4</v>
      </c>
      <c r="B11" s="1">
        <v>6</v>
      </c>
      <c r="C11" s="1">
        <v>31</v>
      </c>
      <c r="D11" s="1" t="s">
        <v>20</v>
      </c>
      <c r="E11" s="1" t="s">
        <v>9</v>
      </c>
      <c r="F11" s="1" cm="1">
        <f t="array" ref="F11">_xlfn.XLOOKUP(D11,'TABELA AUXILIAR'!$A$2:$A$5,IF('SPT-05'!A11&lt;3,'TABELA AUXILIAR'!$B$2:$B$5,'TABELA AUXILIAR'!$C$2:$C$5),"",0,1)</f>
        <v>11</v>
      </c>
      <c r="G11" s="6">
        <f t="shared" si="1"/>
        <v>28.178618682240113</v>
      </c>
      <c r="H11" s="2">
        <f t="shared" si="2"/>
        <v>41.220527583275306</v>
      </c>
      <c r="I11" s="2">
        <f t="shared" si="3"/>
        <v>428.17411087663851</v>
      </c>
      <c r="J11" s="1">
        <f t="shared" si="8"/>
        <v>83.69999999999996</v>
      </c>
      <c r="K11" s="1">
        <f t="shared" si="4"/>
        <v>0.87594444379154279</v>
      </c>
      <c r="L11" s="1">
        <f t="shared" si="5"/>
        <v>73.316549945352094</v>
      </c>
      <c r="M11" s="1">
        <f t="shared" si="6"/>
        <v>831.41990868196956</v>
      </c>
      <c r="N11" s="1">
        <f>$L11*'TABELA AUXILIAR'!$I$3*(B11-A11)</f>
        <v>165.40213667671421</v>
      </c>
      <c r="O11" s="1">
        <f>$L11*'TABELA AUXILIAR'!$I$4*(B11-A11)</f>
        <v>179.47891426622181</v>
      </c>
      <c r="P11" s="1">
        <f>$L11*'TABELA AUXILIAR'!$I$5*(B11-A11)</f>
        <v>207.1925701455649</v>
      </c>
      <c r="Q11" s="1">
        <f>$M11*'TABELA AUXILIAR'!$J$3+SUM(N$2:N11)</f>
        <v>2638.4041475095369</v>
      </c>
      <c r="R11" s="1">
        <f>$M11*'TABELA AUXILIAR'!$J$4+SUM(O$2:O11)</f>
        <v>2940.9611344739128</v>
      </c>
      <c r="S11" s="1">
        <f>$M11*'TABELA AUXILIAR'!$J$5+SUM(P$2:P11)</f>
        <v>3591.4419527887439</v>
      </c>
      <c r="T11" s="2">
        <f t="shared" si="7"/>
        <v>1319</v>
      </c>
      <c r="U11" s="2">
        <f t="shared" si="0"/>
        <v>1470</v>
      </c>
      <c r="V11" s="2">
        <f t="shared" si="0"/>
        <v>1795</v>
      </c>
    </row>
    <row r="12" spans="1:22" x14ac:dyDescent="0.25">
      <c r="A12" s="1">
        <v>6</v>
      </c>
      <c r="B12" s="1">
        <v>6.6</v>
      </c>
      <c r="C12" s="1">
        <v>30</v>
      </c>
      <c r="D12" s="1" t="s">
        <v>20</v>
      </c>
      <c r="E12" s="1" t="s">
        <v>9</v>
      </c>
      <c r="F12" s="1" cm="1">
        <f t="array" ref="F12">_xlfn.XLOOKUP(D12,'TABELA AUXILIAR'!$A$2:$A$5,IF('SPT-05'!A12&lt;3,'TABELA AUXILIAR'!$B$2:$B$5,'TABELA AUXILIAR'!$C$2:$C$5),"",0,1)</f>
        <v>11</v>
      </c>
      <c r="G12" s="6">
        <f t="shared" si="1"/>
        <v>28.324379670378431</v>
      </c>
      <c r="H12" s="2">
        <f t="shared" si="2"/>
        <v>41.089515543420895</v>
      </c>
      <c r="I12" s="2">
        <f t="shared" si="3"/>
        <v>430.38894909140021</v>
      </c>
      <c r="J12" s="1">
        <f t="shared" si="8"/>
        <v>90.299999999999955</v>
      </c>
      <c r="K12" s="1">
        <f t="shared" si="4"/>
        <v>0.83415639460679913</v>
      </c>
      <c r="L12" s="1">
        <f t="shared" si="5"/>
        <v>75.324322432993924</v>
      </c>
      <c r="M12" s="1">
        <f t="shared" si="6"/>
        <v>847.62829133338755</v>
      </c>
      <c r="N12" s="1">
        <f>$L12*'TABELA AUXILIAR'!$I$3*(B12-A12)</f>
        <v>169.93167140883418</v>
      </c>
      <c r="O12" s="1">
        <f>$L12*'TABELA AUXILIAR'!$I$4*(B12-A12)</f>
        <v>184.39394131596904</v>
      </c>
      <c r="P12" s="1">
        <f>$L12*'TABELA AUXILIAR'!$I$5*(B12-A12)</f>
        <v>212.86653519564072</v>
      </c>
      <c r="Q12" s="1">
        <f>$M12*'TABELA AUXILIAR'!$J$3+SUM(N$2:N12)</f>
        <v>2826.6512913144734</v>
      </c>
      <c r="R12" s="1">
        <f>$M12*'TABELA AUXILIAR'!$J$4+SUM(O$2:O12)</f>
        <v>3146.7501408897533</v>
      </c>
      <c r="S12" s="1">
        <f>$M12*'TABELA AUXILIAR'!$J$5+SUM(P$2:P12)</f>
        <v>3832.8352414508799</v>
      </c>
      <c r="T12" s="2">
        <f t="shared" si="7"/>
        <v>1413</v>
      </c>
      <c r="U12" s="2">
        <f t="shared" si="0"/>
        <v>1573</v>
      </c>
      <c r="V12" s="2">
        <f t="shared" si="0"/>
        <v>1916</v>
      </c>
    </row>
    <row r="13" spans="1:22" x14ac:dyDescent="0.25">
      <c r="A13" s="1">
        <v>6.6</v>
      </c>
      <c r="B13" s="1">
        <v>7.2</v>
      </c>
      <c r="C13" s="1">
        <v>35</v>
      </c>
      <c r="D13" s="1" t="s">
        <v>18</v>
      </c>
      <c r="E13" s="1" t="s">
        <v>3</v>
      </c>
      <c r="F13" s="1" cm="1">
        <f t="array" ref="F13">_xlfn.XLOOKUP(D13,'TABELA AUXILIAR'!$A$2:$A$5,IF('SPT-05'!A13&lt;3,'TABELA AUXILIAR'!$B$2:$B$5,'TABELA AUXILIAR'!$C$2:$C$5),"",0,1)</f>
        <v>8.5</v>
      </c>
      <c r="G13" s="6">
        <f t="shared" si="1"/>
        <v>34.098711303171235</v>
      </c>
      <c r="H13" s="2">
        <f t="shared" si="2"/>
        <v>41.705426008022535</v>
      </c>
      <c r="I13" s="2">
        <f t="shared" si="3"/>
        <v>801.48920260984551</v>
      </c>
      <c r="J13" s="1">
        <f t="shared" si="8"/>
        <v>96.149999999999949</v>
      </c>
      <c r="K13" s="1">
        <f t="shared" si="4"/>
        <v>1.2226634865302641</v>
      </c>
      <c r="L13" s="1">
        <f t="shared" si="5"/>
        <v>117.55909422988483</v>
      </c>
      <c r="M13" s="1">
        <f t="shared" si="6"/>
        <v>995.68003386405246</v>
      </c>
      <c r="N13" s="1">
        <f>$L13*'TABELA AUXILIAR'!$I$3*(B13-A13)</f>
        <v>265.21331658262039</v>
      </c>
      <c r="O13" s="1">
        <f>$L13*'TABELA AUXILIAR'!$I$4*(B13-A13)</f>
        <v>287.78466267475829</v>
      </c>
      <c r="P13" s="1">
        <f>$L13*'TABELA AUXILIAR'!$I$5*(B13-A13)</f>
        <v>332.22200029365484</v>
      </c>
      <c r="Q13" s="1">
        <f>$M13*'TABELA AUXILIAR'!$J$3+SUM(N$2:N13)</f>
        <v>3259.163076956745</v>
      </c>
      <c r="R13" s="1">
        <f>$M13*'TABELA AUXILIAR'!$J$4+SUM(O$2:O13)</f>
        <v>3629.9631037049894</v>
      </c>
      <c r="S13" s="1">
        <f>$M13*'TABELA AUXILIAR'!$J$5+SUM(P$2:P13)</f>
        <v>4425.6283085985051</v>
      </c>
      <c r="T13" s="2">
        <f t="shared" si="7"/>
        <v>1629</v>
      </c>
      <c r="U13" s="2">
        <f t="shared" si="0"/>
        <v>1814</v>
      </c>
      <c r="V13" s="2">
        <f t="shared" si="0"/>
        <v>2212</v>
      </c>
    </row>
    <row r="14" spans="1:22" x14ac:dyDescent="0.25">
      <c r="A14" s="1">
        <v>7.2</v>
      </c>
      <c r="B14" s="1">
        <v>7.8</v>
      </c>
      <c r="C14" s="1">
        <v>38</v>
      </c>
      <c r="D14" s="1" t="s">
        <v>18</v>
      </c>
      <c r="E14" s="1" t="s">
        <v>3</v>
      </c>
      <c r="F14" s="1" cm="1">
        <f t="array" ref="F14">_xlfn.XLOOKUP(D14,'TABELA AUXILIAR'!$A$2:$A$5,IF('SPT-05'!A14&lt;3,'TABELA AUXILIAR'!$B$2:$B$5,'TABELA AUXILIAR'!$C$2:$C$5),"",0,1)</f>
        <v>8.5</v>
      </c>
      <c r="G14" s="6">
        <f t="shared" si="1"/>
        <v>37.990620757601164</v>
      </c>
      <c r="H14" s="2">
        <f t="shared" si="2"/>
        <v>42.034009088874654</v>
      </c>
      <c r="I14" s="2">
        <f t="shared" si="3"/>
        <v>873.87318917415291</v>
      </c>
      <c r="J14" s="1">
        <f t="shared" si="8"/>
        <v>101.24999999999994</v>
      </c>
      <c r="K14" s="1">
        <f t="shared" si="4"/>
        <v>1.2612115623447977</v>
      </c>
      <c r="L14" s="1">
        <f t="shared" si="5"/>
        <v>127.69767068741069</v>
      </c>
      <c r="M14" s="1">
        <f t="shared" si="6"/>
        <v>1096.8814355362567</v>
      </c>
      <c r="N14" s="1">
        <f>$L14*'TABELA AUXILIAR'!$I$3*(B14-A14)</f>
        <v>288.08594507079835</v>
      </c>
      <c r="O14" s="1">
        <f>$L14*'TABELA AUXILIAR'!$I$4*(B14-A14)</f>
        <v>312.60389784278118</v>
      </c>
      <c r="P14" s="1">
        <f>$L14*'TABELA AUXILIAR'!$I$5*(B14-A14)</f>
        <v>360.87361736262238</v>
      </c>
      <c r="Q14" s="1">
        <f>$M14*'TABELA AUXILIAR'!$J$3+SUM(N$2:N14)</f>
        <v>3661.6066059171344</v>
      </c>
      <c r="R14" s="1">
        <f>$M14*'TABELA AUXILIAR'!$J$4+SUM(O$2:O14)</f>
        <v>4076.1528517550805</v>
      </c>
      <c r="S14" s="1">
        <f>$M14*'TABELA AUXILIAR'!$J$5+SUM(P$2:P14)</f>
        <v>4964.6163929042068</v>
      </c>
      <c r="T14" s="2">
        <f t="shared" si="7"/>
        <v>1830</v>
      </c>
      <c r="U14" s="2">
        <f t="shared" si="0"/>
        <v>2038</v>
      </c>
      <c r="V14" s="2">
        <f t="shared" si="0"/>
        <v>2482</v>
      </c>
    </row>
    <row r="15" spans="1:22" x14ac:dyDescent="0.25">
      <c r="A15" s="1">
        <v>7.8</v>
      </c>
      <c r="B15" s="1">
        <v>8.4</v>
      </c>
      <c r="C15" s="1">
        <v>34</v>
      </c>
      <c r="D15" s="1" t="s">
        <v>18</v>
      </c>
      <c r="E15" s="1" t="s">
        <v>3</v>
      </c>
      <c r="F15" s="1" cm="1">
        <f t="array" ref="F15">_xlfn.XLOOKUP(D15,'TABELA AUXILIAR'!$A$2:$A$5,IF('SPT-05'!A15&lt;3,'TABELA AUXILIAR'!$B$2:$B$5,'TABELA AUXILIAR'!$C$2:$C$5),"",0,1)</f>
        <v>8.5</v>
      </c>
      <c r="G15" s="6">
        <f t="shared" si="1"/>
        <v>34.837175908380836</v>
      </c>
      <c r="H15" s="2">
        <f t="shared" si="2"/>
        <v>41.589606036788744</v>
      </c>
      <c r="I15" s="2">
        <f t="shared" si="3"/>
        <v>815.34545844701631</v>
      </c>
      <c r="J15" s="1">
        <f t="shared" si="8"/>
        <v>106.34999999999994</v>
      </c>
      <c r="K15" s="1">
        <f t="shared" si="4"/>
        <v>1.1533963586783893</v>
      </c>
      <c r="L15" s="1">
        <f t="shared" si="5"/>
        <v>122.66370274544663</v>
      </c>
      <c r="M15" s="1">
        <f t="shared" si="6"/>
        <v>1033.5260321034577</v>
      </c>
      <c r="N15" s="1">
        <f>$L15*'TABELA AUXILIAR'!$I$3*(B15-A15)</f>
        <v>276.72931339372781</v>
      </c>
      <c r="O15" s="1">
        <f>$L15*'TABELA AUXILIAR'!$I$4*(B15-A15)</f>
        <v>300.28074432085361</v>
      </c>
      <c r="P15" s="1">
        <f>$L15*'TABELA AUXILIAR'!$I$5*(B15-A15)</f>
        <v>346.64762395863244</v>
      </c>
      <c r="Q15" s="1">
        <f>$M15*'TABELA AUXILIAR'!$J$3+SUM(N$2:N15)</f>
        <v>3866.7443134317991</v>
      </c>
      <c r="R15" s="1">
        <f>$M15*'TABELA AUXILIAR'!$J$4+SUM(O$2:O15)</f>
        <v>4292.8044635446395</v>
      </c>
      <c r="S15" s="1">
        <f>$M15*'TABELA AUXILIAR'!$J$5+SUM(P$2:P15)</f>
        <v>5199.7585068211129</v>
      </c>
      <c r="T15" s="2">
        <f t="shared" si="7"/>
        <v>1933</v>
      </c>
      <c r="U15" s="2">
        <f t="shared" si="0"/>
        <v>2146</v>
      </c>
      <c r="V15" s="2">
        <f t="shared" si="0"/>
        <v>2599</v>
      </c>
    </row>
    <row r="16" spans="1:22" x14ac:dyDescent="0.25">
      <c r="A16" s="1">
        <v>8.4</v>
      </c>
      <c r="B16" s="1">
        <v>9</v>
      </c>
      <c r="C16" s="1">
        <v>28</v>
      </c>
      <c r="D16" s="1" t="s">
        <v>18</v>
      </c>
      <c r="E16" s="1" t="s">
        <v>3</v>
      </c>
      <c r="F16" s="1" cm="1">
        <f t="array" ref="F16">_xlfn.XLOOKUP(D16,'TABELA AUXILIAR'!$A$2:$A$5,IF('SPT-05'!A16&lt;3,'TABELA AUXILIAR'!$B$2:$B$5,'TABELA AUXILIAR'!$C$2:$C$5),"",0,1)</f>
        <v>8.5</v>
      </c>
      <c r="G16" s="6">
        <f t="shared" si="1"/>
        <v>29.369283065119767</v>
      </c>
      <c r="H16" s="2">
        <f t="shared" si="2"/>
        <v>40.813853888348419</v>
      </c>
      <c r="I16" s="2">
        <f t="shared" si="3"/>
        <v>711.24950860261117</v>
      </c>
      <c r="J16" s="1">
        <f t="shared" si="8"/>
        <v>111.44999999999993</v>
      </c>
      <c r="K16" s="1">
        <f t="shared" si="4"/>
        <v>1.0046119975485193</v>
      </c>
      <c r="L16" s="1">
        <f t="shared" si="5"/>
        <v>111.96400712678241</v>
      </c>
      <c r="M16" s="1">
        <f t="shared" si="6"/>
        <v>910.06048693273658</v>
      </c>
      <c r="N16" s="1">
        <f>$L16*'TABELA AUXILIAR'!$I$3*(B16-A16)</f>
        <v>252.59080007802095</v>
      </c>
      <c r="O16" s="1">
        <f>$L16*'TABELA AUXILIAR'!$I$4*(B16-A16)</f>
        <v>274.08788944636319</v>
      </c>
      <c r="P16" s="1">
        <f>$L16*'TABELA AUXILIAR'!$I$5*(B16-A16)</f>
        <v>316.41028414028693</v>
      </c>
      <c r="Q16" s="1">
        <f>$M16*'TABELA AUXILIAR'!$J$3+SUM(N$2:N16)</f>
        <v>3979.8190474669054</v>
      </c>
      <c r="R16" s="1">
        <f>$M16*'TABELA AUXILIAR'!$J$4+SUM(O$2:O16)</f>
        <v>4403.91783336565</v>
      </c>
      <c r="S16" s="1">
        <f>$M16*'TABELA AUXILIAR'!$J$5+SUM(P$2:P16)</f>
        <v>5298.8694314609311</v>
      </c>
      <c r="T16" s="2">
        <f t="shared" si="7"/>
        <v>1989</v>
      </c>
      <c r="U16" s="2">
        <f t="shared" si="0"/>
        <v>2201</v>
      </c>
      <c r="V16" s="2">
        <f t="shared" si="0"/>
        <v>2649</v>
      </c>
    </row>
    <row r="17" spans="1:22" x14ac:dyDescent="0.25">
      <c r="A17" s="1">
        <v>9</v>
      </c>
      <c r="B17" s="1">
        <v>9.6</v>
      </c>
      <c r="C17" s="1">
        <v>21</v>
      </c>
      <c r="D17" s="1" t="s">
        <v>18</v>
      </c>
      <c r="E17" s="1" t="s">
        <v>2</v>
      </c>
      <c r="F17" s="1" cm="1">
        <f t="array" ref="F17">_xlfn.XLOOKUP(D17,'TABELA AUXILIAR'!$A$2:$A$5,IF('SPT-05'!A17&lt;3,'TABELA AUXILIAR'!$B$2:$B$5,'TABELA AUXILIAR'!$C$2:$C$5),"",0,1)</f>
        <v>8.5</v>
      </c>
      <c r="G17" s="6">
        <f t="shared" si="1"/>
        <v>22.525306597578329</v>
      </c>
      <c r="H17" s="2">
        <f t="shared" si="2"/>
        <v>39.66441751155206</v>
      </c>
      <c r="I17" s="2">
        <f t="shared" si="3"/>
        <v>575.23310511574937</v>
      </c>
      <c r="J17" s="1">
        <f t="shared" si="8"/>
        <v>116.54999999999993</v>
      </c>
      <c r="K17" s="1">
        <f t="shared" si="4"/>
        <v>0.8309013219818745</v>
      </c>
      <c r="L17" s="1">
        <f t="shared" si="5"/>
        <v>96.841549076987405</v>
      </c>
      <c r="M17" s="1">
        <f t="shared" si="6"/>
        <v>742.64043577801499</v>
      </c>
      <c r="N17" s="1">
        <f>$L17*'TABELA AUXILIAR'!$I$3*(B17-A17)</f>
        <v>218.47453471768344</v>
      </c>
      <c r="O17" s="1">
        <f>$L17*'TABELA AUXILIAR'!$I$4*(B17-A17)</f>
        <v>237.06811214046505</v>
      </c>
      <c r="P17" s="1">
        <f>$L17*'TABELA AUXILIAR'!$I$5*(B17-A17)</f>
        <v>273.67421769156624</v>
      </c>
      <c r="Q17" s="1">
        <f>$M17*'TABELA AUXILIAR'!$J$3+SUM(N$2:N17)</f>
        <v>4009.1089243797537</v>
      </c>
      <c r="R17" s="1">
        <f>$M17*'TABELA AUXILIAR'!$J$4+SUM(O$2:O17)</f>
        <v>4419.9914779818828</v>
      </c>
      <c r="S17" s="1">
        <f>$M17*'TABELA AUXILIAR'!$J$5+SUM(P$2:P17)</f>
        <v>5277.8843591201867</v>
      </c>
      <c r="T17" s="2">
        <f t="shared" si="7"/>
        <v>2004</v>
      </c>
      <c r="U17" s="2">
        <f t="shared" si="0"/>
        <v>2209</v>
      </c>
      <c r="V17" s="2">
        <f t="shared" si="0"/>
        <v>2638</v>
      </c>
    </row>
    <row r="18" spans="1:22" x14ac:dyDescent="0.25">
      <c r="A18" s="1">
        <v>9.6</v>
      </c>
      <c r="B18" s="1">
        <v>10.199999999999999</v>
      </c>
      <c r="C18" s="1">
        <v>17</v>
      </c>
      <c r="D18" s="1" t="s">
        <v>18</v>
      </c>
      <c r="E18" s="1" t="s">
        <v>2</v>
      </c>
      <c r="F18" s="1" cm="1">
        <f t="array" ref="F18">_xlfn.XLOOKUP(D18,'TABELA AUXILIAR'!$A$2:$A$5,IF('SPT-05'!A18&lt;3,'TABELA AUXILIAR'!$B$2:$B$5,'TABELA AUXILIAR'!$C$2:$C$5),"",0,1)</f>
        <v>8.5</v>
      </c>
      <c r="G18" s="6">
        <f t="shared" si="1"/>
        <v>18.629459522294077</v>
      </c>
      <c r="H18" s="2">
        <f t="shared" si="2"/>
        <v>38.820130076680115</v>
      </c>
      <c r="I18" s="2">
        <f t="shared" si="3"/>
        <v>494.15990809805453</v>
      </c>
      <c r="J18" s="1">
        <f t="shared" si="8"/>
        <v>121.64999999999992</v>
      </c>
      <c r="K18" s="1">
        <f t="shared" si="4"/>
        <v>0.7228465010241425</v>
      </c>
      <c r="L18" s="1">
        <f t="shared" si="5"/>
        <v>87.93427684958688</v>
      </c>
      <c r="M18" s="1">
        <f t="shared" si="6"/>
        <v>643.46094856380216</v>
      </c>
      <c r="N18" s="1">
        <f>$L18*'TABELA AUXILIAR'!$I$3*(B18-A18)</f>
        <v>198.37972857266786</v>
      </c>
      <c r="O18" s="1">
        <f>$L18*'TABELA AUXILIAR'!$I$4*(B18-A18)</f>
        <v>215.26310972778856</v>
      </c>
      <c r="P18" s="1">
        <f>$L18*'TABELA AUXILIAR'!$I$5*(B18-A18)</f>
        <v>248.50226637693237</v>
      </c>
      <c r="Q18" s="1">
        <f>$M18*'TABELA AUXILIAR'!$J$3+SUM(N$2:N18)</f>
        <v>4095.4158324003611</v>
      </c>
      <c r="R18" s="1">
        <f>$M18*'TABELA AUXILIAR'!$J$4+SUM(O$2:O18)</f>
        <v>4504.3376645869103</v>
      </c>
      <c r="S18" s="1">
        <f>$M18*'TABELA AUXILIAR'!$J$5+SUM(P$2:P18)</f>
        <v>5351.8307280001045</v>
      </c>
      <c r="T18" s="2">
        <f t="shared" si="7"/>
        <v>2047</v>
      </c>
      <c r="U18" s="2">
        <f t="shared" si="7"/>
        <v>2252</v>
      </c>
      <c r="V18" s="2">
        <f t="shared" si="7"/>
        <v>2675</v>
      </c>
    </row>
    <row r="19" spans="1:22" x14ac:dyDescent="0.25">
      <c r="A19" s="1">
        <v>10.199999999999999</v>
      </c>
      <c r="B19" s="1">
        <v>10.8</v>
      </c>
      <c r="C19" s="1">
        <v>33</v>
      </c>
      <c r="D19" s="1" t="s">
        <v>18</v>
      </c>
      <c r="E19" s="1" t="s">
        <v>2</v>
      </c>
      <c r="F19" s="1" cm="1">
        <f t="array" ref="F19">_xlfn.XLOOKUP(D19,'TABELA AUXILIAR'!$A$2:$A$5,IF('SPT-05'!A19&lt;3,'TABELA AUXILIAR'!$B$2:$B$5,'TABELA AUXILIAR'!$C$2:$C$5),"",0,1)</f>
        <v>8.5</v>
      </c>
      <c r="G19" s="6">
        <f t="shared" si="1"/>
        <v>36.91332795683644</v>
      </c>
      <c r="H19" s="2">
        <f t="shared" si="2"/>
        <v>41.470328246876562</v>
      </c>
      <c r="I19" s="2">
        <f t="shared" si="3"/>
        <v>853.99212175642958</v>
      </c>
      <c r="J19" s="1">
        <f t="shared" si="8"/>
        <v>126.74999999999993</v>
      </c>
      <c r="K19" s="1">
        <f t="shared" si="4"/>
        <v>1.0559340163270443</v>
      </c>
      <c r="L19" s="1">
        <f t="shared" si="5"/>
        <v>133.83963656945278</v>
      </c>
      <c r="M19" s="1">
        <f t="shared" si="6"/>
        <v>1121.1809821256215</v>
      </c>
      <c r="N19" s="1">
        <f>$L19*'TABELA AUXILIAR'!$I$3*(B19-A19)</f>
        <v>301.9422201006862</v>
      </c>
      <c r="O19" s="1">
        <f>$L19*'TABELA AUXILIAR'!$I$4*(B19-A19)</f>
        <v>327.63943032202121</v>
      </c>
      <c r="P19" s="1">
        <f>$L19*'TABELA AUXILIAR'!$I$5*(B19-A19)</f>
        <v>378.23081294527447</v>
      </c>
      <c r="Q19" s="1">
        <f>$M19*'TABELA AUXILIAR'!$J$3+SUM(N$2:N19)</f>
        <v>4937.1816904259031</v>
      </c>
      <c r="R19" s="1">
        <f>$M19*'TABELA AUXILIAR'!$J$4+SUM(O$2:O19)</f>
        <v>5462.5675392105331</v>
      </c>
      <c r="S19" s="1">
        <f>$M19*'TABELA AUXILIAR'!$J$5+SUM(P$2:P19)</f>
        <v>6570.8488000141806</v>
      </c>
      <c r="T19" s="2">
        <f t="shared" si="7"/>
        <v>2468</v>
      </c>
      <c r="U19" s="2">
        <f t="shared" si="7"/>
        <v>2731</v>
      </c>
      <c r="V19" s="2">
        <f t="shared" si="7"/>
        <v>3285</v>
      </c>
    </row>
    <row r="20" spans="1:22" x14ac:dyDescent="0.25">
      <c r="A20" s="1">
        <v>10.8</v>
      </c>
      <c r="B20" s="1">
        <v>11.4</v>
      </c>
      <c r="C20" s="1">
        <v>48</v>
      </c>
      <c r="D20" s="1" t="s">
        <v>18</v>
      </c>
      <c r="E20" s="1" t="s">
        <v>2</v>
      </c>
      <c r="F20" s="1" cm="1">
        <f t="array" ref="F20">_xlfn.XLOOKUP(D20,'TABELA AUXILIAR'!$A$2:$A$5,IF('SPT-05'!A20&lt;3,'TABELA AUXILIAR'!$B$2:$B$5,'TABELA AUXILIAR'!$C$2:$C$5),"",0,1)</f>
        <v>8.5</v>
      </c>
      <c r="G20" s="6">
        <f t="shared" si="1"/>
        <v>54.761657131669367</v>
      </c>
      <c r="H20" s="2">
        <f t="shared" si="2"/>
        <v>42.9674193838554</v>
      </c>
      <c r="I20" s="2">
        <f t="shared" si="3"/>
        <v>1170.8157842501689</v>
      </c>
      <c r="J20" s="1">
        <f t="shared" si="8"/>
        <v>131.84999999999994</v>
      </c>
      <c r="K20" s="1">
        <f t="shared" si="4"/>
        <v>1.3139423166141848</v>
      </c>
      <c r="L20" s="1">
        <f t="shared" si="5"/>
        <v>173.24329444558018</v>
      </c>
      <c r="M20" s="1">
        <f t="shared" si="6"/>
        <v>1549.3047777745378</v>
      </c>
      <c r="N20" s="1">
        <f>$L20*'TABELA AUXILIAR'!$I$3*(B20-A20)</f>
        <v>390.83687226922859</v>
      </c>
      <c r="O20" s="1">
        <f>$L20*'TABELA AUXILIAR'!$I$4*(B20-A20)</f>
        <v>424.09958480278004</v>
      </c>
      <c r="P20" s="1">
        <f>$L20*'TABELA AUXILIAR'!$I$5*(B20-A20)</f>
        <v>489.5855501032093</v>
      </c>
      <c r="Q20" s="1">
        <f>$M20*'TABELA AUXILIAR'!$J$3+SUM(N$2:N20)</f>
        <v>5811.7984517784071</v>
      </c>
      <c r="R20" s="1">
        <f>$M20*'TABELA AUXILIAR'!$J$4+SUM(O$2:O20)</f>
        <v>6451.7905342698823</v>
      </c>
      <c r="S20" s="1">
        <f>$M20*'TABELA AUXILIAR'!$J$5+SUM(P$2:P20)</f>
        <v>7813.9322304594825</v>
      </c>
      <c r="T20" s="2">
        <f t="shared" si="7"/>
        <v>2905</v>
      </c>
      <c r="U20" s="2">
        <f t="shared" si="7"/>
        <v>3225</v>
      </c>
      <c r="V20" s="2">
        <f t="shared" si="7"/>
        <v>3906</v>
      </c>
    </row>
    <row r="21" spans="1:22" x14ac:dyDescent="0.25">
      <c r="A21" s="1">
        <v>11.4</v>
      </c>
      <c r="B21" s="1">
        <v>12</v>
      </c>
      <c r="C21" s="1">
        <v>50</v>
      </c>
      <c r="D21" s="1" t="s">
        <v>18</v>
      </c>
      <c r="E21" s="1" t="s">
        <v>2</v>
      </c>
      <c r="F21" s="1" cm="1">
        <f t="array" ref="F21">_xlfn.XLOOKUP(D21,'TABELA AUXILIAR'!$A$2:$A$5,IF('SPT-05'!A21&lt;3,'TABELA AUXILIAR'!$B$2:$B$5,'TABELA AUXILIAR'!$C$2:$C$5),"",0,1)</f>
        <v>8.5</v>
      </c>
      <c r="G21" s="6">
        <f t="shared" si="1"/>
        <v>58.136154312975265</v>
      </c>
      <c r="H21" s="2">
        <f t="shared" si="2"/>
        <v>43.13052403989137</v>
      </c>
      <c r="I21" s="2">
        <f t="shared" si="3"/>
        <v>1228.1865675025756</v>
      </c>
      <c r="J21" s="1">
        <f t="shared" si="8"/>
        <v>136.94999999999996</v>
      </c>
      <c r="K21" s="1">
        <f t="shared" si="4"/>
        <v>1.3277507275832325</v>
      </c>
      <c r="L21" s="1">
        <f t="shared" si="5"/>
        <v>181.83546214252365</v>
      </c>
      <c r="M21" s="1">
        <f t="shared" si="6"/>
        <v>1637.6044703926957</v>
      </c>
      <c r="N21" s="1">
        <f>$L21*'TABELA AUXILIAR'!$I$3*(B21-A21)</f>
        <v>410.22080259353311</v>
      </c>
      <c r="O21" s="1">
        <f>$L21*'TABELA AUXILIAR'!$I$4*(B21-A21)</f>
        <v>445.13321132489767</v>
      </c>
      <c r="P21" s="1">
        <f>$L21*'TABELA AUXILIAR'!$I$5*(B21-A21)</f>
        <v>513.86701601477159</v>
      </c>
      <c r="Q21" s="1">
        <f>$M21*'TABELA AUXILIAR'!$J$3+SUM(N$2:N21)</f>
        <v>6321.7979070304591</v>
      </c>
      <c r="R21" s="1">
        <f>$M21*'TABELA AUXILIAR'!$J$4+SUM(O$2:O21)</f>
        <v>7013.4793398507481</v>
      </c>
      <c r="S21" s="1">
        <f>$M21*'TABELA AUXILIAR'!$J$5+SUM(P$2:P21)</f>
        <v>8483.206705482211</v>
      </c>
      <c r="T21" s="2">
        <f t="shared" si="7"/>
        <v>3160</v>
      </c>
      <c r="U21" s="2">
        <f t="shared" si="7"/>
        <v>3506</v>
      </c>
      <c r="V21" s="2">
        <f t="shared" si="7"/>
        <v>4241</v>
      </c>
    </row>
    <row r="22" spans="1:22" x14ac:dyDescent="0.25">
      <c r="A22" s="1">
        <v>12</v>
      </c>
      <c r="B22" s="1">
        <v>12.6</v>
      </c>
      <c r="C22" s="1">
        <v>50</v>
      </c>
      <c r="D22" s="1" t="s">
        <v>18</v>
      </c>
      <c r="E22" s="1" t="s">
        <v>2</v>
      </c>
      <c r="F22" s="1" cm="1">
        <f t="array" ref="F22">_xlfn.XLOOKUP(D22,'TABELA AUXILIAR'!$A$2:$A$5,IF('SPT-05'!A22&lt;3,'TABELA AUXILIAR'!$B$2:$B$5,'TABELA AUXILIAR'!$C$2:$C$5),"",0,1)</f>
        <v>8.5</v>
      </c>
      <c r="G22" s="6">
        <f t="shared" si="1"/>
        <v>59.208751120753824</v>
      </c>
      <c r="H22" s="2">
        <f t="shared" si="2"/>
        <v>43.13052403989137</v>
      </c>
      <c r="I22" s="2">
        <f t="shared" si="3"/>
        <v>1246.2811427575014</v>
      </c>
      <c r="J22" s="1">
        <f t="shared" si="8"/>
        <v>142.04999999999998</v>
      </c>
      <c r="K22" s="1">
        <f t="shared" si="4"/>
        <v>1.3079855247146441</v>
      </c>
      <c r="L22" s="1">
        <f t="shared" si="5"/>
        <v>185.79934378571517</v>
      </c>
      <c r="M22" s="1">
        <f t="shared" si="6"/>
        <v>1673.9270833076869</v>
      </c>
      <c r="N22" s="1">
        <f>$L22*'TABELA AUXILIAR'!$I$3*(B22-A22)</f>
        <v>419.16331958057316</v>
      </c>
      <c r="O22" s="1">
        <f>$L22*'TABELA AUXILIAR'!$I$4*(B22-A22)</f>
        <v>454.83679358743041</v>
      </c>
      <c r="P22" s="1">
        <f>$L22*'TABELA AUXILIAR'!$I$5*(B22-A22)</f>
        <v>525.06894553843074</v>
      </c>
      <c r="Q22" s="1">
        <f>$M22*'TABELA AUXILIAR'!$J$3+SUM(N$2:N22)</f>
        <v>6782.005779204972</v>
      </c>
      <c r="R22" s="1">
        <f>$M22*'TABELA AUXILIAR'!$J$4+SUM(O$2:O22)</f>
        <v>7516.2619824859667</v>
      </c>
      <c r="S22" s="1">
        <f>$M22*'TABELA AUXILIAR'!$J$5+SUM(P$2:P22)</f>
        <v>9072.2034497510267</v>
      </c>
      <c r="T22" s="2">
        <f t="shared" si="7"/>
        <v>3391</v>
      </c>
      <c r="U22" s="2">
        <f t="shared" si="7"/>
        <v>3758</v>
      </c>
      <c r="V22" s="2">
        <f t="shared" si="7"/>
        <v>4536</v>
      </c>
    </row>
    <row r="23" spans="1:22" x14ac:dyDescent="0.25">
      <c r="A23" s="1">
        <v>12.6</v>
      </c>
      <c r="B23" s="1">
        <v>13.2</v>
      </c>
      <c r="C23" s="1">
        <v>24</v>
      </c>
      <c r="D23" s="1" t="s">
        <v>18</v>
      </c>
      <c r="E23" s="1" t="s">
        <v>2</v>
      </c>
      <c r="F23" s="1" cm="1">
        <f t="array" ref="F23">_xlfn.XLOOKUP(D23,'TABELA AUXILIAR'!$A$2:$A$5,IF('SPT-05'!A23&lt;3,'TABELA AUXILIAR'!$B$2:$B$5,'TABELA AUXILIAR'!$C$2:$C$5),"",0,1)</f>
        <v>8.5</v>
      </c>
      <c r="G23" s="6">
        <f t="shared" si="1"/>
        <v>28.925884799797142</v>
      </c>
      <c r="H23" s="2">
        <f t="shared" si="2"/>
        <v>40.197943423746771</v>
      </c>
      <c r="I23" s="2">
        <f t="shared" si="3"/>
        <v>702.64607576561696</v>
      </c>
      <c r="J23" s="1">
        <f t="shared" si="8"/>
        <v>147.15</v>
      </c>
      <c r="K23" s="1">
        <f t="shared" si="4"/>
        <v>0.82184953172997277</v>
      </c>
      <c r="L23" s="1">
        <f t="shared" si="5"/>
        <v>120.9351585940655</v>
      </c>
      <c r="M23" s="1">
        <f t="shared" si="6"/>
        <v>950.43176565229692</v>
      </c>
      <c r="N23" s="1">
        <f>$L23*'TABELA AUXILIAR'!$I$3*(B23-A23)</f>
        <v>272.82971778821155</v>
      </c>
      <c r="O23" s="1">
        <f>$L23*'TABELA AUXILIAR'!$I$4*(B23-A23)</f>
        <v>296.04926823827219</v>
      </c>
      <c r="P23" s="1">
        <f>$L23*'TABELA AUXILIAR'!$I$5*(B23-A23)</f>
        <v>341.76275818682888</v>
      </c>
      <c r="Q23" s="1">
        <f>$M23*'TABELA AUXILIAR'!$J$3+SUM(N$2:N23)</f>
        <v>6237.2857880425927</v>
      </c>
      <c r="R23" s="1">
        <f>$M23*'TABELA AUXILIAR'!$J$4+SUM(O$2:O23)</f>
        <v>6857.2974314191242</v>
      </c>
      <c r="S23" s="1">
        <f>$M23*'TABELA AUXILIAR'!$J$5+SUM(P$2:P23)</f>
        <v>8140.6144488643695</v>
      </c>
      <c r="T23" s="2">
        <f t="shared" si="7"/>
        <v>3118</v>
      </c>
      <c r="U23" s="2">
        <f t="shared" si="7"/>
        <v>3428</v>
      </c>
      <c r="V23" s="2">
        <f t="shared" si="7"/>
        <v>4070</v>
      </c>
    </row>
    <row r="24" spans="1:22" x14ac:dyDescent="0.25">
      <c r="A24" s="1">
        <v>13.2</v>
      </c>
      <c r="B24" s="1">
        <v>13.8</v>
      </c>
      <c r="C24" s="1">
        <v>45</v>
      </c>
      <c r="D24" s="1" t="s">
        <v>18</v>
      </c>
      <c r="E24" s="1" t="s">
        <v>3</v>
      </c>
      <c r="F24" s="1" cm="1">
        <f t="array" ref="F24">_xlfn.XLOOKUP(D24,'TABELA AUXILIAR'!$A$2:$A$5,IF('SPT-05'!A24&lt;3,'TABELA AUXILIAR'!$B$2:$B$5,'TABELA AUXILIAR'!$C$2:$C$5),"",0,1)</f>
        <v>8.5</v>
      </c>
      <c r="G24" s="6">
        <f t="shared" si="1"/>
        <v>55.167898623198504</v>
      </c>
      <c r="H24" s="2">
        <f t="shared" si="2"/>
        <v>42.709555126733164</v>
      </c>
      <c r="I24" s="2">
        <f t="shared" si="3"/>
        <v>1177.7590679406703</v>
      </c>
      <c r="J24" s="1">
        <f t="shared" si="8"/>
        <v>152.25000000000003</v>
      </c>
      <c r="K24" s="1">
        <f t="shared" si="4"/>
        <v>1.1895115080815124</v>
      </c>
      <c r="L24" s="1">
        <f t="shared" si="5"/>
        <v>181.10312710541029</v>
      </c>
      <c r="M24" s="1">
        <f t="shared" si="6"/>
        <v>1603.9845531746846</v>
      </c>
      <c r="N24" s="1">
        <f>$L24*'TABELA AUXILIAR'!$I$3*(B24-A24)</f>
        <v>408.56865474980657</v>
      </c>
      <c r="O24" s="1">
        <f>$L24*'TABELA AUXILIAR'!$I$4*(B24-A24)</f>
        <v>443.34045515404546</v>
      </c>
      <c r="P24" s="1">
        <f>$L24*'TABELA AUXILIAR'!$I$5*(B24-A24)</f>
        <v>511.79743719989068</v>
      </c>
      <c r="Q24" s="1">
        <f>$M24*'TABELA AUXILIAR'!$J$3+SUM(N$2:N24)</f>
        <v>7384.3690926926974</v>
      </c>
      <c r="R24" s="1">
        <f>$M24*'TABELA AUXILIAR'!$J$4+SUM(O$2:O24)</f>
        <v>8163.327566102721</v>
      </c>
      <c r="S24" s="1">
        <f>$M24*'TABELA AUXILIAR'!$J$5+SUM(P$2:P24)</f>
        <v>9802.6647921036638</v>
      </c>
      <c r="T24" s="2">
        <f t="shared" si="7"/>
        <v>3692</v>
      </c>
      <c r="U24" s="2">
        <f t="shared" si="7"/>
        <v>4081</v>
      </c>
      <c r="V24" s="2">
        <f t="shared" si="7"/>
        <v>4901</v>
      </c>
    </row>
    <row r="25" spans="1:22" x14ac:dyDescent="0.25">
      <c r="A25" s="1">
        <v>13.8</v>
      </c>
      <c r="B25" s="1">
        <v>14.4</v>
      </c>
      <c r="C25" s="1">
        <v>30</v>
      </c>
      <c r="D25" s="1" t="s">
        <v>18</v>
      </c>
      <c r="E25" s="1" t="s">
        <v>3</v>
      </c>
      <c r="F25" s="1" cm="1">
        <f t="array" ref="F25">_xlfn.XLOOKUP(D25,'TABELA AUXILIAR'!$A$2:$A$5,IF('SPT-05'!A25&lt;3,'TABELA AUXILIAR'!$B$2:$B$5,'TABELA AUXILIAR'!$C$2:$C$5),"",0,1)</f>
        <v>8.5</v>
      </c>
      <c r="G25" s="6">
        <f t="shared" si="1"/>
        <v>37.389521366233772</v>
      </c>
      <c r="H25" s="2">
        <f t="shared" si="2"/>
        <v>41.089515543420895</v>
      </c>
      <c r="I25" s="2">
        <f t="shared" si="3"/>
        <v>862.79422158342209</v>
      </c>
      <c r="J25" s="1">
        <f t="shared" si="8"/>
        <v>157.35000000000005</v>
      </c>
      <c r="K25" s="1">
        <f t="shared" si="4"/>
        <v>0.91464302554754817</v>
      </c>
      <c r="L25" s="1">
        <f t="shared" si="5"/>
        <v>143.91908006990676</v>
      </c>
      <c r="M25" s="1">
        <f t="shared" si="6"/>
        <v>1182.8041562211779</v>
      </c>
      <c r="N25" s="1">
        <f>$L25*'TABELA AUXILIAR'!$I$3*(B25-A25)</f>
        <v>324.68144463770938</v>
      </c>
      <c r="O25" s="1">
        <f>$L25*'TABELA AUXILIAR'!$I$4*(B25-A25)</f>
        <v>352.3139080111315</v>
      </c>
      <c r="P25" s="1">
        <f>$L25*'TABELA AUXILIAR'!$I$5*(B25-A25)</f>
        <v>406.71532027755626</v>
      </c>
      <c r="Q25" s="1">
        <f>$M25*'TABELA AUXILIAR'!$J$3+SUM(N$2:N25)</f>
        <v>7233.1166887729441</v>
      </c>
      <c r="R25" s="1">
        <f>$M25*'TABELA AUXILIAR'!$J$4+SUM(O$2:O25)</f>
        <v>7959.683350135223</v>
      </c>
      <c r="S25" s="1">
        <f>$M25*'TABELA AUXILIAR'!$J$5+SUM(P$2:P25)</f>
        <v>9468.1026137430472</v>
      </c>
      <c r="T25" s="2">
        <f t="shared" si="7"/>
        <v>3616</v>
      </c>
      <c r="U25" s="2">
        <f t="shared" si="7"/>
        <v>3979</v>
      </c>
      <c r="V25" s="2">
        <f t="shared" si="7"/>
        <v>4734</v>
      </c>
    </row>
    <row r="26" spans="1:22" x14ac:dyDescent="0.25">
      <c r="A26" s="1">
        <v>14.4</v>
      </c>
      <c r="B26" s="1">
        <v>15</v>
      </c>
      <c r="C26" s="1">
        <v>31</v>
      </c>
      <c r="D26" s="1" t="s">
        <v>18</v>
      </c>
      <c r="E26" s="1" t="s">
        <v>3</v>
      </c>
      <c r="F26" s="1" cm="1">
        <f t="array" ref="F26">_xlfn.XLOOKUP(D26,'TABELA AUXILIAR'!$A$2:$A$5,IF('SPT-05'!A26&lt;3,'TABELA AUXILIAR'!$B$2:$B$5,'TABELA AUXILIAR'!$C$2:$C$5),"",0,1)</f>
        <v>8.5</v>
      </c>
      <c r="G26" s="6">
        <f t="shared" si="1"/>
        <v>39.256974782854556</v>
      </c>
      <c r="H26" s="2">
        <f t="shared" si="2"/>
        <v>41.220527583275306</v>
      </c>
      <c r="I26" s="2">
        <f t="shared" si="3"/>
        <v>897.09981371152844</v>
      </c>
      <c r="J26" s="1">
        <f t="shared" si="8"/>
        <v>162.45000000000007</v>
      </c>
      <c r="K26" s="1">
        <f t="shared" si="4"/>
        <v>0.92123663908182551</v>
      </c>
      <c r="L26" s="1">
        <f t="shared" si="5"/>
        <v>149.65489201884262</v>
      </c>
      <c r="M26" s="1">
        <f t="shared" si="6"/>
        <v>1237.7045123290993</v>
      </c>
      <c r="N26" s="1">
        <f>$L26*'TABELA AUXILIAR'!$I$3*(B26-A26)</f>
        <v>337.62143639450875</v>
      </c>
      <c r="O26" s="1">
        <f>$L26*'TABELA AUXILIAR'!$I$4*(B26-A26)</f>
        <v>366.35517566212656</v>
      </c>
      <c r="P26" s="1">
        <f>$L26*'TABELA AUXILIAR'!$I$5*(B26-A26)</f>
        <v>422.92472484524899</v>
      </c>
      <c r="Q26" s="1">
        <f>$M26*'TABELA AUXILIAR'!$J$3+SUM(N$2:N26)</f>
        <v>7632.7755275694044</v>
      </c>
      <c r="R26" s="1">
        <f>$M26*'TABELA AUXILIAR'!$J$4+SUM(O$2:O26)</f>
        <v>8398.5069958598069</v>
      </c>
      <c r="S26" s="1">
        <f>$M26*'TABELA AUXILIAR'!$J$5+SUM(P$2:P26)</f>
        <v>9987.6519653382384</v>
      </c>
      <c r="T26" s="2">
        <f t="shared" si="7"/>
        <v>3816</v>
      </c>
      <c r="U26" s="2">
        <f t="shared" si="7"/>
        <v>4199</v>
      </c>
      <c r="V26" s="2">
        <f t="shared" si="7"/>
        <v>4993</v>
      </c>
    </row>
    <row r="27" spans="1:22" x14ac:dyDescent="0.25">
      <c r="A27" s="1">
        <v>15</v>
      </c>
      <c r="B27" s="1">
        <v>15.6</v>
      </c>
      <c r="C27" s="1">
        <v>21</v>
      </c>
      <c r="D27" s="1" t="s">
        <v>18</v>
      </c>
      <c r="E27" s="1" t="s">
        <v>3</v>
      </c>
      <c r="F27" s="1" cm="1">
        <f t="array" ref="F27">_xlfn.XLOOKUP(D27,'TABELA AUXILIAR'!$A$2:$A$5,IF('SPT-05'!A27&lt;3,'TABELA AUXILIAR'!$B$2:$B$5,'TABELA AUXILIAR'!$C$2:$C$5),"",0,1)</f>
        <v>8.5</v>
      </c>
      <c r="G27" s="6">
        <f t="shared" si="1"/>
        <v>27.007649459344947</v>
      </c>
      <c r="H27" s="2">
        <f t="shared" si="2"/>
        <v>39.66441751155206</v>
      </c>
      <c r="I27" s="2">
        <f t="shared" si="3"/>
        <v>665.11498689138614</v>
      </c>
      <c r="J27" s="1">
        <f t="shared" si="8"/>
        <v>167.5500000000001</v>
      </c>
      <c r="K27" s="1">
        <f t="shared" si="4"/>
        <v>0.72307017008459995</v>
      </c>
      <c r="L27" s="1">
        <f t="shared" si="5"/>
        <v>121.15040699767479</v>
      </c>
      <c r="M27" s="1">
        <f t="shared" si="6"/>
        <v>923.33199505029711</v>
      </c>
      <c r="N27" s="1">
        <f>$L27*'TABELA AUXILIAR'!$I$3*(B27-A27)</f>
        <v>273.31531818675415</v>
      </c>
      <c r="O27" s="1">
        <f>$L27*'TABELA AUXILIAR'!$I$4*(B27-A27)</f>
        <v>296.57619633030771</v>
      </c>
      <c r="P27" s="1">
        <f>$L27*'TABELA AUXILIAR'!$I$5*(B27-A27)</f>
        <v>342.37105017542876</v>
      </c>
      <c r="Q27" s="1">
        <f>$M27*'TABELA AUXILIAR'!$J$3+SUM(N$2:N27)</f>
        <v>7550.8499012311113</v>
      </c>
      <c r="R27" s="1">
        <f>$M27*'TABELA AUXILIAR'!$J$4+SUM(O$2:O27)</f>
        <v>8280.1114693820946</v>
      </c>
      <c r="S27" s="1">
        <f>$M27*'TABELA AUXILIAR'!$J$5+SUM(P$2:P27)</f>
        <v>9776.7273851029749</v>
      </c>
      <c r="T27" s="2">
        <f t="shared" si="7"/>
        <v>3775</v>
      </c>
      <c r="U27" s="2">
        <f t="shared" si="7"/>
        <v>4140</v>
      </c>
      <c r="V27" s="2">
        <f t="shared" si="7"/>
        <v>4888</v>
      </c>
    </row>
    <row r="28" spans="1:22" x14ac:dyDescent="0.25">
      <c r="A28" s="1">
        <v>15.6</v>
      </c>
      <c r="B28" s="1">
        <v>16.2</v>
      </c>
      <c r="C28" s="1">
        <v>22</v>
      </c>
      <c r="D28" s="1" t="s">
        <v>18</v>
      </c>
      <c r="E28" s="1" t="s">
        <v>3</v>
      </c>
      <c r="F28" s="1" cm="1">
        <f t="array" ref="F28">_xlfn.XLOOKUP(D28,'TABELA AUXILIAR'!$A$2:$A$5,IF('SPT-05'!A28&lt;3,'TABELA AUXILIAR'!$B$2:$B$5,'TABELA AUXILIAR'!$C$2:$C$5),"",0,1)</f>
        <v>8.5</v>
      </c>
      <c r="G28" s="6">
        <f t="shared" si="1"/>
        <v>28.721111929793253</v>
      </c>
      <c r="H28" s="2">
        <f t="shared" si="2"/>
        <v>39.850288663564299</v>
      </c>
      <c r="I28" s="2">
        <f t="shared" si="3"/>
        <v>698.66389850100609</v>
      </c>
      <c r="J28" s="1">
        <f t="shared" si="8"/>
        <v>172.65000000000012</v>
      </c>
      <c r="K28" s="1">
        <f t="shared" si="4"/>
        <v>0.73431895007418579</v>
      </c>
      <c r="L28" s="1">
        <f t="shared" si="5"/>
        <v>126.78016673030827</v>
      </c>
      <c r="M28" s="1">
        <f t="shared" si="6"/>
        <v>975.73949449490226</v>
      </c>
      <c r="N28" s="1">
        <f>$L28*'TABELA AUXILIAR'!$I$3*(B28-A28)</f>
        <v>286.01605614357527</v>
      </c>
      <c r="O28" s="1">
        <f>$L28*'TABELA AUXILIAR'!$I$4*(B28-A28)</f>
        <v>310.35784815579444</v>
      </c>
      <c r="P28" s="1">
        <f>$L28*'TABELA AUXILIAR'!$I$5*(B28-A28)</f>
        <v>358.28075117985094</v>
      </c>
      <c r="Q28" s="1">
        <f>$M28*'TABELA AUXILIAR'!$J$3+SUM(N$2:N28)</f>
        <v>7896.0864317470905</v>
      </c>
      <c r="R28" s="1">
        <f>$M28*'TABELA AUXILIAR'!$J$4+SUM(O$2:O28)</f>
        <v>8659.6472168047676</v>
      </c>
      <c r="S28" s="1">
        <f>$M28*'TABELA AUXILIAR'!$J$5+SUM(P$2:P28)</f>
        <v>10227.245335305332</v>
      </c>
      <c r="T28" s="2">
        <f t="shared" si="7"/>
        <v>3948</v>
      </c>
      <c r="U28" s="2">
        <f t="shared" si="7"/>
        <v>4329</v>
      </c>
      <c r="V28" s="2">
        <f t="shared" si="7"/>
        <v>5113</v>
      </c>
    </row>
    <row r="29" spans="1:22" x14ac:dyDescent="0.25">
      <c r="A29" s="1">
        <v>16.2</v>
      </c>
      <c r="B29" s="1">
        <v>16.8</v>
      </c>
      <c r="C29" s="1">
        <v>50</v>
      </c>
      <c r="D29" s="1" t="s">
        <v>18</v>
      </c>
      <c r="E29" s="1" t="s">
        <v>3</v>
      </c>
      <c r="F29" s="1" cm="1">
        <f t="array" ref="F29">_xlfn.XLOOKUP(D29,'TABELA AUXILIAR'!$A$2:$A$5,IF('SPT-05'!A29&lt;3,'TABELA AUXILIAR'!$B$2:$B$5,'TABELA AUXILIAR'!$C$2:$C$5),"",0,1)</f>
        <v>8.5</v>
      </c>
      <c r="G29" s="6">
        <f t="shared" si="1"/>
        <v>66.232338069257665</v>
      </c>
      <c r="H29" s="2">
        <f t="shared" si="2"/>
        <v>43.13052403989137</v>
      </c>
      <c r="I29" s="2">
        <f t="shared" si="3"/>
        <v>1363.2119119874903</v>
      </c>
      <c r="J29" s="1">
        <f t="shared" si="8"/>
        <v>177.75000000000014</v>
      </c>
      <c r="K29" s="1">
        <f t="shared" si="4"/>
        <v>1.1930610445199599</v>
      </c>
      <c r="L29" s="1">
        <f t="shared" si="5"/>
        <v>212.06660066342303</v>
      </c>
      <c r="M29" s="1">
        <f t="shared" si="6"/>
        <v>1914.9505292131689</v>
      </c>
      <c r="N29" s="1">
        <f>$L29*'TABELA AUXILIAR'!$I$3*(B29-A29)</f>
        <v>478.42225109668345</v>
      </c>
      <c r="O29" s="1">
        <f>$L29*'TABELA AUXILIAR'!$I$4*(B29-A29)</f>
        <v>519.1390384240608</v>
      </c>
      <c r="P29" s="1">
        <f>$L29*'TABELA AUXILIAR'!$I$5*(B29-A29)</f>
        <v>599.30021347483489</v>
      </c>
      <c r="Q29" s="1">
        <f>$M29*'TABELA AUXILIAR'!$J$3+SUM(N$2:N29)</f>
        <v>9435.8171520754149</v>
      </c>
      <c r="R29" s="1">
        <f>$M29*'TABELA AUXILIAR'!$J$4+SUM(O$2:O29)</f>
        <v>10418.544821056941</v>
      </c>
      <c r="S29" s="1">
        <f>$M29*'TABELA AUXILIAR'!$J$5+SUM(P$2:P29)</f>
        <v>12479.556969884316</v>
      </c>
      <c r="T29" s="2">
        <f t="shared" si="7"/>
        <v>4717</v>
      </c>
      <c r="U29" s="2">
        <f t="shared" si="7"/>
        <v>5209</v>
      </c>
      <c r="V29" s="2">
        <f t="shared" si="7"/>
        <v>6239</v>
      </c>
    </row>
    <row r="30" spans="1:22" x14ac:dyDescent="0.25">
      <c r="A30" s="1">
        <v>16.8</v>
      </c>
      <c r="B30" s="1">
        <v>17.399999999999999</v>
      </c>
      <c r="C30" s="1">
        <v>27</v>
      </c>
      <c r="D30" s="1" t="s">
        <v>18</v>
      </c>
      <c r="E30" s="1" t="s">
        <v>3</v>
      </c>
      <c r="F30" s="1" cm="1">
        <f t="array" ref="F30">_xlfn.XLOOKUP(D30,'TABELA AUXILIAR'!$A$2:$A$5,IF('SPT-05'!A30&lt;3,'TABELA AUXILIAR'!$B$2:$B$5,'TABELA AUXILIAR'!$C$2:$C$5),"",0,1)</f>
        <v>8.5</v>
      </c>
      <c r="G30" s="6">
        <f t="shared" si="1"/>
        <v>36.274925052461505</v>
      </c>
      <c r="H30" s="2">
        <f t="shared" si="2"/>
        <v>40.668546630262682</v>
      </c>
      <c r="I30" s="2">
        <f t="shared" si="3"/>
        <v>842.15595189255589</v>
      </c>
      <c r="J30" s="1">
        <f t="shared" si="8"/>
        <v>182.85000000000014</v>
      </c>
      <c r="K30" s="1">
        <f t="shared" si="4"/>
        <v>0.80969156049928215</v>
      </c>
      <c r="L30" s="1">
        <f t="shared" si="5"/>
        <v>148.05210183729386</v>
      </c>
      <c r="M30" s="1">
        <f t="shared" si="6"/>
        <v>1189.7173084736205</v>
      </c>
      <c r="N30" s="1">
        <f>$L30*'TABELA AUXILIAR'!$I$3*(B30-A30)</f>
        <v>334.00554174493374</v>
      </c>
      <c r="O30" s="1">
        <f>$L30*'TABELA AUXILIAR'!$I$4*(B30-A30)</f>
        <v>362.43154529769407</v>
      </c>
      <c r="P30" s="1">
        <f>$L30*'TABELA AUXILIAR'!$I$5*(B30-A30)</f>
        <v>418.39523979219098</v>
      </c>
      <c r="Q30" s="1">
        <f>$M30*'TABELA AUXILIAR'!$J$3+SUM(N$2:N30)</f>
        <v>8950.3091543846604</v>
      </c>
      <c r="R30" s="1">
        <f>$M30*'TABELA AUXILIAR'!$J$4+SUM(O$2:O30)</f>
        <v>9823.6685149784298</v>
      </c>
      <c r="S30" s="1">
        <f>$M30*'TABELA AUXILIAR'!$J$5+SUM(P$2:P30)</f>
        <v>11621.5417411749</v>
      </c>
      <c r="T30" s="2">
        <f t="shared" si="7"/>
        <v>4475</v>
      </c>
      <c r="U30" s="2">
        <f t="shared" si="7"/>
        <v>4911</v>
      </c>
      <c r="V30" s="2">
        <f t="shared" si="7"/>
        <v>5810</v>
      </c>
    </row>
    <row r="31" spans="1:22" x14ac:dyDescent="0.25">
      <c r="A31" s="1">
        <v>17.399999999999999</v>
      </c>
      <c r="B31" s="1">
        <v>18</v>
      </c>
      <c r="C31" s="1">
        <v>50</v>
      </c>
      <c r="D31" s="1" t="s">
        <v>20</v>
      </c>
      <c r="E31" s="1" t="s">
        <v>7</v>
      </c>
      <c r="F31" s="1" cm="1">
        <f t="array" ref="F31">_xlfn.XLOOKUP(D31,'TABELA AUXILIAR'!$A$2:$A$5,IF('SPT-05'!A31&lt;3,'TABELA AUXILIAR'!$B$2:$B$5,'TABELA AUXILIAR'!$C$2:$C$5),"",0,1)</f>
        <v>11</v>
      </c>
      <c r="G31" s="6">
        <f t="shared" si="1"/>
        <v>68.241919127175237</v>
      </c>
      <c r="H31" s="2">
        <f t="shared" si="2"/>
        <v>43.13052403989137</v>
      </c>
      <c r="I31" s="2">
        <f t="shared" si="3"/>
        <v>1036.9359611374275</v>
      </c>
      <c r="J31" s="1">
        <f t="shared" si="8"/>
        <v>188.70000000000013</v>
      </c>
      <c r="K31" s="1">
        <f t="shared" si="4"/>
        <v>0.9499183411597274</v>
      </c>
      <c r="L31" s="1">
        <f t="shared" si="5"/>
        <v>179.24959097684069</v>
      </c>
      <c r="M31" s="1">
        <f t="shared" si="6"/>
        <v>1984.8830969973758</v>
      </c>
      <c r="N31" s="1">
        <f>$L31*'TABELA AUXILIAR'!$I$3*(B31-A31)</f>
        <v>404.38707724375354</v>
      </c>
      <c r="O31" s="1">
        <f>$L31*'TABELA AUXILIAR'!$I$4*(B31-A31)</f>
        <v>438.80299871130705</v>
      </c>
      <c r="P31" s="1">
        <f>$L31*'TABELA AUXILIAR'!$I$5*(B31-A31)</f>
        <v>506.55934410055301</v>
      </c>
      <c r="Q31" s="1">
        <f>$M31*'TABELA AUXILIAR'!$J$3+SUM(N$2:N31)</f>
        <v>10253.233572660258</v>
      </c>
      <c r="R31" s="1">
        <f>$M31*'TABELA AUXILIAR'!$J$4+SUM(O$2:O31)</f>
        <v>11312.090354541095</v>
      </c>
      <c r="S31" s="1">
        <f>$M31*'TABELA AUXILIAR'!$J$5+SUM(P$2:P31)</f>
        <v>13527.592873077265</v>
      </c>
      <c r="T31" s="2">
        <f t="shared" si="7"/>
        <v>5126</v>
      </c>
      <c r="U31" s="2">
        <f t="shared" si="7"/>
        <v>5656</v>
      </c>
      <c r="V31" s="2">
        <f t="shared" si="7"/>
        <v>6763</v>
      </c>
    </row>
    <row r="32" spans="1:22" x14ac:dyDescent="0.25">
      <c r="A32" s="1">
        <v>18</v>
      </c>
      <c r="B32" s="1">
        <v>18.600000000000001</v>
      </c>
      <c r="C32" s="1">
        <v>16</v>
      </c>
      <c r="D32" s="1" t="s">
        <v>20</v>
      </c>
      <c r="E32" s="1" t="s">
        <v>7</v>
      </c>
      <c r="F32" s="1" cm="1">
        <f t="array" ref="F32">_xlfn.XLOOKUP(D32,'TABELA AUXILIAR'!$A$2:$A$5,IF('SPT-05'!A32&lt;3,'TABELA AUXILIAR'!$B$2:$B$5,'TABELA AUXILIAR'!$C$2:$C$5),"",0,1)</f>
        <v>11</v>
      </c>
      <c r="G32" s="6">
        <f t="shared" si="1"/>
        <v>22.216026338178438</v>
      </c>
      <c r="H32" s="2">
        <f t="shared" si="2"/>
        <v>38.577903840434509</v>
      </c>
      <c r="I32" s="2">
        <f t="shared" si="3"/>
        <v>337.57252020862131</v>
      </c>
      <c r="J32" s="1">
        <f t="shared" si="8"/>
        <v>195.30000000000015</v>
      </c>
      <c r="K32" s="1">
        <f t="shared" si="4"/>
        <v>0.42237120923308075</v>
      </c>
      <c r="L32" s="1">
        <f t="shared" si="5"/>
        <v>82.489097163220734</v>
      </c>
      <c r="M32" s="1">
        <f t="shared" si="6"/>
        <v>814.3537899296449</v>
      </c>
      <c r="N32" s="1">
        <f>$L32*'TABELA AUXILIAR'!$I$3*(B32-A32)</f>
        <v>186.09540320022643</v>
      </c>
      <c r="O32" s="1">
        <f>$L32*'TABELA AUXILIAR'!$I$4*(B32-A32)</f>
        <v>201.93330985556483</v>
      </c>
      <c r="P32" s="1">
        <f>$L32*'TABELA AUXILIAR'!$I$5*(B32-A32)</f>
        <v>233.11418858326235</v>
      </c>
      <c r="Q32" s="1">
        <f>$M32*'TABELA AUXILIAR'!$J$3+SUM(N$2:N32)</f>
        <v>9116.6308588739485</v>
      </c>
      <c r="R32" s="1">
        <f>$M32*'TABELA AUXILIAR'!$J$4+SUM(O$2:O32)</f>
        <v>9968.9249790672548</v>
      </c>
      <c r="S32" s="1">
        <f>$M32*'TABELA AUXILIAR'!$J$5+SUM(P$2:P32)</f>
        <v>11700.57548122132</v>
      </c>
      <c r="T32" s="2">
        <f t="shared" si="7"/>
        <v>4558</v>
      </c>
      <c r="U32" s="2">
        <f t="shared" si="7"/>
        <v>4984</v>
      </c>
      <c r="V32" s="2">
        <f t="shared" si="7"/>
        <v>5850</v>
      </c>
    </row>
    <row r="33" spans="1:22" x14ac:dyDescent="0.25">
      <c r="A33" s="1">
        <v>18.600000000000001</v>
      </c>
      <c r="B33" s="1">
        <v>19.2</v>
      </c>
      <c r="C33" s="1">
        <v>38</v>
      </c>
      <c r="D33" s="1" t="s">
        <v>20</v>
      </c>
      <c r="E33" s="1" t="s">
        <v>7</v>
      </c>
      <c r="F33" s="1" cm="1">
        <f t="array" ref="F33">_xlfn.XLOOKUP(D33,'TABELA AUXILIAR'!$A$2:$A$5,IF('SPT-05'!A33&lt;3,'TABELA AUXILIAR'!$B$2:$B$5,'TABELA AUXILIAR'!$C$2:$C$5),"",0,1)</f>
        <v>11</v>
      </c>
      <c r="G33" s="6">
        <f t="shared" si="1"/>
        <v>53.647196736365345</v>
      </c>
      <c r="H33" s="2">
        <f t="shared" si="2"/>
        <v>42.034009088874654</v>
      </c>
      <c r="I33" s="2">
        <f t="shared" si="3"/>
        <v>815.16915440907133</v>
      </c>
      <c r="J33" s="1">
        <f t="shared" si="8"/>
        <v>201.90000000000015</v>
      </c>
      <c r="K33" s="1">
        <f t="shared" si="4"/>
        <v>0.75834735332468739</v>
      </c>
      <c r="L33" s="1">
        <f t="shared" si="5"/>
        <v>153.1103306362545</v>
      </c>
      <c r="M33" s="1">
        <f t="shared" si="6"/>
        <v>1659.6039447629519</v>
      </c>
      <c r="N33" s="1">
        <f>$L33*'TABELA AUXILIAR'!$I$3*(B33-A33)</f>
        <v>345.4169059153889</v>
      </c>
      <c r="O33" s="1">
        <f>$L33*'TABELA AUXILIAR'!$I$4*(B33-A33)</f>
        <v>374.81408939754971</v>
      </c>
      <c r="P33" s="1">
        <f>$L33*'TABELA AUXILIAR'!$I$5*(B33-A33)</f>
        <v>432.6897943780537</v>
      </c>
      <c r="Q33" s="1">
        <f>$M33*'TABELA AUXILIAR'!$J$3+SUM(N$2:N33)</f>
        <v>10417.180439750973</v>
      </c>
      <c r="R33" s="1">
        <f>$M33*'TABELA AUXILIAR'!$J$4+SUM(O$2:O33)</f>
        <v>11459.46927284477</v>
      </c>
      <c r="S33" s="1">
        <f>$M33*'TABELA AUXILIAR'!$J$5+SUM(P$2:P33)</f>
        <v>13620.905548105993</v>
      </c>
      <c r="T33" s="2">
        <f t="shared" si="7"/>
        <v>5208</v>
      </c>
      <c r="U33" s="2">
        <f t="shared" si="7"/>
        <v>5729</v>
      </c>
      <c r="V33" s="2">
        <f t="shared" si="7"/>
        <v>6810</v>
      </c>
    </row>
    <row r="34" spans="1:22" x14ac:dyDescent="0.25">
      <c r="A34" s="1">
        <v>19.2</v>
      </c>
      <c r="B34" s="1">
        <v>19.8</v>
      </c>
      <c r="C34" s="1">
        <v>50</v>
      </c>
      <c r="D34" s="1" t="s">
        <v>20</v>
      </c>
      <c r="E34" s="1" t="s">
        <v>7</v>
      </c>
      <c r="F34" s="1" cm="1">
        <f t="array" ref="F34">_xlfn.XLOOKUP(D34,'TABELA AUXILIAR'!$A$2:$A$5,IF('SPT-05'!A34&lt;3,'TABELA AUXILIAR'!$B$2:$B$5,'TABELA AUXILIAR'!$C$2:$C$5),"",0,1)</f>
        <v>11</v>
      </c>
      <c r="G34" s="6">
        <f t="shared" si="1"/>
        <v>71.732887210826718</v>
      </c>
      <c r="H34" s="2">
        <f t="shared" si="2"/>
        <v>43.13052403989137</v>
      </c>
      <c r="I34" s="2">
        <f t="shared" si="3"/>
        <v>1089.9812211685119</v>
      </c>
      <c r="J34" s="1">
        <f t="shared" si="8"/>
        <v>208.50000000000014</v>
      </c>
      <c r="K34" s="1">
        <f t="shared" si="4"/>
        <v>0.91806472298599295</v>
      </c>
      <c r="L34" s="1">
        <f t="shared" si="5"/>
        <v>191.41649474257966</v>
      </c>
      <c r="M34" s="1">
        <f t="shared" si="6"/>
        <v>2107.3439699099354</v>
      </c>
      <c r="N34" s="1">
        <f>$L34*'TABELA AUXILIAR'!$I$3*(B34-A34)</f>
        <v>431.83561213926072</v>
      </c>
      <c r="O34" s="1">
        <f>$L34*'TABELA AUXILIAR'!$I$4*(B34-A34)</f>
        <v>468.58757912983617</v>
      </c>
      <c r="P34" s="1">
        <f>$L34*'TABELA AUXILIAR'!$I$5*(B34-A34)</f>
        <v>540.94301414253141</v>
      </c>
      <c r="Q34" s="1">
        <f>$M34*'TABELA AUXILIAR'!$J$3+SUM(N$2:N34)</f>
        <v>11354.962280306325</v>
      </c>
      <c r="R34" s="1">
        <f>$M34*'TABELA AUXILIAR'!$J$4+SUM(O$2:O34)</f>
        <v>12519.073685168625</v>
      </c>
      <c r="S34" s="1">
        <f>$M34*'TABELA AUXILIAR'!$J$5+SUM(P$2:P34)</f>
        <v>14949.871006507215</v>
      </c>
      <c r="T34" s="2">
        <f t="shared" si="7"/>
        <v>5677</v>
      </c>
      <c r="U34" s="2">
        <f t="shared" si="7"/>
        <v>6259</v>
      </c>
      <c r="V34" s="2">
        <f t="shared" si="7"/>
        <v>7474</v>
      </c>
    </row>
    <row r="35" spans="1:22" x14ac:dyDescent="0.25">
      <c r="A35" s="1">
        <v>19.8</v>
      </c>
      <c r="B35" s="1">
        <v>20.399999999999999</v>
      </c>
      <c r="C35" s="1">
        <v>50</v>
      </c>
      <c r="D35" s="1" t="s">
        <v>20</v>
      </c>
      <c r="E35" s="1" t="s">
        <v>7</v>
      </c>
      <c r="F35" s="1" cm="1">
        <f t="array" ref="F35">_xlfn.XLOOKUP(D35,'TABELA AUXILIAR'!$A$2:$A$5,IF('SPT-05'!A35&lt;3,'TABELA AUXILIAR'!$B$2:$B$5,'TABELA AUXILIAR'!$C$2:$C$5),"",0,1)</f>
        <v>11</v>
      </c>
      <c r="G35" s="6">
        <f t="shared" si="1"/>
        <v>72.859382613005138</v>
      </c>
      <c r="H35" s="2">
        <f t="shared" si="2"/>
        <v>43.13052403989137</v>
      </c>
      <c r="I35" s="2">
        <f t="shared" si="3"/>
        <v>1107.098318804613</v>
      </c>
      <c r="J35" s="1">
        <f t="shared" si="8"/>
        <v>215.10000000000014</v>
      </c>
      <c r="K35" s="1">
        <f t="shared" si="4"/>
        <v>0.90833664336783437</v>
      </c>
      <c r="L35" s="1">
        <f t="shared" si="5"/>
        <v>195.38321198842129</v>
      </c>
      <c r="M35" s="1">
        <f t="shared" si="6"/>
        <v>2147.1186264170956</v>
      </c>
      <c r="N35" s="1">
        <f>$L35*'TABELA AUXILIAR'!$I$3*(B35-A35)</f>
        <v>440.7845262458768</v>
      </c>
      <c r="O35" s="1">
        <f>$L35*'TABELA AUXILIAR'!$I$4*(B35-A35)</f>
        <v>478.2981029476536</v>
      </c>
      <c r="P35" s="1">
        <f>$L35*'TABELA AUXILIAR'!$I$5*(B35-A35)</f>
        <v>552.15295707927669</v>
      </c>
      <c r="Q35" s="1">
        <f>$M35*'TABELA AUXILIAR'!$J$3+SUM(N$2:N35)</f>
        <v>11840.692168405292</v>
      </c>
      <c r="R35" s="1">
        <f>$M35*'TABELA AUXILIAR'!$J$4+SUM(O$2:O35)</f>
        <v>13049.874334705732</v>
      </c>
      <c r="S35" s="1">
        <f>$M35*'TABELA AUXILIAR'!$J$5+SUM(P$2:P35)</f>
        <v>15572.027359039093</v>
      </c>
      <c r="T35" s="2">
        <f t="shared" si="7"/>
        <v>5920</v>
      </c>
      <c r="U35" s="2">
        <f t="shared" si="7"/>
        <v>6524</v>
      </c>
      <c r="V35" s="2">
        <f t="shared" si="7"/>
        <v>7786</v>
      </c>
    </row>
    <row r="36" spans="1:22" x14ac:dyDescent="0.25">
      <c r="A36" s="1">
        <v>20.399999999999999</v>
      </c>
      <c r="B36" s="1">
        <v>21</v>
      </c>
      <c r="C36" s="1">
        <v>50</v>
      </c>
      <c r="D36" s="1" t="s">
        <v>19</v>
      </c>
      <c r="E36" s="1" t="s">
        <v>5</v>
      </c>
      <c r="F36" s="1" cm="1">
        <f t="array" ref="F36">_xlfn.XLOOKUP(D36,'TABELA AUXILIAR'!$A$2:$A$5,IF('SPT-05'!A36&lt;3,'TABELA AUXILIAR'!$B$2:$B$5,'TABELA AUXILIAR'!$C$2:$C$5),"",0,1)</f>
        <v>10.5</v>
      </c>
      <c r="G36" s="6">
        <f t="shared" si="1"/>
        <v>73.943696731218296</v>
      </c>
      <c r="H36" s="2">
        <f t="shared" si="2"/>
        <v>43.13052403989137</v>
      </c>
      <c r="I36" s="2">
        <f t="shared" si="3"/>
        <v>1123.574471830862</v>
      </c>
      <c r="J36" s="1">
        <f t="shared" si="8"/>
        <v>221.55000000000013</v>
      </c>
      <c r="K36" s="1">
        <f t="shared" si="4"/>
        <v>0.89920907051400145</v>
      </c>
      <c r="L36" s="1">
        <f t="shared" si="5"/>
        <v>199.21976957237715</v>
      </c>
      <c r="M36" s="1">
        <f t="shared" si="6"/>
        <v>2185.5203056752111</v>
      </c>
      <c r="N36" s="1">
        <f>$L36*'TABELA AUXILIAR'!$I$3*(B36-A36)</f>
        <v>449.43980015528388</v>
      </c>
      <c r="O36" s="1">
        <f>$L36*'TABELA AUXILIAR'!$I$4*(B36-A36)</f>
        <v>487.68999591318044</v>
      </c>
      <c r="P36" s="1">
        <f>$L36*'TABELA AUXILIAR'!$I$5*(B36-A36)</f>
        <v>562.99506881153911</v>
      </c>
      <c r="Q36" s="1">
        <f>$M36*'TABELA AUXILIAR'!$J$3+SUM(N$2:N36)</f>
        <v>12333.525866122247</v>
      </c>
      <c r="R36" s="1">
        <f>$M36*'TABELA AUXILIAR'!$J$4+SUM(O$2:O36)</f>
        <v>13588.254547239625</v>
      </c>
      <c r="S36" s="1">
        <f>$M36*'TABELA AUXILIAR'!$J$5+SUM(P$2:P36)</f>
        <v>16202.609383344916</v>
      </c>
      <c r="T36" s="2">
        <f t="shared" si="7"/>
        <v>6166</v>
      </c>
      <c r="U36" s="2">
        <f t="shared" si="7"/>
        <v>6794</v>
      </c>
      <c r="V36" s="2">
        <f t="shared" si="7"/>
        <v>8101</v>
      </c>
    </row>
    <row r="37" spans="1:22" x14ac:dyDescent="0.25">
      <c r="A37" s="1">
        <v>21</v>
      </c>
      <c r="B37" s="1">
        <v>21.6</v>
      </c>
      <c r="C37" s="1">
        <v>34</v>
      </c>
      <c r="D37" s="1" t="s">
        <v>19</v>
      </c>
      <c r="E37" s="1" t="s">
        <v>5</v>
      </c>
      <c r="F37" s="1" cm="1">
        <f t="array" ref="F37">_xlfn.XLOOKUP(D37,'TABELA AUXILIAR'!$A$2:$A$5,IF('SPT-05'!A37&lt;3,'TABELA AUXILIAR'!$B$2:$B$5,'TABELA AUXILIAR'!$C$2:$C$5),"",0,1)</f>
        <v>10.5</v>
      </c>
      <c r="G37" s="6">
        <f t="shared" si="1"/>
        <v>50.991608391551608</v>
      </c>
      <c r="H37" s="2">
        <f t="shared" si="2"/>
        <v>41.589606036788744</v>
      </c>
      <c r="I37" s="2">
        <f t="shared" si="3"/>
        <v>774.81748950962663</v>
      </c>
      <c r="J37" s="1">
        <f t="shared" si="8"/>
        <v>227.85000000000014</v>
      </c>
      <c r="K37" s="1">
        <f t="shared" si="4"/>
        <v>0.67239552617591203</v>
      </c>
      <c r="L37" s="1">
        <f t="shared" si="5"/>
        <v>153.20532063918165</v>
      </c>
      <c r="M37" s="1">
        <f t="shared" si="6"/>
        <v>1632.5569615107538</v>
      </c>
      <c r="N37" s="1">
        <f>$L37*'TABELA AUXILIAR'!$I$3*(B37-A37)</f>
        <v>345.63120336199461</v>
      </c>
      <c r="O37" s="1">
        <f>$L37*'TABELA AUXILIAR'!$I$4*(B37-A37)</f>
        <v>375.04662492471761</v>
      </c>
      <c r="P37" s="1">
        <f>$L37*'TABELA AUXILIAR'!$I$5*(B37-A37)</f>
        <v>432.95823612632836</v>
      </c>
      <c r="Q37" s="1">
        <f>$M37*'TABELA AUXILIAR'!$J$3+SUM(N$2:N37)</f>
        <v>12054.308490578404</v>
      </c>
      <c r="R37" s="1">
        <f>$M37*'TABELA AUXILIAR'!$J$4+SUM(O$2:O37)</f>
        <v>13233.38955786726</v>
      </c>
      <c r="S37" s="1">
        <f>$M37*'TABELA AUXILIAR'!$J$5+SUM(P$2:P37)</f>
        <v>15662.352133741801</v>
      </c>
      <c r="T37" s="2">
        <f t="shared" si="7"/>
        <v>6027</v>
      </c>
      <c r="U37" s="2">
        <f t="shared" si="7"/>
        <v>6616</v>
      </c>
      <c r="V37" s="2">
        <f t="shared" si="7"/>
        <v>7831</v>
      </c>
    </row>
    <row r="38" spans="1:22" x14ac:dyDescent="0.25">
      <c r="A38" s="1">
        <v>21.6</v>
      </c>
      <c r="B38" s="1">
        <v>22.2</v>
      </c>
      <c r="C38" s="1">
        <v>37</v>
      </c>
      <c r="D38" s="1" t="s">
        <v>19</v>
      </c>
      <c r="E38" s="1" t="s">
        <v>5</v>
      </c>
      <c r="F38" s="1" cm="1">
        <f t="array" ref="F38">_xlfn.XLOOKUP(D38,'TABELA AUXILIAR'!$A$2:$A$5,IF('SPT-05'!A38&lt;3,'TABELA AUXILIAR'!$B$2:$B$5,'TABELA AUXILIAR'!$C$2:$C$5),"",0,1)</f>
        <v>10.5</v>
      </c>
      <c r="G38" s="6">
        <f t="shared" si="1"/>
        <v>56.252791967564619</v>
      </c>
      <c r="H38" s="2">
        <f t="shared" si="2"/>
        <v>41.927455861416355</v>
      </c>
      <c r="I38" s="2">
        <f t="shared" si="3"/>
        <v>854.76117394714424</v>
      </c>
      <c r="J38" s="1">
        <f t="shared" si="8"/>
        <v>234.15000000000012</v>
      </c>
      <c r="K38" s="1">
        <f t="shared" si="4"/>
        <v>0.70791098314896495</v>
      </c>
      <c r="L38" s="1">
        <f t="shared" si="5"/>
        <v>165.75735670433022</v>
      </c>
      <c r="M38" s="1">
        <f t="shared" si="6"/>
        <v>1775.6348748181242</v>
      </c>
      <c r="N38" s="1">
        <f>$L38*'TABELA AUXILIAR'!$I$3*(B38-A38)</f>
        <v>373.94859672496762</v>
      </c>
      <c r="O38" s="1">
        <f>$L38*'TABELA AUXILIAR'!$I$4*(B38-A38)</f>
        <v>405.77400921219891</v>
      </c>
      <c r="P38" s="1">
        <f>$L38*'TABELA AUXILIAR'!$I$5*(B38-A38)</f>
        <v>468.43029004643552</v>
      </c>
      <c r="Q38" s="1">
        <f>$M38*'TABELA AUXILIAR'!$J$3+SUM(N$2:N38)</f>
        <v>12589.9351293407</v>
      </c>
      <c r="R38" s="1">
        <f>$M38*'TABELA AUXILIAR'!$J$4+SUM(O$2:O38)</f>
        <v>13828.026412645188</v>
      </c>
      <c r="S38" s="1">
        <f>$M38*'TABELA AUXILIAR'!$J$5+SUM(P$2:P38)</f>
        <v>16382.599551209209</v>
      </c>
      <c r="T38" s="2">
        <f t="shared" si="7"/>
        <v>6294</v>
      </c>
      <c r="U38" s="2">
        <f t="shared" si="7"/>
        <v>6914</v>
      </c>
      <c r="V38" s="2">
        <f t="shared" si="7"/>
        <v>8191</v>
      </c>
    </row>
    <row r="39" spans="1:22" x14ac:dyDescent="0.25">
      <c r="A39" s="1">
        <v>22.2</v>
      </c>
      <c r="B39" s="1">
        <v>22.8</v>
      </c>
      <c r="C39" s="1">
        <v>50</v>
      </c>
      <c r="D39" s="1" t="s">
        <v>19</v>
      </c>
      <c r="E39" s="1" t="s">
        <v>5</v>
      </c>
      <c r="F39" s="1" cm="1">
        <f t="array" ref="F39">_xlfn.XLOOKUP(D39,'TABELA AUXILIAR'!$A$2:$A$5,IF('SPT-05'!A39&lt;3,'TABELA AUXILIAR'!$B$2:$B$5,'TABELA AUXILIAR'!$C$2:$C$5),"",0,1)</f>
        <v>10.5</v>
      </c>
      <c r="G39" s="6">
        <f t="shared" si="1"/>
        <v>77.033152694263848</v>
      </c>
      <c r="H39" s="2">
        <f t="shared" si="2"/>
        <v>43.13052403989137</v>
      </c>
      <c r="I39" s="2">
        <f t="shared" si="3"/>
        <v>1170.5187551893391</v>
      </c>
      <c r="J39" s="1">
        <f t="shared" si="8"/>
        <v>240.4500000000001</v>
      </c>
      <c r="K39" s="1">
        <f t="shared" si="4"/>
        <v>0.87439474807848139</v>
      </c>
      <c r="L39" s="1">
        <f t="shared" si="5"/>
        <v>210.24821717547093</v>
      </c>
      <c r="M39" s="1">
        <f t="shared" si="6"/>
        <v>2295.5495000229498</v>
      </c>
      <c r="N39" s="1">
        <f>$L39*'TABELA AUXILIAR'!$I$3*(B39-A39)</f>
        <v>474.31997794786349</v>
      </c>
      <c r="O39" s="1">
        <f>$L39*'TABELA AUXILIAR'!$I$4*(B39-A39)</f>
        <v>514.68763564555411</v>
      </c>
      <c r="P39" s="1">
        <f>$L39*'TABELA AUXILIAR'!$I$5*(B39-A39)</f>
        <v>594.16146173788229</v>
      </c>
      <c r="Q39" s="1">
        <f>$M39*'TABELA AUXILIAR'!$J$3+SUM(N$2:N39)</f>
        <v>13651.758633770016</v>
      </c>
      <c r="R39" s="1">
        <f>$M39*'TABELA AUXILIAR'!$J$4+SUM(O$2:O39)</f>
        <v>15029.001353561111</v>
      </c>
      <c r="S39" s="1">
        <f>$M39*'TABELA AUXILIAR'!$J$5+SUM(P$2:P39)</f>
        <v>17891.810753307582</v>
      </c>
      <c r="T39" s="2">
        <f t="shared" si="7"/>
        <v>6825</v>
      </c>
      <c r="U39" s="2">
        <f t="shared" si="7"/>
        <v>7514</v>
      </c>
      <c r="V39" s="2">
        <f t="shared" si="7"/>
        <v>8945</v>
      </c>
    </row>
    <row r="40" spans="1:22" x14ac:dyDescent="0.25">
      <c r="A40" s="1">
        <v>22.8</v>
      </c>
      <c r="B40" s="1">
        <v>23.4</v>
      </c>
      <c r="C40" s="1">
        <v>50</v>
      </c>
      <c r="D40" s="1" t="s">
        <v>19</v>
      </c>
      <c r="E40" s="1" t="s">
        <v>5</v>
      </c>
      <c r="F40" s="1" cm="1">
        <f t="array" ref="F40">_xlfn.XLOOKUP(D40,'TABELA AUXILIAR'!$A$2:$A$5,IF('SPT-05'!A40&lt;3,'TABELA AUXILIAR'!$B$2:$B$5,'TABELA AUXILIAR'!$C$2:$C$5),"",0,1)</f>
        <v>10.5</v>
      </c>
      <c r="G40" s="6">
        <f t="shared" si="1"/>
        <v>78.035795568001362</v>
      </c>
      <c r="H40" s="2">
        <f t="shared" si="2"/>
        <v>43.13052403989137</v>
      </c>
      <c r="I40" s="2">
        <f t="shared" si="3"/>
        <v>1185.7539136557805</v>
      </c>
      <c r="J40" s="1">
        <f t="shared" si="8"/>
        <v>246.75000000000009</v>
      </c>
      <c r="K40" s="1">
        <f t="shared" si="4"/>
        <v>0.86669833253616368</v>
      </c>
      <c r="L40" s="1">
        <f t="shared" si="5"/>
        <v>213.85781355329846</v>
      </c>
      <c r="M40" s="1">
        <f t="shared" si="6"/>
        <v>2331.4499140933858</v>
      </c>
      <c r="N40" s="1">
        <f>$L40*'TABELA AUXILIAR'!$I$3*(B40-A40)</f>
        <v>482.46322737623956</v>
      </c>
      <c r="O40" s="1">
        <f>$L40*'TABELA AUXILIAR'!$I$4*(B40-A40)</f>
        <v>523.52392757847269</v>
      </c>
      <c r="P40" s="1">
        <f>$L40*'TABELA AUXILIAR'!$I$5*(B40-A40)</f>
        <v>604.36218110161929</v>
      </c>
      <c r="Q40" s="1">
        <f>$M40*'TABELA AUXILIAR'!$J$3+SUM(N$2:N40)</f>
        <v>14174.789329045849</v>
      </c>
      <c r="R40" s="1">
        <f>$M40*'TABELA AUXILIAR'!$J$4+SUM(O$2:O40)</f>
        <v>15599.91382771256</v>
      </c>
      <c r="S40" s="1">
        <f>$M40*'TABELA AUXILIAR'!$J$5+SUM(P$2:P40)</f>
        <v>18559.35766317317</v>
      </c>
      <c r="T40" s="2">
        <f t="shared" si="7"/>
        <v>7087</v>
      </c>
      <c r="U40" s="2">
        <f t="shared" si="7"/>
        <v>7799</v>
      </c>
      <c r="V40" s="2">
        <f t="shared" si="7"/>
        <v>9279</v>
      </c>
    </row>
    <row r="41" spans="1:22" x14ac:dyDescent="0.25">
      <c r="A41" s="1">
        <v>23.4</v>
      </c>
      <c r="B41" s="1">
        <v>24</v>
      </c>
      <c r="C41" s="1">
        <v>50</v>
      </c>
      <c r="D41" s="1" t="s">
        <v>19</v>
      </c>
      <c r="E41" s="1" t="s">
        <v>5</v>
      </c>
      <c r="F41" s="1" cm="1">
        <f t="array" ref="F41">_xlfn.XLOOKUP(D41,'TABELA AUXILIAR'!$A$2:$A$5,IF('SPT-05'!A41&lt;3,'TABELA AUXILIAR'!$B$2:$B$5,'TABELA AUXILIAR'!$C$2:$C$5),"",0,1)</f>
        <v>10.5</v>
      </c>
      <c r="G41" s="6">
        <f t="shared" si="1"/>
        <v>79.025718382334432</v>
      </c>
      <c r="H41" s="2">
        <f t="shared" si="2"/>
        <v>43.13052403989137</v>
      </c>
      <c r="I41" s="2">
        <f t="shared" si="3"/>
        <v>1200.7957908195715</v>
      </c>
      <c r="J41" s="1">
        <f t="shared" si="8"/>
        <v>253.05000000000007</v>
      </c>
      <c r="K41" s="1">
        <f t="shared" si="4"/>
        <v>0.85926117323647211</v>
      </c>
      <c r="L41" s="1">
        <f t="shared" si="5"/>
        <v>217.43603988748933</v>
      </c>
      <c r="M41" s="1">
        <f t="shared" si="6"/>
        <v>2366.9855041672977</v>
      </c>
      <c r="N41" s="1">
        <f>$L41*'TABELA AUXILIAR'!$I$3*(B41-A41)</f>
        <v>490.53570598617705</v>
      </c>
      <c r="O41" s="1">
        <f>$L41*'TABELA AUXILIAR'!$I$4*(B41-A41)</f>
        <v>532.28342564457512</v>
      </c>
      <c r="P41" s="1">
        <f>$L41*'TABELA AUXILIAR'!$I$5*(B41-A41)</f>
        <v>614.47424872204635</v>
      </c>
      <c r="Q41" s="1">
        <f>$M41*'TABELA AUXILIAR'!$J$3+SUM(N$2:N41)</f>
        <v>14705.480251815545</v>
      </c>
      <c r="R41" s="1">
        <f>$M41*'TABELA AUXILIAR'!$J$4+SUM(O$2:O41)</f>
        <v>16179.104232254698</v>
      </c>
      <c r="S41" s="1">
        <f>$M41*'TABELA AUXILIAR'!$J$5+SUM(P$2:P41)</f>
        <v>19236.374550425302</v>
      </c>
      <c r="T41" s="2">
        <f t="shared" si="7"/>
        <v>7352</v>
      </c>
      <c r="U41" s="2">
        <f t="shared" si="7"/>
        <v>8089</v>
      </c>
      <c r="V41" s="2">
        <f t="shared" si="7"/>
        <v>9618</v>
      </c>
    </row>
    <row r="42" spans="1:22" x14ac:dyDescent="0.25">
      <c r="A42" s="1">
        <v>24</v>
      </c>
      <c r="B42" s="1">
        <v>24.6</v>
      </c>
      <c r="C42" s="1">
        <v>12</v>
      </c>
      <c r="D42" s="1" t="s">
        <v>18</v>
      </c>
      <c r="E42" s="1" t="s">
        <v>2</v>
      </c>
      <c r="F42" s="1" cm="1">
        <f t="array" ref="F42">_xlfn.XLOOKUP(D42,'TABELA AUXILIAR'!$A$2:$A$5,IF('SPT-05'!A42&lt;3,'TABELA AUXILIAR'!$B$2:$B$5,'TABELA AUXILIAR'!$C$2:$C$5),"",0,1)</f>
        <v>8.5</v>
      </c>
      <c r="G42" s="6">
        <f t="shared" si="1"/>
        <v>19.178591223107613</v>
      </c>
      <c r="H42" s="2">
        <f t="shared" si="2"/>
        <v>37.42846746363815</v>
      </c>
      <c r="I42" s="2">
        <f t="shared" si="3"/>
        <v>505.77885087095382</v>
      </c>
      <c r="J42" s="1">
        <f t="shared" si="8"/>
        <v>258.75000000000011</v>
      </c>
      <c r="K42" s="1">
        <f t="shared" si="4"/>
        <v>0.45113625496324034</v>
      </c>
      <c r="L42" s="1">
        <f t="shared" si="5"/>
        <v>116.73150597173849</v>
      </c>
      <c r="M42" s="1">
        <f t="shared" si="6"/>
        <v>765.89458976437618</v>
      </c>
      <c r="N42" s="1">
        <f>$L42*'TABELA AUXILIAR'!$I$3*(B42-A42)</f>
        <v>263.3462774722426</v>
      </c>
      <c r="O42" s="1">
        <f>$L42*'TABELA AUXILIAR'!$I$4*(B42-A42)</f>
        <v>285.75872661881652</v>
      </c>
      <c r="P42" s="1">
        <f>$L42*'TABELA AUXILIAR'!$I$5*(B42-A42)</f>
        <v>329.88323587613371</v>
      </c>
      <c r="Q42" s="1">
        <f>$M42*'TABELA AUXILIAR'!$J$3+SUM(N$2:N42)</f>
        <v>13159.593796012487</v>
      </c>
      <c r="R42" s="1">
        <f>$M42*'TABELA AUXILIAR'!$J$4+SUM(O$2:O42)</f>
        <v>14351.422951861658</v>
      </c>
      <c r="S42" s="1">
        <f>$M42*'TABELA AUXILIAR'!$J$5+SUM(P$2:P42)</f>
        <v>16748.337776952292</v>
      </c>
      <c r="T42" s="2">
        <f t="shared" si="7"/>
        <v>6579</v>
      </c>
      <c r="U42" s="2">
        <f t="shared" si="7"/>
        <v>7175</v>
      </c>
      <c r="V42" s="2">
        <f t="shared" si="7"/>
        <v>8374</v>
      </c>
    </row>
    <row r="43" spans="1:22" x14ac:dyDescent="0.25">
      <c r="A43" s="1">
        <v>24.6</v>
      </c>
      <c r="B43" s="1">
        <v>25.2</v>
      </c>
      <c r="C43" s="1">
        <v>50</v>
      </c>
      <c r="D43" s="1" t="s">
        <v>18</v>
      </c>
      <c r="E43" s="1" t="s">
        <v>2</v>
      </c>
      <c r="F43" s="1" cm="1">
        <f t="array" ref="F43">_xlfn.XLOOKUP(D43,'TABELA AUXILIAR'!$A$2:$A$5,IF('SPT-05'!A43&lt;3,'TABELA AUXILIAR'!$B$2:$B$5,'TABELA AUXILIAR'!$C$2:$C$5),"",0,1)</f>
        <v>8.5</v>
      </c>
      <c r="G43" s="6">
        <f t="shared" si="1"/>
        <v>80.694480667927593</v>
      </c>
      <c r="H43" s="2">
        <f t="shared" si="2"/>
        <v>43.13052403989137</v>
      </c>
      <c r="I43" s="2">
        <f t="shared" si="3"/>
        <v>1596.5494261749288</v>
      </c>
      <c r="J43" s="1">
        <f t="shared" si="8"/>
        <v>263.85000000000014</v>
      </c>
      <c r="K43" s="1">
        <f t="shared" si="4"/>
        <v>1.0145986897313199</v>
      </c>
      <c r="L43" s="1">
        <f t="shared" si="5"/>
        <v>267.70186428560891</v>
      </c>
      <c r="M43" s="1">
        <f t="shared" si="6"/>
        <v>2427.0909582533336</v>
      </c>
      <c r="N43" s="1">
        <f>$L43*'TABELA AUXILIAR'!$I$3*(B43-A43)</f>
        <v>603.93540582833145</v>
      </c>
      <c r="O43" s="1">
        <f>$L43*'TABELA AUXILIAR'!$I$4*(B43-A43)</f>
        <v>655.33416377116828</v>
      </c>
      <c r="P43" s="1">
        <f>$L43*'TABELA AUXILIAR'!$I$5*(B43-A43)</f>
        <v>756.52546847112808</v>
      </c>
      <c r="Q43" s="1">
        <f>$M43*'TABELA AUXILIAR'!$J$3+SUM(N$2:N43)</f>
        <v>15640.681098233341</v>
      </c>
      <c r="R43" s="1">
        <f>$M43*'TABELA AUXILIAR'!$J$4+SUM(O$2:O43)</f>
        <v>17199.53632203825</v>
      </c>
      <c r="S43" s="1">
        <f>$M43*'TABELA AUXILIAR'!$J$5+SUM(P$2:P43)</f>
        <v>20428.568853963985</v>
      </c>
      <c r="T43" s="2">
        <f t="shared" si="7"/>
        <v>7820</v>
      </c>
      <c r="U43" s="2">
        <f t="shared" si="7"/>
        <v>8599</v>
      </c>
      <c r="V43" s="2">
        <f t="shared" si="7"/>
        <v>10214</v>
      </c>
    </row>
    <row r="44" spans="1:22" x14ac:dyDescent="0.25">
      <c r="A44" s="1">
        <v>25.2</v>
      </c>
      <c r="B44" s="1">
        <v>25.8</v>
      </c>
      <c r="C44" s="1">
        <v>50</v>
      </c>
      <c r="D44" s="1" t="s">
        <v>18</v>
      </c>
      <c r="E44" s="1" t="s">
        <v>2</v>
      </c>
      <c r="F44" s="1" cm="1">
        <f t="array" ref="F44">_xlfn.XLOOKUP(D44,'TABELA AUXILIAR'!$A$2:$A$5,IF('SPT-05'!A44&lt;3,'TABELA AUXILIAR'!$B$2:$B$5,'TABELA AUXILIAR'!$C$2:$C$5),"",0,1)</f>
        <v>8.5</v>
      </c>
      <c r="G44" s="6">
        <f t="shared" si="1"/>
        <v>81.470626493502763</v>
      </c>
      <c r="H44" s="2">
        <f t="shared" si="2"/>
        <v>43.13052403989137</v>
      </c>
      <c r="I44" s="2">
        <f t="shared" si="3"/>
        <v>1608.8225617224903</v>
      </c>
      <c r="J44" s="1">
        <f t="shared" si="8"/>
        <v>268.95000000000016</v>
      </c>
      <c r="K44" s="1">
        <f t="shared" si="4"/>
        <v>1.0066621267903875</v>
      </c>
      <c r="L44" s="1">
        <f t="shared" si="5"/>
        <v>270.74177900027485</v>
      </c>
      <c r="M44" s="1">
        <f t="shared" si="6"/>
        <v>2455.1312963337214</v>
      </c>
      <c r="N44" s="1">
        <f>$L44*'TABELA AUXILIAR'!$I$3*(B44-A44)</f>
        <v>610.79345342462148</v>
      </c>
      <c r="O44" s="1">
        <f>$L44*'TABELA AUXILIAR'!$I$4*(B44-A44)</f>
        <v>662.7758749926744</v>
      </c>
      <c r="P44" s="1">
        <f>$L44*'TABELA AUXILIAR'!$I$5*(B44-A44)</f>
        <v>765.11626745477861</v>
      </c>
      <c r="Q44" s="1">
        <f>$M44*'TABELA AUXILIAR'!$J$3+SUM(N$2:N44)</f>
        <v>16283.1601336888</v>
      </c>
      <c r="R44" s="1">
        <f>$M44*'TABELA AUXILIAR'!$J$4+SUM(O$2:O44)</f>
        <v>17899.325443297039</v>
      </c>
      <c r="S44" s="1">
        <f>$M44*'TABELA AUXILIAR'!$J$5+SUM(P$2:P44)</f>
        <v>21243.036116440246</v>
      </c>
      <c r="T44" s="2">
        <f t="shared" si="7"/>
        <v>8141</v>
      </c>
      <c r="U44" s="2">
        <f t="shared" si="7"/>
        <v>8949</v>
      </c>
      <c r="V44" s="2">
        <f t="shared" si="7"/>
        <v>10621</v>
      </c>
    </row>
    <row r="45" spans="1:22" x14ac:dyDescent="0.25">
      <c r="A45" s="1">
        <v>25.8</v>
      </c>
      <c r="B45" s="1">
        <v>26.4</v>
      </c>
      <c r="C45" s="1">
        <v>50</v>
      </c>
      <c r="D45" s="1" t="s">
        <v>18</v>
      </c>
      <c r="E45" s="1" t="s">
        <v>2</v>
      </c>
      <c r="F45" s="1" cm="1">
        <f t="array" ref="F45">_xlfn.XLOOKUP(D45,'TABELA AUXILIAR'!$A$2:$A$5,IF('SPT-05'!A45&lt;3,'TABELA AUXILIAR'!$B$2:$B$5,'TABELA AUXILIAR'!$C$2:$C$5),"",0,1)</f>
        <v>8.5</v>
      </c>
      <c r="G45" s="6">
        <f t="shared" si="1"/>
        <v>82.239447664859284</v>
      </c>
      <c r="H45" s="2">
        <f t="shared" si="2"/>
        <v>43.13052403989137</v>
      </c>
      <c r="I45" s="2">
        <f t="shared" si="3"/>
        <v>1620.9568393073605</v>
      </c>
      <c r="J45" s="1">
        <f t="shared" si="8"/>
        <v>274.05000000000018</v>
      </c>
      <c r="K45" s="1">
        <f t="shared" si="4"/>
        <v>0.99893500453527218</v>
      </c>
      <c r="L45" s="1">
        <f t="shared" si="5"/>
        <v>273.75813799289153</v>
      </c>
      <c r="M45" s="1">
        <f t="shared" si="6"/>
        <v>2482.959736368693</v>
      </c>
      <c r="N45" s="1">
        <f>$L45*'TABELA AUXILIAR'!$I$3*(B45-A45)</f>
        <v>617.59835931196108</v>
      </c>
      <c r="O45" s="1">
        <f>$L45*'TABELA AUXILIAR'!$I$4*(B45-A45)</f>
        <v>670.15992180659612</v>
      </c>
      <c r="P45" s="1">
        <f>$L45*'TABELA AUXILIAR'!$I$5*(B45-A45)</f>
        <v>773.64049796790869</v>
      </c>
      <c r="Q45" s="1">
        <f>$M45*'TABELA AUXILIAR'!$J$3+SUM(N$2:N45)</f>
        <v>16932.204630240281</v>
      </c>
      <c r="R45" s="1">
        <f>$M45*'TABELA AUXILIAR'!$J$4+SUM(O$2:O45)</f>
        <v>18606.218905949798</v>
      </c>
      <c r="S45" s="1">
        <f>$M45*'TABELA AUXILIAR'!$J$5+SUM(P$2:P45)</f>
        <v>22065.654668869705</v>
      </c>
      <c r="T45" s="2">
        <f t="shared" si="7"/>
        <v>8466</v>
      </c>
      <c r="U45" s="2">
        <f t="shared" si="7"/>
        <v>9303</v>
      </c>
      <c r="V45" s="2">
        <f t="shared" si="7"/>
        <v>11032</v>
      </c>
    </row>
    <row r="46" spans="1:22" x14ac:dyDescent="0.25">
      <c r="A46" s="1">
        <v>26.4</v>
      </c>
      <c r="B46" s="1">
        <v>27</v>
      </c>
      <c r="C46" s="1">
        <v>50</v>
      </c>
      <c r="D46" s="1" t="s">
        <v>18</v>
      </c>
      <c r="E46" s="1" t="s">
        <v>2</v>
      </c>
      <c r="F46" s="1" cm="1">
        <f t="array" ref="F46">_xlfn.XLOOKUP(D46,'TABELA AUXILIAR'!$A$2:$A$5,IF('SPT-05'!A46&lt;3,'TABELA AUXILIAR'!$B$2:$B$5,'TABELA AUXILIAR'!$C$2:$C$5),"",0,1)</f>
        <v>8.5</v>
      </c>
      <c r="G46" s="6">
        <f t="shared" si="1"/>
        <v>83.001147722175659</v>
      </c>
      <c r="H46" s="2">
        <f t="shared" si="2"/>
        <v>43.13052403989137</v>
      </c>
      <c r="I46" s="2">
        <f t="shared" si="3"/>
        <v>1632.956370985919</v>
      </c>
      <c r="J46" s="1">
        <f t="shared" si="8"/>
        <v>279.1500000000002</v>
      </c>
      <c r="K46" s="1">
        <f t="shared" si="4"/>
        <v>0.991408050023321</v>
      </c>
      <c r="L46" s="1">
        <f t="shared" si="5"/>
        <v>276.75155716401025</v>
      </c>
      <c r="M46" s="1">
        <f t="shared" si="6"/>
        <v>2510.5817792151806</v>
      </c>
      <c r="N46" s="1">
        <f>$L46*'TABELA AUXILIAR'!$I$3*(B46-A46)</f>
        <v>624.35151296200854</v>
      </c>
      <c r="O46" s="1">
        <f>$L46*'TABELA AUXILIAR'!$I$4*(B46-A46)</f>
        <v>677.48781193749869</v>
      </c>
      <c r="P46" s="1">
        <f>$L46*'TABELA AUXILIAR'!$I$5*(B46-A46)</f>
        <v>782.09990054549485</v>
      </c>
      <c r="Q46" s="1">
        <f>$M46*'TABELA AUXILIAR'!$J$3+SUM(N$2:N46)</f>
        <v>17587.76905161882</v>
      </c>
      <c r="R46" s="1">
        <f>$M46*'TABELA AUXILIAR'!$J$4+SUM(O$2:O46)</f>
        <v>19320.16781444466</v>
      </c>
      <c r="S46" s="1">
        <f>$M46*'TABELA AUXILIAR'!$J$5+SUM(P$2:P46)</f>
        <v>22896.369364825019</v>
      </c>
      <c r="T46" s="2">
        <f t="shared" si="7"/>
        <v>8793</v>
      </c>
      <c r="U46" s="2">
        <f t="shared" si="7"/>
        <v>9660</v>
      </c>
      <c r="V46" s="2">
        <f t="shared" si="7"/>
        <v>11448</v>
      </c>
    </row>
    <row r="47" spans="1:22" x14ac:dyDescent="0.25">
      <c r="A47" s="1">
        <v>27</v>
      </c>
      <c r="B47" s="1">
        <v>27.6</v>
      </c>
      <c r="C47" s="1">
        <v>33</v>
      </c>
      <c r="D47" s="1" t="s">
        <v>18</v>
      </c>
      <c r="E47" s="1" t="s">
        <v>2</v>
      </c>
      <c r="F47" s="1" cm="1">
        <f t="array" ref="F47">_xlfn.XLOOKUP(D47,'TABELA AUXILIAR'!$A$2:$A$5,IF('SPT-05'!A47&lt;3,'TABELA AUXILIAR'!$B$2:$B$5,'TABELA AUXILIAR'!$C$2:$C$5),"",0,1)</f>
        <v>8.5</v>
      </c>
      <c r="G47" s="6">
        <f t="shared" si="1"/>
        <v>55.278907826972699</v>
      </c>
      <c r="H47" s="2">
        <f t="shared" si="2"/>
        <v>41.470328246876562</v>
      </c>
      <c r="I47" s="2">
        <f t="shared" si="3"/>
        <v>1179.6546023043004</v>
      </c>
      <c r="J47" s="1">
        <f t="shared" si="8"/>
        <v>284.25000000000023</v>
      </c>
      <c r="K47" s="1">
        <f t="shared" si="4"/>
        <v>0.76607103171038649</v>
      </c>
      <c r="L47" s="1">
        <f t="shared" si="5"/>
        <v>217.75569076367753</v>
      </c>
      <c r="M47" s="1">
        <f t="shared" si="6"/>
        <v>1820.2340144458142</v>
      </c>
      <c r="N47" s="1">
        <f>$L47*'TABELA AUXILIAR'!$I$3*(B47-A47)</f>
        <v>491.25683836285771</v>
      </c>
      <c r="O47" s="1">
        <f>$L47*'TABELA AUXILIAR'!$I$4*(B47-A47)</f>
        <v>533.06593098948383</v>
      </c>
      <c r="P47" s="1">
        <f>$L47*'TABELA AUXILIAR'!$I$5*(B47-A47)</f>
        <v>615.37758209815422</v>
      </c>
      <c r="Q47" s="1">
        <f>$M47*'TABELA AUXILIAR'!$J$3+SUM(N$2:N47)</f>
        <v>17298.932915792291</v>
      </c>
      <c r="R47" s="1">
        <f>$M47*'TABELA AUXILIAR'!$J$4+SUM(O$2:O47)</f>
        <v>18941.974695938581</v>
      </c>
      <c r="S47" s="1">
        <f>$M47*'TABELA AUXILIAR'!$J$5+SUM(P$2:P47)</f>
        <v>22296.734880929085</v>
      </c>
      <c r="T47" s="2">
        <f t="shared" si="7"/>
        <v>8649</v>
      </c>
      <c r="U47" s="2">
        <f t="shared" si="7"/>
        <v>9470</v>
      </c>
      <c r="V47" s="2">
        <f t="shared" si="7"/>
        <v>11148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18</v>
      </c>
      <c r="E48" s="1" t="s">
        <v>2</v>
      </c>
      <c r="F48" s="1" cm="1">
        <f t="array" ref="F48">_xlfn.XLOOKUP(D48,'TABELA AUXILIAR'!$A$2:$A$5,IF('SPT-05'!A48&lt;3,'TABELA AUXILIAR'!$B$2:$B$5,'TABELA AUXILIAR'!$C$2:$C$5),"",0,1)</f>
        <v>8.5</v>
      </c>
      <c r="G48" s="6">
        <f t="shared" si="1"/>
        <v>84.503952955781998</v>
      </c>
      <c r="H48" s="2">
        <f t="shared" si="2"/>
        <v>43.13052403989137</v>
      </c>
      <c r="I48" s="2">
        <f t="shared" si="3"/>
        <v>1656.5666858787795</v>
      </c>
      <c r="J48" s="1">
        <f t="shared" si="8"/>
        <v>289.35000000000025</v>
      </c>
      <c r="K48" s="1">
        <f t="shared" si="4"/>
        <v>0.97692036003206006</v>
      </c>
      <c r="L48" s="1">
        <f t="shared" si="5"/>
        <v>282.67190617527683</v>
      </c>
      <c r="M48" s="1">
        <f t="shared" si="6"/>
        <v>2565.2274895980045</v>
      </c>
      <c r="N48" s="1">
        <f>$L48*'TABELA AUXILIAR'!$I$3*(B48-A48)</f>
        <v>637.70782033142223</v>
      </c>
      <c r="O48" s="1">
        <f>$L48*'TABELA AUXILIAR'!$I$4*(B48-A48)</f>
        <v>691.9808263170753</v>
      </c>
      <c r="P48" s="1">
        <f>$L48*'TABELA AUXILIAR'!$I$5*(B48-A48)</f>
        <v>798.83080685132938</v>
      </c>
      <c r="Q48" s="1">
        <f>$M48*'TABELA AUXILIAR'!$J$3+SUM(N$2:N48)</f>
        <v>18778.483363045689</v>
      </c>
      <c r="R48" s="1">
        <f>$M48*'TABELA AUXILIAR'!$J$4+SUM(O$2:O48)</f>
        <v>20617.346909456548</v>
      </c>
      <c r="S48" s="1">
        <f>$M48*'TABELA AUXILIAR'!$J$5+SUM(P$2:P48)</f>
        <v>24406.754204048269</v>
      </c>
      <c r="T48" s="2">
        <f t="shared" si="7"/>
        <v>9389</v>
      </c>
      <c r="U48" s="2">
        <f t="shared" si="7"/>
        <v>10308</v>
      </c>
      <c r="V48" s="2">
        <f t="shared" si="7"/>
        <v>12203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18</v>
      </c>
      <c r="E49" s="1" t="s">
        <v>2</v>
      </c>
      <c r="F49" s="1" cm="1">
        <f t="array" ref="F49">_xlfn.XLOOKUP(D49,'TABELA AUXILIAR'!$A$2:$A$5,IF('SPT-05'!A49&lt;3,'TABELA AUXILIAR'!$B$2:$B$5,'TABELA AUXILIAR'!$C$2:$C$5),"",0,1)</f>
        <v>8.5</v>
      </c>
      <c r="G49" s="6">
        <f t="shared" si="1"/>
        <v>85.245421203313398</v>
      </c>
      <c r="H49" s="2">
        <f t="shared" si="2"/>
        <v>43.13052403989137</v>
      </c>
      <c r="I49" s="2">
        <f t="shared" si="3"/>
        <v>1668.1847706813371</v>
      </c>
      <c r="J49" s="1">
        <f t="shared" si="8"/>
        <v>294.45000000000027</v>
      </c>
      <c r="K49" s="1">
        <f t="shared" si="4"/>
        <v>0.96994375671003397</v>
      </c>
      <c r="L49" s="1">
        <f t="shared" si="5"/>
        <v>285.59993916326977</v>
      </c>
      <c r="M49" s="1">
        <f t="shared" si="6"/>
        <v>2592.2610143846746</v>
      </c>
      <c r="N49" s="1">
        <f>$L49*'TABELA AUXILIAR'!$I$3*(B49-A49)</f>
        <v>644.31346275233807</v>
      </c>
      <c r="O49" s="1">
        <f>$L49*'TABELA AUXILIAR'!$I$4*(B49-A49)</f>
        <v>699.14865107168612</v>
      </c>
      <c r="P49" s="1">
        <f>$L49*'TABELA AUXILIAR'!$I$5*(B49-A49)</f>
        <v>807.1054280754023</v>
      </c>
      <c r="Q49" s="1">
        <f>$M49*'TABELA AUXILIAR'!$J$3+SUM(N$2:N49)</f>
        <v>19453.344708806966</v>
      </c>
      <c r="R49" s="1">
        <f>$M49*'TABELA AUXILIAR'!$J$4+SUM(O$2:O49)</f>
        <v>21352.179813246636</v>
      </c>
      <c r="S49" s="1">
        <f>$M49*'TABELA AUXILIAR'!$J$5+SUM(P$2:P49)</f>
        <v>25261.438635748214</v>
      </c>
      <c r="T49" s="2">
        <f t="shared" si="7"/>
        <v>9726</v>
      </c>
      <c r="U49" s="2">
        <f t="shared" si="7"/>
        <v>10676</v>
      </c>
      <c r="V49" s="2">
        <f t="shared" si="7"/>
        <v>12630</v>
      </c>
    </row>
    <row r="50" spans="1:22" x14ac:dyDescent="0.25">
      <c r="A50" s="1">
        <v>28.8</v>
      </c>
      <c r="B50" s="1">
        <v>29.4</v>
      </c>
      <c r="C50" s="1">
        <v>50</v>
      </c>
      <c r="D50" s="1" t="s">
        <v>18</v>
      </c>
      <c r="E50" s="1" t="s">
        <v>2</v>
      </c>
      <c r="F50" s="1" cm="1">
        <f t="array" ref="F50">_xlfn.XLOOKUP(D50,'TABELA AUXILIAR'!$A$2:$A$5,IF('SPT-05'!A50&lt;3,'TABELA AUXILIAR'!$B$2:$B$5,'TABELA AUXILIAR'!$C$2:$C$5),"",0,1)</f>
        <v>8.5</v>
      </c>
      <c r="G50" s="6">
        <f t="shared" si="1"/>
        <v>85.980495503966523</v>
      </c>
      <c r="H50" s="2">
        <f t="shared" si="2"/>
        <v>43.13052403989137</v>
      </c>
      <c r="I50" s="2">
        <f t="shared" si="3"/>
        <v>1679.682734798927</v>
      </c>
      <c r="J50" s="1">
        <f t="shared" si="8"/>
        <v>299.5500000000003</v>
      </c>
      <c r="K50" s="1">
        <f t="shared" si="4"/>
        <v>0.96313550842869189</v>
      </c>
      <c r="L50" s="1">
        <f t="shared" si="5"/>
        <v>288.50724154981492</v>
      </c>
      <c r="M50" s="1">
        <f t="shared" si="6"/>
        <v>2619.107882425817</v>
      </c>
      <c r="N50" s="1">
        <f>$L50*'TABELA AUXILIAR'!$I$3*(B50-A50)</f>
        <v>650.87233693638007</v>
      </c>
      <c r="O50" s="1">
        <f>$L50*'TABELA AUXILIAR'!$I$4*(B50-A50)</f>
        <v>706.26572731394435</v>
      </c>
      <c r="P50" s="1">
        <f>$L50*'TABELA AUXILIAR'!$I$5*(B50-A50)</f>
        <v>815.32146461977413</v>
      </c>
      <c r="Q50" s="1">
        <f>$M50*'TABELA AUXILIAR'!$J$3+SUM(N$2:N50)</f>
        <v>20134.554006629838</v>
      </c>
      <c r="R50" s="1">
        <f>$M50*'TABELA AUXILIAR'!$J$4+SUM(O$2:O50)</f>
        <v>22093.883406374891</v>
      </c>
      <c r="S50" s="1">
        <f>$M50*'TABELA AUXILIAR'!$J$5+SUM(P$2:P50)</f>
        <v>26124.0105881204</v>
      </c>
      <c r="T50" s="2">
        <f t="shared" si="7"/>
        <v>10067</v>
      </c>
      <c r="U50" s="2">
        <f t="shared" si="7"/>
        <v>11046</v>
      </c>
      <c r="V50" s="2">
        <f t="shared" si="7"/>
        <v>13062</v>
      </c>
    </row>
    <row r="51" spans="1:22" x14ac:dyDescent="0.25">
      <c r="A51" s="1">
        <v>29.4</v>
      </c>
      <c r="B51" s="1">
        <v>30</v>
      </c>
      <c r="C51" s="1">
        <v>50</v>
      </c>
      <c r="D51" s="1" t="s">
        <v>18</v>
      </c>
      <c r="E51" s="1" t="s">
        <v>2</v>
      </c>
      <c r="F51" s="1" cm="1">
        <f t="array" ref="F51">_xlfn.XLOOKUP(D51,'TABELA AUXILIAR'!$A$2:$A$5,IF('SPT-05'!A51&lt;3,'TABELA AUXILIAR'!$B$2:$B$5,'TABELA AUXILIAR'!$C$2:$C$5),"",0,1)</f>
        <v>8.5</v>
      </c>
      <c r="G51" s="6">
        <f t="shared" si="1"/>
        <v>86.709338471037285</v>
      </c>
      <c r="H51" s="2">
        <f t="shared" si="2"/>
        <v>43.13052403989137</v>
      </c>
      <c r="I51" s="2">
        <f t="shared" si="3"/>
        <v>1691.0638340814776</v>
      </c>
      <c r="J51" s="1">
        <f t="shared" si="8"/>
        <v>304.65000000000032</v>
      </c>
      <c r="K51" s="1">
        <f t="shared" si="4"/>
        <v>0.95648878837300144</v>
      </c>
      <c r="L51" s="1">
        <f t="shared" si="5"/>
        <v>291.39430937783521</v>
      </c>
      <c r="M51" s="1">
        <f t="shared" si="6"/>
        <v>2645.7725281408934</v>
      </c>
      <c r="N51" s="1">
        <f>$L51*'TABELA AUXILIAR'!$I$3*(B51-A51)</f>
        <v>657.38556195639774</v>
      </c>
      <c r="O51" s="1">
        <f>$L51*'TABELA AUXILIAR'!$I$4*(B51-A51)</f>
        <v>713.33326935694231</v>
      </c>
      <c r="P51" s="1">
        <f>$L51*'TABELA AUXILIAR'!$I$5*(B51-A51)</f>
        <v>823.48031830176433</v>
      </c>
      <c r="Q51" s="1">
        <f>$M51*'TABELA AUXILIAR'!$J$3+SUM(N$2:N51)</f>
        <v>20822.070618244274</v>
      </c>
      <c r="R51" s="1">
        <f>$M51*'TABELA AUXILIAR'!$J$4+SUM(O$2:O51)</f>
        <v>22842.414008075735</v>
      </c>
      <c r="S51" s="1">
        <f>$M51*'TABELA AUXILIAR'!$J$5+SUM(P$2:P51)</f>
        <v>26994.420682880696</v>
      </c>
      <c r="T51" s="2">
        <f t="shared" si="7"/>
        <v>10411</v>
      </c>
      <c r="U51" s="2">
        <f t="shared" si="7"/>
        <v>11421</v>
      </c>
      <c r="V51" s="2">
        <f t="shared" si="7"/>
        <v>13497</v>
      </c>
    </row>
    <row r="52" spans="1:22" x14ac:dyDescent="0.25">
      <c r="A52" s="1">
        <v>30</v>
      </c>
      <c r="B52" s="1">
        <v>30.6</v>
      </c>
      <c r="C52" s="1">
        <v>31</v>
      </c>
      <c r="D52" s="1" t="s">
        <v>18</v>
      </c>
      <c r="E52" s="1" t="s">
        <v>2</v>
      </c>
      <c r="F52" s="1" cm="1">
        <f t="array" ref="F52">_xlfn.XLOOKUP(D52,'TABELA AUXILIAR'!$A$2:$A$5,IF('SPT-05'!A52&lt;3,'TABELA AUXILIAR'!$B$2:$B$5,'TABELA AUXILIAR'!$C$2:$C$5),"",0,1)</f>
        <v>8.5</v>
      </c>
      <c r="G52" s="6">
        <f t="shared" si="1"/>
        <v>54.20790568265398</v>
      </c>
      <c r="H52" s="2">
        <f t="shared" si="2"/>
        <v>41.220527583275306</v>
      </c>
      <c r="I52" s="2">
        <f t="shared" si="3"/>
        <v>1161.3347094703481</v>
      </c>
      <c r="J52" s="1">
        <f t="shared" si="8"/>
        <v>309.75000000000034</v>
      </c>
      <c r="K52" s="1">
        <f t="shared" si="4"/>
        <v>0.71375769099312347</v>
      </c>
      <c r="L52" s="1">
        <f t="shared" si="5"/>
        <v>221.08644478512025</v>
      </c>
      <c r="M52" s="1">
        <f t="shared" si="6"/>
        <v>1823.0221015196485</v>
      </c>
      <c r="N52" s="1">
        <f>$L52*'TABELA AUXILIAR'!$I$3*(B52-A52)</f>
        <v>498.77101943523246</v>
      </c>
      <c r="O52" s="1">
        <f>$L52*'TABELA AUXILIAR'!$I$4*(B52-A52)</f>
        <v>541.21961683397569</v>
      </c>
      <c r="P52" s="1">
        <f>$L52*'TABELA AUXILIAR'!$I$5*(B52-A52)</f>
        <v>624.79029296275121</v>
      </c>
      <c r="Q52" s="1">
        <f>$M52*'TABELA AUXILIAR'!$J$3+SUM(N$2:N52)</f>
        <v>20391.133655597499</v>
      </c>
      <c r="R52" s="1">
        <f>$M52*'TABELA AUXILIAR'!$J$4+SUM(O$2:O52)</f>
        <v>22297.603061769667</v>
      </c>
      <c r="S52" s="1">
        <f>$M52*'TABELA AUXILIAR'!$J$5+SUM(P$2:P52)</f>
        <v>26171.170224990059</v>
      </c>
      <c r="T52" s="2">
        <f t="shared" si="7"/>
        <v>10195</v>
      </c>
      <c r="U52" s="2">
        <f t="shared" si="7"/>
        <v>11148</v>
      </c>
      <c r="V52" s="2">
        <f t="shared" si="7"/>
        <v>13085</v>
      </c>
    </row>
    <row r="53" spans="1:22" x14ac:dyDescent="0.25">
      <c r="A53" s="1">
        <v>30.6</v>
      </c>
      <c r="B53" s="1">
        <v>31.2</v>
      </c>
      <c r="C53" s="1">
        <v>22</v>
      </c>
      <c r="D53" s="1" t="s">
        <v>18</v>
      </c>
      <c r="E53" s="1" t="s">
        <v>2</v>
      </c>
      <c r="F53" s="1" cm="1">
        <f t="array" ref="F53">_xlfn.XLOOKUP(D53,'TABELA AUXILIAR'!$A$2:$A$5,IF('SPT-05'!A53&lt;3,'TABELA AUXILIAR'!$B$2:$B$5,'TABELA AUXILIAR'!$C$2:$C$5),"",0,1)</f>
        <v>8.5</v>
      </c>
      <c r="G53" s="6">
        <f t="shared" si="1"/>
        <v>38.785536836811303</v>
      </c>
      <c r="H53" s="2">
        <f t="shared" si="2"/>
        <v>39.850288663564299</v>
      </c>
      <c r="I53" s="2">
        <f t="shared" si="3"/>
        <v>888.47077908433891</v>
      </c>
      <c r="J53" s="1">
        <f t="shared" si="8"/>
        <v>314.85000000000036</v>
      </c>
      <c r="K53" s="1">
        <f t="shared" si="4"/>
        <v>0.5828572109151573</v>
      </c>
      <c r="L53" s="1">
        <f t="shared" si="5"/>
        <v>183.5125928566375</v>
      </c>
      <c r="M53" s="1">
        <f t="shared" si="6"/>
        <v>1399.252698170106</v>
      </c>
      <c r="N53" s="1">
        <f>$L53*'TABELA AUXILIAR'!$I$3*(B53-A53)</f>
        <v>414.0044094845727</v>
      </c>
      <c r="O53" s="1">
        <f>$L53*'TABELA AUXILIAR'!$I$4*(B53-A53)</f>
        <v>449.23882731304695</v>
      </c>
      <c r="P53" s="1">
        <f>$L53*'TABELA AUXILIAR'!$I$5*(B53-A53)</f>
        <v>518.60658741285567</v>
      </c>
      <c r="Q53" s="1">
        <f>$M53*'TABELA AUXILIAR'!$J$3+SUM(N$2:N53)</f>
        <v>20326.278639297088</v>
      </c>
      <c r="R53" s="1">
        <f>$M53*'TABELA AUXILIAR'!$J$4+SUM(O$2:O53)</f>
        <v>22187.466276661315</v>
      </c>
      <c r="S53" s="1">
        <f>$M53*'TABELA AUXILIAR'!$J$5+SUM(P$2:P53)</f>
        <v>25943.942662507718</v>
      </c>
      <c r="T53" s="2">
        <f t="shared" si="7"/>
        <v>10163</v>
      </c>
      <c r="U53" s="2">
        <f t="shared" si="7"/>
        <v>11093</v>
      </c>
      <c r="V53" s="2">
        <f t="shared" si="7"/>
        <v>12971</v>
      </c>
    </row>
    <row r="54" spans="1:22" x14ac:dyDescent="0.25">
      <c r="A54" s="1">
        <v>31.2</v>
      </c>
      <c r="B54" s="1">
        <v>31.8</v>
      </c>
      <c r="C54" s="1">
        <v>50</v>
      </c>
      <c r="D54" s="1" t="s">
        <v>19</v>
      </c>
      <c r="E54" s="1" t="s">
        <v>5</v>
      </c>
      <c r="F54" s="1" cm="1">
        <f t="array" ref="F54">_xlfn.XLOOKUP(D54,'TABELA AUXILIAR'!$A$2:$A$5,IF('SPT-05'!A54&lt;3,'TABELA AUXILIAR'!$B$2:$B$5,'TABELA AUXILIAR'!$C$2:$C$5),"",0,1)</f>
        <v>10.5</v>
      </c>
      <c r="G54" s="6">
        <f t="shared" si="1"/>
        <v>88.943286387926491</v>
      </c>
      <c r="H54" s="2">
        <f t="shared" si="2"/>
        <v>43.13052403989137</v>
      </c>
      <c r="I54" s="2">
        <f t="shared" si="3"/>
        <v>1351.4932366645428</v>
      </c>
      <c r="J54" s="1">
        <f t="shared" si="8"/>
        <v>320.55000000000041</v>
      </c>
      <c r="K54" s="1">
        <f t="shared" si="4"/>
        <v>0.79254279114102877</v>
      </c>
      <c r="L54" s="1">
        <f t="shared" si="5"/>
        <v>254.04959170025708</v>
      </c>
      <c r="M54" s="1">
        <f t="shared" si="6"/>
        <v>2727.7795048313078</v>
      </c>
      <c r="N54" s="1">
        <f>$L54*'TABELA AUXILIAR'!$I$3*(B54-A54)</f>
        <v>573.13587887578126</v>
      </c>
      <c r="O54" s="1">
        <f>$L54*'TABELA AUXILIAR'!$I$4*(B54-A54)</f>
        <v>621.91340048223071</v>
      </c>
      <c r="P54" s="1">
        <f>$L54*'TABELA AUXILIAR'!$I$5*(B54-A54)</f>
        <v>717.94414614492825</v>
      </c>
      <c r="Q54" s="1">
        <f>$M54*'TABELA AUXILIAR'!$J$3+SUM(N$2:N54)</f>
        <v>22400.649809700029</v>
      </c>
      <c r="R54" s="1">
        <f>$M54*'TABELA AUXILIAR'!$J$4+SUM(O$2:O54)</f>
        <v>24563.035061936331</v>
      </c>
      <c r="S54" s="1">
        <f>$M54*'TABELA AUXILIAR'!$J$5+SUM(P$2:P54)</f>
        <v>29000.09398837636</v>
      </c>
      <c r="T54" s="2">
        <f t="shared" si="7"/>
        <v>11200</v>
      </c>
      <c r="U54" s="2">
        <f t="shared" si="7"/>
        <v>12281</v>
      </c>
      <c r="V54" s="2">
        <f t="shared" si="7"/>
        <v>14500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19</v>
      </c>
      <c r="E55" s="1" t="s">
        <v>5</v>
      </c>
      <c r="F55" s="1" cm="1">
        <f t="array" ref="F55">_xlfn.XLOOKUP(D55,'TABELA AUXILIAR'!$A$2:$A$5,IF('SPT-05'!A55&lt;3,'TABELA AUXILIAR'!$B$2:$B$5,'TABELA AUXILIAR'!$C$2:$C$5),"",0,1)</f>
        <v>10.5</v>
      </c>
      <c r="G55" s="6">
        <f t="shared" si="1"/>
        <v>89.813066807663574</v>
      </c>
      <c r="H55" s="2">
        <f t="shared" si="2"/>
        <v>43.13052403989137</v>
      </c>
      <c r="I55" s="2">
        <f t="shared" si="3"/>
        <v>1364.7095501424478</v>
      </c>
      <c r="J55" s="1">
        <f t="shared" si="8"/>
        <v>326.85000000000042</v>
      </c>
      <c r="K55" s="1">
        <f t="shared" si="4"/>
        <v>0.78728743382514632</v>
      </c>
      <c r="L55" s="1">
        <f t="shared" si="5"/>
        <v>257.32489774574941</v>
      </c>
      <c r="M55" s="1">
        <f t="shared" si="6"/>
        <v>2759.820821333868</v>
      </c>
      <c r="N55" s="1">
        <f>$L55*'TABELA AUXILIAR'!$I$3*(B55-A55)</f>
        <v>580.52496931440862</v>
      </c>
      <c r="O55" s="1">
        <f>$L55*'TABELA AUXILIAR'!$I$4*(B55-A55)</f>
        <v>629.93134968159234</v>
      </c>
      <c r="P55" s="1">
        <f>$L55*'TABELA AUXILIAR'!$I$5*(B55-A55)</f>
        <v>727.20016102948534</v>
      </c>
      <c r="Q55" s="1">
        <f>$M55*'TABELA AUXILIAR'!$J$3+SUM(N$2:N55)</f>
        <v>23017.381466662329</v>
      </c>
      <c r="R55" s="1">
        <f>$M55*'TABELA AUXILIAR'!$J$4+SUM(O$2:O55)</f>
        <v>25235.260949401301</v>
      </c>
      <c r="S55" s="1">
        <f>$M55*'TABELA AUXILIAR'!$J$5+SUM(P$2:P55)</f>
        <v>29783.686866450353</v>
      </c>
      <c r="T55" s="2">
        <f t="shared" si="7"/>
        <v>11508</v>
      </c>
      <c r="U55" s="2">
        <f t="shared" si="7"/>
        <v>12617</v>
      </c>
      <c r="V55" s="2">
        <f t="shared" si="7"/>
        <v>14891</v>
      </c>
    </row>
    <row r="56" spans="1:22" x14ac:dyDescent="0.25">
      <c r="A56" s="1">
        <v>32.4</v>
      </c>
      <c r="B56" s="1">
        <v>33</v>
      </c>
      <c r="C56" s="1">
        <v>25</v>
      </c>
      <c r="D56" s="1" t="s">
        <v>19</v>
      </c>
      <c r="E56" s="1" t="s">
        <v>5</v>
      </c>
      <c r="F56" s="1" cm="1">
        <f t="array" ref="F56">_xlfn.XLOOKUP(D56,'TABELA AUXILIAR'!$A$2:$A$5,IF('SPT-05'!A56&lt;3,'TABELA AUXILIAR'!$B$2:$B$5,'TABELA AUXILIAR'!$C$2:$C$5),"",0,1)</f>
        <v>10.5</v>
      </c>
      <c r="G56" s="6">
        <f t="shared" si="1"/>
        <v>45.33725219207426</v>
      </c>
      <c r="H56" s="2">
        <f t="shared" si="2"/>
        <v>40.361048079782748</v>
      </c>
      <c r="I56" s="2">
        <f t="shared" si="3"/>
        <v>688.89954705856826</v>
      </c>
      <c r="J56" s="1">
        <f t="shared" si="8"/>
        <v>333.15000000000043</v>
      </c>
      <c r="K56" s="1">
        <f t="shared" si="4"/>
        <v>0.47943263774923811</v>
      </c>
      <c r="L56" s="1">
        <f t="shared" si="5"/>
        <v>159.72298326615888</v>
      </c>
      <c r="M56" s="1">
        <f t="shared" si="6"/>
        <v>1603.3623720272149</v>
      </c>
      <c r="N56" s="1">
        <f>$L56*'TABELA AUXILIAR'!$I$3*(B56-A56)</f>
        <v>360.33505024845522</v>
      </c>
      <c r="O56" s="1">
        <f>$L56*'TABELA AUXILIAR'!$I$4*(B56-A56)</f>
        <v>391.0018630355579</v>
      </c>
      <c r="P56" s="1">
        <f>$L56*'TABELA AUXILIAR'!$I$5*(B56-A56)</f>
        <v>451.37715071016606</v>
      </c>
      <c r="Q56" s="1">
        <f>$M56*'TABELA AUXILIAR'!$J$3+SUM(N$2:N56)</f>
        <v>22070.918469194265</v>
      </c>
      <c r="R56" s="1">
        <f>$M56*'TABELA AUXILIAR'!$J$4+SUM(O$2:O56)</f>
        <v>24099.737659352078</v>
      </c>
      <c r="S56" s="1">
        <f>$M56*'TABELA AUXILIAR'!$J$5+SUM(P$2:P56)</f>
        <v>28199.697146380811</v>
      </c>
      <c r="T56" s="2">
        <f t="shared" si="7"/>
        <v>11035</v>
      </c>
      <c r="U56" s="2">
        <f t="shared" si="7"/>
        <v>12049</v>
      </c>
      <c r="V56" s="2">
        <f t="shared" si="7"/>
        <v>14099</v>
      </c>
    </row>
    <row r="57" spans="1:22" x14ac:dyDescent="0.25">
      <c r="A57" s="1">
        <v>33</v>
      </c>
      <c r="B57" s="1">
        <v>33.6</v>
      </c>
      <c r="C57" s="1">
        <v>50</v>
      </c>
      <c r="D57" s="1" t="s">
        <v>19</v>
      </c>
      <c r="E57" s="1" t="s">
        <v>5</v>
      </c>
      <c r="F57" s="1" cm="1">
        <f t="array" ref="F57">_xlfn.XLOOKUP(D57,'TABELA AUXILIAR'!$A$2:$A$5,IF('SPT-05'!A57&lt;3,'TABELA AUXILIAR'!$B$2:$B$5,'TABELA AUXILIAR'!$C$2:$C$5),"",0,1)</f>
        <v>10.5</v>
      </c>
      <c r="G57" s="6">
        <f t="shared" si="1"/>
        <v>91.527834680080247</v>
      </c>
      <c r="H57" s="2">
        <f t="shared" si="2"/>
        <v>43.13052403989137</v>
      </c>
      <c r="I57" s="2">
        <f t="shared" si="3"/>
        <v>1390.7654479638193</v>
      </c>
      <c r="J57" s="1">
        <f t="shared" si="8"/>
        <v>339.4500000000005</v>
      </c>
      <c r="K57" s="1">
        <f t="shared" si="4"/>
        <v>0.77717343192330912</v>
      </c>
      <c r="L57" s="1">
        <f t="shared" si="5"/>
        <v>263.81152146636765</v>
      </c>
      <c r="M57" s="1">
        <f t="shared" si="6"/>
        <v>2823.1716293809559</v>
      </c>
      <c r="N57" s="1">
        <f>$L57*'TABELA AUXILIAR'!$I$3*(B57-A57)</f>
        <v>595.15879242812673</v>
      </c>
      <c r="O57" s="1">
        <f>$L57*'TABELA AUXILIAR'!$I$4*(B57-A57)</f>
        <v>645.81060454966962</v>
      </c>
      <c r="P57" s="1">
        <f>$L57*'TABELA AUXILIAR'!$I$5*(B57-A57)</f>
        <v>745.53135966395666</v>
      </c>
      <c r="Q57" s="1">
        <f>$M57*'TABELA AUXILIAR'!$J$3+SUM(N$2:N57)</f>
        <v>24044.461722432119</v>
      </c>
      <c r="R57" s="1">
        <f>$M57*'TABELA AUXILIAR'!$J$4+SUM(O$2:O57)</f>
        <v>26355.696483608685</v>
      </c>
      <c r="S57" s="1">
        <f>$M57*'TABELA AUXILIAR'!$J$5+SUM(P$2:P57)</f>
        <v>31092.092798987353</v>
      </c>
      <c r="T57" s="2">
        <f t="shared" si="7"/>
        <v>12022</v>
      </c>
      <c r="U57" s="2">
        <f t="shared" si="7"/>
        <v>13177</v>
      </c>
      <c r="V57" s="2">
        <f t="shared" si="7"/>
        <v>15546</v>
      </c>
    </row>
    <row r="58" spans="1:22" x14ac:dyDescent="0.25">
      <c r="A58" s="1">
        <v>33.6</v>
      </c>
      <c r="B58" s="1">
        <v>34.200000000000003</v>
      </c>
      <c r="C58" s="1">
        <v>50</v>
      </c>
      <c r="D58" s="1" t="s">
        <v>19</v>
      </c>
      <c r="E58" s="1" t="s">
        <v>5</v>
      </c>
      <c r="F58" s="1" cm="1">
        <f t="array" ref="F58">_xlfn.XLOOKUP(D58,'TABELA AUXILIAR'!$A$2:$A$5,IF('SPT-05'!A58&lt;3,'TABELA AUXILIAR'!$B$2:$B$5,'TABELA AUXILIAR'!$C$2:$C$5),"",0,1)</f>
        <v>10.5</v>
      </c>
      <c r="G58" s="6">
        <f t="shared" si="1"/>
        <v>92.373282377196219</v>
      </c>
      <c r="H58" s="2">
        <f t="shared" si="2"/>
        <v>43.13052403989137</v>
      </c>
      <c r="I58" s="2">
        <f t="shared" si="3"/>
        <v>1403.6120257214964</v>
      </c>
      <c r="J58" s="1">
        <f t="shared" si="8"/>
        <v>345.75000000000057</v>
      </c>
      <c r="K58" s="1">
        <f t="shared" si="4"/>
        <v>0.77230340948327825</v>
      </c>
      <c r="L58" s="1">
        <f t="shared" si="5"/>
        <v>267.02390382884391</v>
      </c>
      <c r="M58" s="1">
        <f t="shared" si="6"/>
        <v>2854.4938162594108</v>
      </c>
      <c r="N58" s="1">
        <f>$L58*'TABELA AUXILIAR'!$I$3*(B58-A58)</f>
        <v>602.4059270378732</v>
      </c>
      <c r="O58" s="1">
        <f>$L58*'TABELA AUXILIAR'!$I$4*(B58-A58)</f>
        <v>653.67451657301137</v>
      </c>
      <c r="P58" s="1">
        <f>$L58*'TABELA AUXILIAR'!$I$5*(B58-A58)</f>
        <v>754.60955222031464</v>
      </c>
      <c r="Q58" s="1">
        <f>$M58*'TABELA AUXILIAR'!$J$3+SUM(N$2:N58)</f>
        <v>24682.261720642648</v>
      </c>
      <c r="R58" s="1">
        <f>$M58*'TABELA AUXILIAR'!$J$4+SUM(O$2:O58)</f>
        <v>27050.716286861258</v>
      </c>
      <c r="S58" s="1">
        <f>$M58*'TABELA AUXILIAR'!$J$5+SUM(P$2:P58)</f>
        <v>31901.829400113747</v>
      </c>
      <c r="T58" s="2">
        <f t="shared" si="7"/>
        <v>12341</v>
      </c>
      <c r="U58" s="2">
        <f t="shared" si="7"/>
        <v>13525</v>
      </c>
      <c r="V58" s="2">
        <f t="shared" si="7"/>
        <v>15950</v>
      </c>
    </row>
    <row r="59" spans="1:22" x14ac:dyDescent="0.25">
      <c r="A59" s="1">
        <v>34.200000000000003</v>
      </c>
      <c r="B59" s="1">
        <v>34.799999999999997</v>
      </c>
      <c r="C59" s="1">
        <v>28</v>
      </c>
      <c r="D59" s="1" t="s">
        <v>19</v>
      </c>
      <c r="E59" s="1" t="s">
        <v>5</v>
      </c>
      <c r="F59" s="1" cm="1">
        <f t="array" ref="F59">_xlfn.XLOOKUP(D59,'TABELA AUXILIAR'!$A$2:$A$5,IF('SPT-05'!A59&lt;3,'TABELA AUXILIAR'!$B$2:$B$5,'TABELA AUXILIAR'!$C$2:$C$5),"",0,1)</f>
        <v>10.5</v>
      </c>
      <c r="G59" s="6">
        <f t="shared" si="1"/>
        <v>52.198194701623471</v>
      </c>
      <c r="H59" s="2">
        <f t="shared" si="2"/>
        <v>40.813853888348419</v>
      </c>
      <c r="I59" s="2">
        <f t="shared" si="3"/>
        <v>793.15156849116852</v>
      </c>
      <c r="J59" s="1">
        <f t="shared" si="8"/>
        <v>352.05000000000058</v>
      </c>
      <c r="K59" s="1">
        <f t="shared" si="4"/>
        <v>0.50868073918418188</v>
      </c>
      <c r="L59" s="1">
        <f t="shared" si="5"/>
        <v>179.08105422979153</v>
      </c>
      <c r="M59" s="1">
        <f t="shared" si="6"/>
        <v>1814.6163684974792</v>
      </c>
      <c r="N59" s="1">
        <f>$L59*'TABELA AUXILIAR'!$I$3*(B59-A59)</f>
        <v>404.00685834240579</v>
      </c>
      <c r="O59" s="1">
        <f>$L59*'TABELA AUXILIAR'!$I$4*(B59-A59)</f>
        <v>438.39042075452556</v>
      </c>
      <c r="P59" s="1">
        <f>$L59*'TABELA AUXILIAR'!$I$5*(B59-A59)</f>
        <v>506.08305925338607</v>
      </c>
      <c r="Q59" s="1">
        <f>$M59*'TABELA AUXILIAR'!$J$3+SUM(N$2:N59)</f>
        <v>23911.207063014073</v>
      </c>
      <c r="R59" s="1">
        <f>$M59*'TABELA AUXILIAR'!$J$4+SUM(O$2:O59)</f>
        <v>26116.468476570029</v>
      </c>
      <c r="S59" s="1">
        <f>$M59*'TABELA AUXILIAR'!$J$5+SUM(P$2:P59)</f>
        <v>30577.728151306132</v>
      </c>
      <c r="T59" s="2">
        <f t="shared" si="7"/>
        <v>11955</v>
      </c>
      <c r="U59" s="2">
        <f t="shared" si="7"/>
        <v>13058</v>
      </c>
      <c r="V59" s="2">
        <f t="shared" si="7"/>
        <v>15288</v>
      </c>
    </row>
    <row r="60" spans="1:22" x14ac:dyDescent="0.25">
      <c r="A60" s="1">
        <v>34.799999999999997</v>
      </c>
      <c r="B60" s="1">
        <v>35.4</v>
      </c>
      <c r="C60" s="1">
        <v>50</v>
      </c>
      <c r="D60" s="1" t="s">
        <v>19</v>
      </c>
      <c r="E60" s="1" t="s">
        <v>5</v>
      </c>
      <c r="F60" s="1" cm="1">
        <f t="array" ref="F60">_xlfn.XLOOKUP(D60,'TABELA AUXILIAR'!$A$2:$A$5,IF('SPT-05'!A60&lt;3,'TABELA AUXILIAR'!$B$2:$B$5,'TABELA AUXILIAR'!$C$2:$C$5),"",0,1)</f>
        <v>10.5</v>
      </c>
      <c r="G60" s="6">
        <f t="shared" si="1"/>
        <v>94.041378387194484</v>
      </c>
      <c r="H60" s="2">
        <f t="shared" si="2"/>
        <v>43.13052403989137</v>
      </c>
      <c r="I60" s="2">
        <f t="shared" si="3"/>
        <v>1428.9587445934201</v>
      </c>
      <c r="J60" s="1">
        <f t="shared" si="8"/>
        <v>358.35000000000059</v>
      </c>
      <c r="K60" s="1">
        <f t="shared" si="4"/>
        <v>0.76291140760372145</v>
      </c>
      <c r="L60" s="1">
        <f t="shared" si="5"/>
        <v>273.38930291479403</v>
      </c>
      <c r="M60" s="1">
        <f t="shared" si="6"/>
        <v>2916.4614383860344</v>
      </c>
      <c r="N60" s="1">
        <f>$L60*'TABELA AUXILIAR'!$I$3*(B60-A60)</f>
        <v>616.76626737577669</v>
      </c>
      <c r="O60" s="1">
        <f>$L60*'TABELA AUXILIAR'!$I$4*(B60-A60)</f>
        <v>669.2570135354174</v>
      </c>
      <c r="P60" s="1">
        <f>$L60*'TABELA AUXILIAR'!$I$5*(B60-A60)</f>
        <v>772.5981700372098</v>
      </c>
      <c r="Q60" s="1">
        <f>$M60*'TABELA AUXILIAR'!$J$3+SUM(N$2:N60)</f>
        <v>25773.058259363916</v>
      </c>
      <c r="R60" s="1">
        <f>$M60*'TABELA AUXILIAR'!$J$4+SUM(O$2:O60)</f>
        <v>28240.160982358342</v>
      </c>
      <c r="S60" s="1">
        <f>$M60*'TABELA AUXILIAR'!$J$5+SUM(P$2:P60)</f>
        <v>33289.573644347198</v>
      </c>
      <c r="T60" s="2">
        <f t="shared" si="7"/>
        <v>12886</v>
      </c>
      <c r="U60" s="2">
        <f t="shared" si="7"/>
        <v>14120</v>
      </c>
      <c r="V60" s="2">
        <f t="shared" si="7"/>
        <v>16644</v>
      </c>
    </row>
    <row r="61" spans="1:22" x14ac:dyDescent="0.25">
      <c r="A61" s="1">
        <v>35.4</v>
      </c>
      <c r="B61" s="1">
        <v>36</v>
      </c>
      <c r="C61" s="1">
        <v>50</v>
      </c>
      <c r="D61" s="1" t="s">
        <v>19</v>
      </c>
      <c r="E61" s="1" t="s">
        <v>5</v>
      </c>
      <c r="F61" s="1" cm="1">
        <f t="array" ref="F61">_xlfn.XLOOKUP(D61,'TABELA AUXILIAR'!$A$2:$A$5,IF('SPT-05'!A61&lt;3,'TABELA AUXILIAR'!$B$2:$B$5,'TABELA AUXILIAR'!$C$2:$C$5),"",0,1)</f>
        <v>10.5</v>
      </c>
      <c r="G61" s="6">
        <f t="shared" si="1"/>
        <v>94.864427605275836</v>
      </c>
      <c r="H61" s="2">
        <f t="shared" si="2"/>
        <v>43.13052403989137</v>
      </c>
      <c r="I61" s="2">
        <f t="shared" si="3"/>
        <v>1441.4649774621662</v>
      </c>
      <c r="J61" s="1">
        <f t="shared" si="8"/>
        <v>364.65000000000066</v>
      </c>
      <c r="K61" s="1">
        <f t="shared" si="4"/>
        <v>0.7583799676223425</v>
      </c>
      <c r="L61" s="1">
        <f t="shared" si="5"/>
        <v>276.54325519348771</v>
      </c>
      <c r="M61" s="1">
        <f t="shared" si="6"/>
        <v>2947.1179934122601</v>
      </c>
      <c r="N61" s="1">
        <f>$L61*'TABELA AUXILIAR'!$I$3*(B61-A61)</f>
        <v>623.88158371650968</v>
      </c>
      <c r="O61" s="1">
        <f>$L61*'TABELA AUXILIAR'!$I$4*(B61-A61)</f>
        <v>676.97788871365958</v>
      </c>
      <c r="P61" s="1">
        <f>$L61*'TABELA AUXILIAR'!$I$5*(B61-A61)</f>
        <v>781.51123917679809</v>
      </c>
      <c r="Q61" s="1">
        <f>$M61*'TABELA AUXILIAR'!$J$3+SUM(N$2:N61)</f>
        <v>26431.581750260058</v>
      </c>
      <c r="R61" s="1">
        <f>$M61*'TABELA AUXILIAR'!$J$4+SUM(O$2:O61)</f>
        <v>28957.605523706618</v>
      </c>
      <c r="S61" s="1">
        <f>$M61*'TABELA AUXILIAR'!$J$5+SUM(P$2:P61)</f>
        <v>34125.040420370155</v>
      </c>
      <c r="T61" s="2">
        <f t="shared" si="7"/>
        <v>13215</v>
      </c>
      <c r="U61" s="2">
        <f t="shared" si="7"/>
        <v>14478</v>
      </c>
      <c r="V61" s="2">
        <f t="shared" si="7"/>
        <v>17062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19</v>
      </c>
      <c r="E62" s="1" t="s">
        <v>5</v>
      </c>
      <c r="F62" s="1" cm="1">
        <f t="array" ref="F62">_xlfn.XLOOKUP(D62,'TABELA AUXILIAR'!$A$2:$A$5,IF('SPT-05'!A62&lt;3,'TABELA AUXILIAR'!$B$2:$B$5,'TABELA AUXILIAR'!$C$2:$C$5),"",0,1)</f>
        <v>10.5</v>
      </c>
      <c r="G62" s="6">
        <f t="shared" si="1"/>
        <v>95.680397160493385</v>
      </c>
      <c r="H62" s="2">
        <f t="shared" si="2"/>
        <v>43.13052403989137</v>
      </c>
      <c r="I62" s="2">
        <f t="shared" si="3"/>
        <v>1453.8636348536968</v>
      </c>
      <c r="J62" s="1">
        <f t="shared" si="8"/>
        <v>370.95000000000073</v>
      </c>
      <c r="K62" s="1">
        <f t="shared" si="4"/>
        <v>0.75395237844593566</v>
      </c>
      <c r="L62" s="1">
        <f t="shared" si="5"/>
        <v>279.6786347845204</v>
      </c>
      <c r="M62" s="1">
        <f t="shared" si="6"/>
        <v>2977.5634068766649</v>
      </c>
      <c r="N62" s="1">
        <f>$L62*'TABELA AUXILIAR'!$I$3*(B62-A62)</f>
        <v>630.95500007387943</v>
      </c>
      <c r="O62" s="1">
        <f>$L62*'TABELA AUXILIAR'!$I$4*(B62-A62)</f>
        <v>684.6532979525075</v>
      </c>
      <c r="P62" s="1">
        <f>$L62*'TABELA AUXILIAR'!$I$5*(B62-A62)</f>
        <v>790.37182190105659</v>
      </c>
      <c r="Q62" s="1">
        <f>$M62*'TABELA AUXILIAR'!$J$3+SUM(N$2:N62)</f>
        <v>27096.940067548716</v>
      </c>
      <c r="R62" s="1">
        <f>$M62*'TABELA AUXILIAR'!$J$4+SUM(O$2:O62)</f>
        <v>29682.446767432142</v>
      </c>
      <c r="S62" s="1">
        <f>$M62*'TABELA AUXILIAR'!$J$5+SUM(P$2:P62)</f>
        <v>34968.996169968566</v>
      </c>
      <c r="T62" s="2">
        <f t="shared" si="7"/>
        <v>13548</v>
      </c>
      <c r="U62" s="2">
        <f t="shared" si="7"/>
        <v>14841</v>
      </c>
      <c r="V62" s="2">
        <f t="shared" si="7"/>
        <v>17484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19</v>
      </c>
      <c r="E63" s="1" t="s">
        <v>5</v>
      </c>
      <c r="F63" s="1" cm="1">
        <f t="array" ref="F63">_xlfn.XLOOKUP(D63,'TABELA AUXILIAR'!$A$2:$A$5,IF('SPT-05'!A63&lt;3,'TABELA AUXILIAR'!$B$2:$B$5,'TABELA AUXILIAR'!$C$2:$C$5),"",0,1)</f>
        <v>10.5</v>
      </c>
      <c r="G63" s="6">
        <f t="shared" si="1"/>
        <v>96.489466661925775</v>
      </c>
      <c r="H63" s="2">
        <f t="shared" si="2"/>
        <v>43.13052403989137</v>
      </c>
      <c r="I63" s="2">
        <f t="shared" si="3"/>
        <v>1466.157445927962</v>
      </c>
      <c r="J63" s="1">
        <f t="shared" si="8"/>
        <v>377.2500000000008</v>
      </c>
      <c r="K63" s="1">
        <f t="shared" si="4"/>
        <v>0.74962455600624456</v>
      </c>
      <c r="L63" s="1">
        <f t="shared" si="5"/>
        <v>282.79586375335634</v>
      </c>
      <c r="M63" s="1">
        <f t="shared" si="6"/>
        <v>3007.8026825174425</v>
      </c>
      <c r="N63" s="1">
        <f>$L63*'TABELA AUXILIAR'!$I$3*(B63-A63)</f>
        <v>637.98746862757343</v>
      </c>
      <c r="O63" s="1">
        <f>$L63*'TABELA AUXILIAR'!$I$4*(B63-A63)</f>
        <v>692.28427446821797</v>
      </c>
      <c r="P63" s="1">
        <f>$L63*'TABELA AUXILIAR'!$I$5*(B63-A63)</f>
        <v>799.18111096698692</v>
      </c>
      <c r="Q63" s="1">
        <f>$M63*'TABELA AUXILIAR'!$J$3+SUM(N$2:N63)</f>
        <v>27769.097917650368</v>
      </c>
      <c r="R63" s="1">
        <f>$M63*'TABELA AUXILIAR'!$J$4+SUM(O$2:O63)</f>
        <v>30414.646885746184</v>
      </c>
      <c r="S63" s="1">
        <f>$M63*'TABELA AUXILIAR'!$J$5+SUM(P$2:P63)</f>
        <v>35821.398406063323</v>
      </c>
      <c r="T63" s="2">
        <f t="shared" si="7"/>
        <v>13884</v>
      </c>
      <c r="U63" s="2">
        <f t="shared" si="7"/>
        <v>15207</v>
      </c>
      <c r="V63" s="2">
        <f t="shared" si="7"/>
        <v>17910</v>
      </c>
    </row>
    <row r="64" spans="1:22" x14ac:dyDescent="0.25">
      <c r="A64" s="1">
        <v>37.200000000000003</v>
      </c>
      <c r="B64" s="1">
        <v>37.799999999999997</v>
      </c>
      <c r="C64" s="1">
        <v>50</v>
      </c>
      <c r="D64" s="1" t="s">
        <v>19</v>
      </c>
      <c r="E64" s="1" t="s">
        <v>5</v>
      </c>
      <c r="F64" s="1" cm="1">
        <f t="array" ref="F64">_xlfn.XLOOKUP(D64,'TABELA AUXILIAR'!$A$2:$A$5,IF('SPT-05'!A64&lt;3,'TABELA AUXILIAR'!$B$2:$B$5,'TABELA AUXILIAR'!$C$2:$C$5),"",0,1)</f>
        <v>10.5</v>
      </c>
      <c r="G64" s="6">
        <f t="shared" si="1"/>
        <v>97.291808250314745</v>
      </c>
      <c r="H64" s="2">
        <f t="shared" si="2"/>
        <v>43.13052403989137</v>
      </c>
      <c r="I64" s="2">
        <f t="shared" si="3"/>
        <v>1478.3490263635324</v>
      </c>
      <c r="J64" s="1">
        <f t="shared" si="8"/>
        <v>383.55000000000081</v>
      </c>
      <c r="K64" s="1">
        <f t="shared" si="4"/>
        <v>0.74539264164802888</v>
      </c>
      <c r="L64" s="1">
        <f t="shared" si="5"/>
        <v>285.89534770410205</v>
      </c>
      <c r="M64" s="1">
        <f t="shared" si="6"/>
        <v>3037.8406241673142</v>
      </c>
      <c r="N64" s="1">
        <f>$L64*'TABELA AUXILIAR'!$I$3*(B64-A64)</f>
        <v>644.97990442044807</v>
      </c>
      <c r="O64" s="1">
        <f>$L64*'TABELA AUXILIAR'!$I$4*(B64-A64)</f>
        <v>699.87181117963519</v>
      </c>
      <c r="P64" s="1">
        <f>$L64*'TABELA AUXILIAR'!$I$5*(B64-A64)</f>
        <v>807.94025261178479</v>
      </c>
      <c r="Q64" s="1">
        <f>$M64*'TABELA AUXILIAR'!$J$3+SUM(N$2:N64)</f>
        <v>28448.020696135169</v>
      </c>
      <c r="R64" s="1">
        <f>$M64*'TABELA AUXILIAR'!$J$4+SUM(O$2:O64)</f>
        <v>31154.168779903648</v>
      </c>
      <c r="S64" s="1">
        <f>$M64*'TABELA AUXILIAR'!$J$5+SUM(P$2:P64)</f>
        <v>36682.205435978874</v>
      </c>
      <c r="T64" s="2">
        <f t="shared" si="7"/>
        <v>14224</v>
      </c>
      <c r="U64" s="2">
        <f t="shared" si="7"/>
        <v>15577</v>
      </c>
      <c r="V64" s="2">
        <f t="shared" si="7"/>
        <v>18341</v>
      </c>
    </row>
    <row r="65" spans="1:22" x14ac:dyDescent="0.25">
      <c r="A65" s="1">
        <v>37.799999999999997</v>
      </c>
      <c r="B65" s="1">
        <v>38.4</v>
      </c>
      <c r="C65" s="1">
        <v>27</v>
      </c>
      <c r="D65" s="1" t="s">
        <v>19</v>
      </c>
      <c r="E65" s="1" t="s">
        <v>5</v>
      </c>
      <c r="F65" s="1" cm="1">
        <f t="array" ref="F65">_xlfn.XLOOKUP(D65,'TABELA AUXILIAR'!$A$2:$A$5,IF('SPT-05'!A65&lt;3,'TABELA AUXILIAR'!$B$2:$B$5,'TABELA AUXILIAR'!$C$2:$C$5),"",0,1)</f>
        <v>10.5</v>
      </c>
      <c r="G65" s="6">
        <f t="shared" si="1"/>
        <v>52.967296993891409</v>
      </c>
      <c r="H65" s="2">
        <f t="shared" si="2"/>
        <v>40.668546630262682</v>
      </c>
      <c r="I65" s="2">
        <f t="shared" si="3"/>
        <v>804.83807782217991</v>
      </c>
      <c r="J65" s="1">
        <f t="shared" si="8"/>
        <v>389.85000000000082</v>
      </c>
      <c r="K65" s="1">
        <f t="shared" si="4"/>
        <v>0.47997336721736172</v>
      </c>
      <c r="L65" s="1">
        <f t="shared" si="5"/>
        <v>187.11761720968886</v>
      </c>
      <c r="M65" s="1">
        <f t="shared" si="6"/>
        <v>1873.8090159213662</v>
      </c>
      <c r="N65" s="1">
        <f>$L65*'TABELA AUXILIAR'!$I$3*(B65-A65)</f>
        <v>422.13734442505904</v>
      </c>
      <c r="O65" s="1">
        <f>$L65*'TABELA AUXILIAR'!$I$4*(B65-A65)</f>
        <v>458.06392692931945</v>
      </c>
      <c r="P65" s="1">
        <f>$L65*'TABELA AUXILIAR'!$I$5*(B65-A65)</f>
        <v>528.79438623458191</v>
      </c>
      <c r="Q65" s="1">
        <f>$M65*'TABELA AUXILIAR'!$J$3+SUM(N$2:N65)</f>
        <v>27554.802323242307</v>
      </c>
      <c r="R65" s="1">
        <f>$M65*'TABELA AUXILIAR'!$J$4+SUM(O$2:O65)</f>
        <v>30075.710983948316</v>
      </c>
      <c r="S65" s="1">
        <f>$M65*'TABELA AUXILIAR'!$J$5+SUM(P$2:P65)</f>
        <v>35162.30419170059</v>
      </c>
      <c r="T65" s="2">
        <f t="shared" si="7"/>
        <v>13777</v>
      </c>
      <c r="U65" s="2">
        <f t="shared" si="7"/>
        <v>15037</v>
      </c>
      <c r="V65" s="2">
        <f t="shared" si="7"/>
        <v>17581</v>
      </c>
    </row>
    <row r="66" spans="1:22" x14ac:dyDescent="0.25">
      <c r="A66" s="1">
        <v>38.4</v>
      </c>
      <c r="B66" s="1">
        <v>39</v>
      </c>
      <c r="C66" s="1">
        <v>50</v>
      </c>
      <c r="D66" s="1" t="s">
        <v>19</v>
      </c>
      <c r="E66" s="1" t="s">
        <v>5</v>
      </c>
      <c r="F66" s="1" cm="1">
        <f t="array" ref="F66">_xlfn.XLOOKUP(D66,'TABELA AUXILIAR'!$A$2:$A$5,IF('SPT-05'!A66&lt;3,'TABELA AUXILIAR'!$B$2:$B$5,'TABELA AUXILIAR'!$C$2:$C$5),"",0,1)</f>
        <v>10.5</v>
      </c>
      <c r="G66" s="6">
        <f t="shared" si="1"/>
        <v>98.876961444222559</v>
      </c>
      <c r="H66" s="2">
        <f t="shared" si="2"/>
        <v>43.13052403989137</v>
      </c>
      <c r="I66" s="2">
        <f t="shared" si="3"/>
        <v>1502.4354291449617</v>
      </c>
      <c r="J66" s="1">
        <f t="shared" si="8"/>
        <v>396.15000000000089</v>
      </c>
      <c r="K66" s="1">
        <f t="shared" si="4"/>
        <v>0.73720213556762726</v>
      </c>
      <c r="L66" s="1">
        <f t="shared" si="5"/>
        <v>292.04262600511618</v>
      </c>
      <c r="M66" s="1">
        <f t="shared" si="6"/>
        <v>3097.3307872847577</v>
      </c>
      <c r="N66" s="1">
        <f>$L66*'TABELA AUXILIAR'!$I$3*(B66-A66)</f>
        <v>658.84816426754355</v>
      </c>
      <c r="O66" s="1">
        <f>$L66*'TABELA AUXILIAR'!$I$4*(B66-A66)</f>
        <v>714.92034846052604</v>
      </c>
      <c r="P66" s="1">
        <f>$L66*'TABELA AUXILIAR'!$I$5*(B66-A66)</f>
        <v>825.31246109046037</v>
      </c>
      <c r="Q66" s="1">
        <f>$M66*'TABELA AUXILIAR'!$J$3+SUM(N$2:N66)</f>
        <v>29596.230089150486</v>
      </c>
      <c r="R66" s="1">
        <f>$M66*'TABELA AUXILIAR'!$J$4+SUM(O$2:O66)</f>
        <v>32405.680070608523</v>
      </c>
      <c r="S66" s="1">
        <f>$M66*'TABELA AUXILIAR'!$J$5+SUM(P$2:P66)</f>
        <v>38141.014970390621</v>
      </c>
      <c r="T66" s="2">
        <f t="shared" si="7"/>
        <v>14798</v>
      </c>
      <c r="U66" s="2">
        <f t="shared" si="7"/>
        <v>16202</v>
      </c>
      <c r="V66" s="2">
        <f t="shared" si="7"/>
        <v>19070</v>
      </c>
    </row>
    <row r="67" spans="1:22" x14ac:dyDescent="0.25">
      <c r="A67" s="1">
        <v>39</v>
      </c>
      <c r="B67" s="1">
        <v>39.6</v>
      </c>
      <c r="C67" s="1">
        <v>50</v>
      </c>
      <c r="D67" s="1" t="s">
        <v>18</v>
      </c>
      <c r="E67" s="1" t="s">
        <v>3</v>
      </c>
      <c r="F67" s="1" cm="1">
        <f t="array" ref="F67">_xlfn.XLOOKUP(D67,'TABELA AUXILIAR'!$A$2:$A$5,IF('SPT-05'!A67&lt;3,'TABELA AUXILIAR'!$B$2:$B$5,'TABELA AUXILIAR'!$C$2:$C$5),"",0,1)</f>
        <v>8.5</v>
      </c>
      <c r="G67" s="6">
        <f t="shared" ref="G67:G75" si="9">C67 / MIN(2, SQRT(101.3/J67))</f>
        <v>99.585765940155767</v>
      </c>
      <c r="H67" s="2">
        <f t="shared" ref="H67:H75" si="10">27.5+9.2*LOG10(C67)</f>
        <v>43.13052403989137</v>
      </c>
      <c r="I67" s="2">
        <f t="shared" ref="I67:I75" si="11">IF(D67="Areias",101.3*0.47*(G67)^0.8,101.3*0.15*(G67))</f>
        <v>1889.1442366619958</v>
      </c>
      <c r="J67" s="1">
        <f t="shared" si="8"/>
        <v>401.85000000000093</v>
      </c>
      <c r="K67" s="1">
        <f t="shared" ref="K67:K75" si="12">(1-SIN(RADIANS(H67)))*(I67/J67)^SIN(RADIANS(H67))*TAN(RADIANS(H67))</f>
        <v>0.85378471557090896</v>
      </c>
      <c r="L67" s="1">
        <f t="shared" ref="L67:L75" si="13">K67*J67</f>
        <v>343.09338795217059</v>
      </c>
      <c r="M67" s="1">
        <f t="shared" ref="M67:M75" si="14">0.59*(G67*101.3/J67)^0.8*J67</f>
        <v>3123.9938975770551</v>
      </c>
      <c r="N67" s="1">
        <f>$L67*'TABELA AUXILIAR'!$I$3*(B67-A67)</f>
        <v>774.01868322009864</v>
      </c>
      <c r="O67" s="1">
        <f>$L67*'TABELA AUXILIAR'!$I$4*(B67-A67)</f>
        <v>839.89261370691565</v>
      </c>
      <c r="P67" s="1">
        <f>$L67*'TABELA AUXILIAR'!$I$5*(B67-A67)</f>
        <v>969.58191435283629</v>
      </c>
      <c r="Q67" s="1">
        <f>$M67*'TABELA AUXILIAR'!$J$3+SUM(N$2:N67)</f>
        <v>30400.378087000881</v>
      </c>
      <c r="R67" s="1">
        <f>$M67*'TABELA AUXILIAR'!$J$4+SUM(O$2:O67)</f>
        <v>33280.767989901266</v>
      </c>
      <c r="S67" s="1">
        <f>$M67*'TABELA AUXILIAR'!$J$5+SUM(P$2:P67)</f>
        <v>39157.523958857899</v>
      </c>
      <c r="T67" s="2">
        <f t="shared" ref="T67:V75" si="15">ROUNDDOWN(Q67/2,0)</f>
        <v>15200</v>
      </c>
      <c r="U67" s="2">
        <f t="shared" si="15"/>
        <v>16640</v>
      </c>
      <c r="V67" s="2">
        <f t="shared" si="15"/>
        <v>19578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18</v>
      </c>
      <c r="E68" s="1" t="s">
        <v>3</v>
      </c>
      <c r="F68" s="1" cm="1">
        <f t="array" ref="F68">_xlfn.XLOOKUP(D68,'TABELA AUXILIAR'!$A$2:$A$5,IF('SPT-05'!A68&lt;3,'TABELA AUXILIAR'!$B$2:$B$5,'TABELA AUXILIAR'!$C$2:$C$5),"",0,1)</f>
        <v>8.5</v>
      </c>
      <c r="G68" s="6">
        <f t="shared" si="9"/>
        <v>100.21571009010904</v>
      </c>
      <c r="H68" s="2">
        <f t="shared" si="10"/>
        <v>43.13052403989137</v>
      </c>
      <c r="I68" s="2">
        <f t="shared" si="11"/>
        <v>1898.6982484066136</v>
      </c>
      <c r="J68" s="1">
        <f t="shared" ref="J68:J75" si="16">J67+(B67-A67)/2*F67+(B68-A68)/2*F68</f>
        <v>406.95000000000095</v>
      </c>
      <c r="K68" s="1">
        <f t="shared" si="12"/>
        <v>0.84937933514231534</v>
      </c>
      <c r="L68" s="1">
        <f t="shared" si="13"/>
        <v>345.65492043616604</v>
      </c>
      <c r="M68" s="1">
        <f t="shared" si="14"/>
        <v>3147.7224023614258</v>
      </c>
      <c r="N68" s="1">
        <f>$L68*'TABELA AUXILIAR'!$I$3*(B68-A68)</f>
        <v>779.79750050399241</v>
      </c>
      <c r="O68" s="1">
        <f>$L68*'TABELA AUXILIAR'!$I$4*(B68-A68)</f>
        <v>846.16324522773652</v>
      </c>
      <c r="P68" s="1">
        <f>$L68*'TABELA AUXILIAR'!$I$5*(B68-A68)</f>
        <v>976.82080515260759</v>
      </c>
      <c r="Q68" s="1">
        <f>$M68*'TABELA AUXILIAR'!$J$3+SUM(N$2:N68)</f>
        <v>31206.98879791121</v>
      </c>
      <c r="R68" s="1">
        <f>$M68*'TABELA AUXILIAR'!$J$4+SUM(O$2:O68)</f>
        <v>34158.252861444373</v>
      </c>
      <c r="S68" s="1">
        <f>$M68*'TABELA AUXILIAR'!$J$5+SUM(P$2:P68)</f>
        <v>40176.106932431001</v>
      </c>
      <c r="T68" s="2">
        <f t="shared" si="15"/>
        <v>15603</v>
      </c>
      <c r="U68" s="2">
        <f t="shared" si="15"/>
        <v>17079</v>
      </c>
      <c r="V68" s="2">
        <f t="shared" si="15"/>
        <v>20088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18</v>
      </c>
      <c r="E69" s="1" t="s">
        <v>3</v>
      </c>
      <c r="F69" s="1" cm="1">
        <f t="array" ref="F69">_xlfn.XLOOKUP(D69,'TABELA AUXILIAR'!$A$2:$A$5,IF('SPT-05'!A69&lt;3,'TABELA AUXILIAR'!$B$2:$B$5,'TABELA AUXILIAR'!$C$2:$C$5),"",0,1)</f>
        <v>8.5</v>
      </c>
      <c r="G69" s="6">
        <f t="shared" si="9"/>
        <v>100.84171914362665</v>
      </c>
      <c r="H69" s="2">
        <f t="shared" si="10"/>
        <v>43.13052403989137</v>
      </c>
      <c r="I69" s="2">
        <f t="shared" si="11"/>
        <v>1908.1806871736262</v>
      </c>
      <c r="J69" s="1">
        <f t="shared" si="16"/>
        <v>412.05000000000092</v>
      </c>
      <c r="K69" s="1">
        <f t="shared" si="12"/>
        <v>0.84505113026601264</v>
      </c>
      <c r="L69" s="1">
        <f t="shared" si="13"/>
        <v>348.20331822611126</v>
      </c>
      <c r="M69" s="1">
        <f t="shared" si="14"/>
        <v>3171.3322524274267</v>
      </c>
      <c r="N69" s="1">
        <f>$L69*'TABELA AUXILIAR'!$I$3*(B69-A69)</f>
        <v>785.54668591809946</v>
      </c>
      <c r="O69" s="1">
        <f>$L69*'TABELA AUXILIAR'!$I$4*(B69-A69)</f>
        <v>852.40172301751238</v>
      </c>
      <c r="P69" s="1">
        <f>$L69*'TABELA AUXILIAR'!$I$5*(B69-A69)</f>
        <v>984.02257730698113</v>
      </c>
      <c r="Q69" s="1">
        <f>$M69*'TABELA AUXILIAR'!$J$3+SUM(N$2:N69)</f>
        <v>32019.214614403892</v>
      </c>
      <c r="R69" s="1">
        <f>$M69*'TABELA AUXILIAR'!$J$4+SUM(O$2:O69)</f>
        <v>35041.819586549005</v>
      </c>
      <c r="S69" s="1">
        <f>$M69*'TABELA AUXILIAR'!$J$5+SUM(P$2:P69)</f>
        <v>41201.682845854149</v>
      </c>
      <c r="T69" s="2">
        <f t="shared" si="15"/>
        <v>16009</v>
      </c>
      <c r="U69" s="2">
        <f t="shared" si="15"/>
        <v>17520</v>
      </c>
      <c r="V69" s="2">
        <f t="shared" si="15"/>
        <v>20600</v>
      </c>
    </row>
    <row r="70" spans="1:22" x14ac:dyDescent="0.25">
      <c r="A70" s="1">
        <v>40.799999999999997</v>
      </c>
      <c r="B70" s="1">
        <v>41.4</v>
      </c>
      <c r="C70" s="1">
        <v>50</v>
      </c>
      <c r="D70" s="1" t="s">
        <v>18</v>
      </c>
      <c r="E70" s="1" t="s">
        <v>3</v>
      </c>
      <c r="F70" s="1" cm="1">
        <f t="array" ref="F70">_xlfn.XLOOKUP(D70,'TABELA AUXILIAR'!$A$2:$A$5,IF('SPT-05'!A70&lt;3,'TABELA AUXILIAR'!$B$2:$B$5,'TABELA AUXILIAR'!$C$2:$C$5),"",0,1)</f>
        <v>8.5</v>
      </c>
      <c r="G70" s="6">
        <f t="shared" si="9"/>
        <v>101.46386593669379</v>
      </c>
      <c r="H70" s="2">
        <f t="shared" si="10"/>
        <v>43.13052403989137</v>
      </c>
      <c r="I70" s="2">
        <f t="shared" si="11"/>
        <v>1917.5929651752047</v>
      </c>
      <c r="J70" s="1">
        <f t="shared" si="16"/>
        <v>417.15000000000089</v>
      </c>
      <c r="K70" s="1">
        <f t="shared" si="12"/>
        <v>0.84079781855078295</v>
      </c>
      <c r="L70" s="1">
        <f t="shared" si="13"/>
        <v>350.73881000845984</v>
      </c>
      <c r="M70" s="1">
        <f t="shared" si="14"/>
        <v>3194.8254988472299</v>
      </c>
      <c r="N70" s="1">
        <f>$L70*'TABELA AUXILIAR'!$I$3*(B70-A70)</f>
        <v>791.26675537908727</v>
      </c>
      <c r="O70" s="1">
        <f>$L70*'TABELA AUXILIAR'!$I$4*(B70-A70)</f>
        <v>858.60860690071172</v>
      </c>
      <c r="P70" s="1">
        <f>$L70*'TABELA AUXILIAR'!$I$5*(B70-A70)</f>
        <v>991.18787708390994</v>
      </c>
      <c r="Q70" s="1">
        <f>$M70*'TABELA AUXILIAR'!$J$3+SUM(N$2:N70)</f>
        <v>32837.028738237357</v>
      </c>
      <c r="R70" s="1">
        <f>$M70*'TABELA AUXILIAR'!$J$4+SUM(O$2:O70)</f>
        <v>35931.439278723861</v>
      </c>
      <c r="S70" s="1">
        <f>$M70*'TABELA AUXILIAR'!$J$5+SUM(P$2:P70)</f>
        <v>42234.218836636916</v>
      </c>
      <c r="T70" s="2">
        <f t="shared" si="15"/>
        <v>16418</v>
      </c>
      <c r="U70" s="2">
        <f t="shared" si="15"/>
        <v>17965</v>
      </c>
      <c r="V70" s="2">
        <f t="shared" si="15"/>
        <v>21117</v>
      </c>
    </row>
    <row r="71" spans="1:22" x14ac:dyDescent="0.25">
      <c r="A71" s="1">
        <v>41.4</v>
      </c>
      <c r="B71" s="1">
        <v>42</v>
      </c>
      <c r="C71" s="1">
        <v>50</v>
      </c>
      <c r="D71" s="1" t="s">
        <v>18</v>
      </c>
      <c r="E71" s="1" t="s">
        <v>3</v>
      </c>
      <c r="F71" s="1" cm="1">
        <f t="array" ref="F71">_xlfn.XLOOKUP(D71,'TABELA AUXILIAR'!$A$2:$A$5,IF('SPT-05'!A71&lt;3,'TABELA AUXILIAR'!$B$2:$B$5,'TABELA AUXILIAR'!$C$2:$C$5),"",0,1)</f>
        <v>8.5</v>
      </c>
      <c r="G71" s="6">
        <f t="shared" si="9"/>
        <v>102.08222108573396</v>
      </c>
      <c r="H71" s="2">
        <f t="shared" si="10"/>
        <v>43.13052403989137</v>
      </c>
      <c r="I71" s="2">
        <f t="shared" si="11"/>
        <v>1926.9364498945574</v>
      </c>
      <c r="J71" s="1">
        <f t="shared" si="16"/>
        <v>422.25000000000091</v>
      </c>
      <c r="K71" s="1">
        <f t="shared" si="12"/>
        <v>0.83661721195367666</v>
      </c>
      <c r="L71" s="1">
        <f t="shared" si="13"/>
        <v>353.26161774744071</v>
      </c>
      <c r="M71" s="1">
        <f t="shared" si="14"/>
        <v>3218.2041326532099</v>
      </c>
      <c r="N71" s="1">
        <f>$L71*'TABELA AUXILIAR'!$I$3*(B71-A71)</f>
        <v>796.95820963822814</v>
      </c>
      <c r="O71" s="1">
        <f>$L71*'TABELA AUXILIAR'!$I$4*(B71-A71)</f>
        <v>864.78444024573696</v>
      </c>
      <c r="P71" s="1">
        <f>$L71*'TABELA AUXILIAR'!$I$5*(B71-A71)</f>
        <v>998.31733175426973</v>
      </c>
      <c r="Q71" s="1">
        <f>$M71*'TABELA AUXILIAR'!$J$3+SUM(N$2:N71)</f>
        <v>33660.404804076345</v>
      </c>
      <c r="R71" s="1">
        <f>$M71*'TABELA AUXILIAR'!$J$4+SUM(O$2:O71)</f>
        <v>36827.083515593491</v>
      </c>
      <c r="S71" s="1">
        <f>$M71*'TABELA AUXILIAR'!$J$5+SUM(P$2:P71)</f>
        <v>43273.682563889706</v>
      </c>
      <c r="T71" s="2">
        <f t="shared" si="15"/>
        <v>16830</v>
      </c>
      <c r="U71" s="2">
        <f t="shared" si="15"/>
        <v>18413</v>
      </c>
      <c r="V71" s="2">
        <f t="shared" si="15"/>
        <v>21636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18</v>
      </c>
      <c r="E72" s="1" t="s">
        <v>3</v>
      </c>
      <c r="F72" s="1" cm="1">
        <f t="array" ref="F72">_xlfn.XLOOKUP(D72,'TABELA AUXILIAR'!$A$2:$A$5,IF('SPT-05'!A72&lt;3,'TABELA AUXILIAR'!$B$2:$B$5,'TABELA AUXILIAR'!$C$2:$C$5),"",0,1)</f>
        <v>8.5</v>
      </c>
      <c r="G72" s="6">
        <f t="shared" si="9"/>
        <v>102.69685308116291</v>
      </c>
      <c r="H72" s="2">
        <f t="shared" si="10"/>
        <v>43.13052403989137</v>
      </c>
      <c r="I72" s="2">
        <f t="shared" si="11"/>
        <v>1936.2124660239494</v>
      </c>
      <c r="J72" s="1">
        <f t="shared" si="16"/>
        <v>427.35000000000093</v>
      </c>
      <c r="K72" s="1">
        <f t="shared" si="12"/>
        <v>0.83250721179660336</v>
      </c>
      <c r="L72" s="1">
        <f t="shared" si="13"/>
        <v>355.77195696127922</v>
      </c>
      <c r="M72" s="1">
        <f t="shared" si="14"/>
        <v>3241.4700872977924</v>
      </c>
      <c r="N72" s="1">
        <f>$L72*'TABELA AUXILIAR'!$I$3*(B72-A72)</f>
        <v>802.62153490464789</v>
      </c>
      <c r="O72" s="1">
        <f>$L72*'TABELA AUXILIAR'!$I$4*(B72-A72)</f>
        <v>870.92975064121367</v>
      </c>
      <c r="P72" s="1">
        <f>$L72*'TABELA AUXILIAR'!$I$5*(B72-A72)</f>
        <v>1005.4115503725774</v>
      </c>
      <c r="Q72" s="1">
        <f>$M72*'TABELA AUXILIAR'!$J$3+SUM(N$2:N72)</f>
        <v>34489.316867729372</v>
      </c>
      <c r="R72" s="1">
        <f>$M72*'TABELA AUXILIAR'!$J$4+SUM(O$2:O72)</f>
        <v>37728.724326365547</v>
      </c>
      <c r="S72" s="1">
        <f>$M72*'TABELA AUXILIAR'!$J$5+SUM(P$2:P72)</f>
        <v>44320.042194436748</v>
      </c>
      <c r="T72" s="2">
        <f t="shared" si="15"/>
        <v>17244</v>
      </c>
      <c r="U72" s="2">
        <f t="shared" si="15"/>
        <v>18864</v>
      </c>
      <c r="V72" s="2">
        <f t="shared" si="15"/>
        <v>22160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18</v>
      </c>
      <c r="E73" s="1" t="s">
        <v>3</v>
      </c>
      <c r="F73" s="1" cm="1">
        <f t="array" ref="F73">_xlfn.XLOOKUP(D73,'TABELA AUXILIAR'!$A$2:$A$5,IF('SPT-05'!A73&lt;3,'TABELA AUXILIAR'!$B$2:$B$5,'TABELA AUXILIAR'!$C$2:$C$5),"",0,1)</f>
        <v>8.5</v>
      </c>
      <c r="G73" s="6">
        <f t="shared" si="9"/>
        <v>103.30782837593314</v>
      </c>
      <c r="H73" s="2">
        <f t="shared" si="10"/>
        <v>43.13052403989137</v>
      </c>
      <c r="I73" s="2">
        <f t="shared" si="11"/>
        <v>1945.4222972966836</v>
      </c>
      <c r="J73" s="1">
        <f t="shared" si="16"/>
        <v>432.45000000000095</v>
      </c>
      <c r="K73" s="1">
        <f t="shared" si="12"/>
        <v>0.8284658041020071</v>
      </c>
      <c r="L73" s="1">
        <f t="shared" si="13"/>
        <v>358.27003698391377</v>
      </c>
      <c r="M73" s="1">
        <f t="shared" si="14"/>
        <v>3264.6252409844365</v>
      </c>
      <c r="N73" s="1">
        <f>$L73*'TABELA AUXILIAR'!$I$3*(B73-A73)</f>
        <v>808.25720343571129</v>
      </c>
      <c r="O73" s="1">
        <f>$L73*'TABELA AUXILIAR'!$I$4*(B73-A73)</f>
        <v>877.04505053662297</v>
      </c>
      <c r="P73" s="1">
        <f>$L73*'TABELA AUXILIAR'!$I$5*(B73-A73)</f>
        <v>1012.4711245165427</v>
      </c>
      <c r="Q73" s="1">
        <f>$M73*'TABELA AUXILIAR'!$J$3+SUM(N$2:N73)</f>
        <v>35323.739394830991</v>
      </c>
      <c r="R73" s="1">
        <f>$M73*'TABELA AUXILIAR'!$J$4+SUM(O$2:O73)</f>
        <v>38636.334179768543</v>
      </c>
      <c r="S73" s="1">
        <f>$M73*'TABELA AUXILIAR'!$J$5+SUM(P$2:P73)</f>
        <v>45373.266389441786</v>
      </c>
      <c r="T73" s="2">
        <f t="shared" si="15"/>
        <v>17661</v>
      </c>
      <c r="U73" s="2">
        <f t="shared" si="15"/>
        <v>19318</v>
      </c>
      <c r="V73" s="2">
        <f t="shared" si="15"/>
        <v>22686</v>
      </c>
    </row>
    <row r="74" spans="1:22" x14ac:dyDescent="0.25">
      <c r="A74" s="1">
        <v>43.2</v>
      </c>
      <c r="B74" s="1">
        <v>43.8</v>
      </c>
      <c r="C74" s="1">
        <v>50</v>
      </c>
      <c r="D74" s="1" t="s">
        <v>18</v>
      </c>
      <c r="E74" s="1" t="s">
        <v>3</v>
      </c>
      <c r="F74" s="1" cm="1">
        <f t="array" ref="F74">_xlfn.XLOOKUP(D74,'TABELA AUXILIAR'!$A$2:$A$5,IF('SPT-05'!A74&lt;3,'TABELA AUXILIAR'!$B$2:$B$5,'TABELA AUXILIAR'!$C$2:$C$5),"",0,1)</f>
        <v>8.5</v>
      </c>
      <c r="G74" s="6">
        <f t="shared" si="9"/>
        <v>103.91521146939245</v>
      </c>
      <c r="H74" s="2">
        <f t="shared" si="10"/>
        <v>43.13052403989137</v>
      </c>
      <c r="I74" s="2">
        <f t="shared" si="11"/>
        <v>1954.567188220045</v>
      </c>
      <c r="J74" s="1">
        <f t="shared" si="16"/>
        <v>437.55000000000092</v>
      </c>
      <c r="K74" s="1">
        <f t="shared" si="12"/>
        <v>0.82449105522370203</v>
      </c>
      <c r="L74" s="1">
        <f t="shared" si="13"/>
        <v>360.7560612131316</v>
      </c>
      <c r="M74" s="1">
        <f t="shared" si="14"/>
        <v>3287.6714188779274</v>
      </c>
      <c r="N74" s="1">
        <f>$L74*'TABELA AUXILIAR'!$I$3*(B74-A74)</f>
        <v>813.86567409681709</v>
      </c>
      <c r="O74" s="1">
        <f>$L74*'TABELA AUXILIAR'!$I$4*(B74-A74)</f>
        <v>883.13083784973787</v>
      </c>
      <c r="P74" s="1">
        <f>$L74*'TABELA AUXILIAR'!$I$5*(B74-A74)</f>
        <v>1019.4966289883001</v>
      </c>
      <c r="Q74" s="1">
        <f>$M74*'TABELA AUXILIAR'!$J$3+SUM(N$2:N74)</f>
        <v>36163.647249947455</v>
      </c>
      <c r="R74" s="1">
        <f>$M74*'TABELA AUXILIAR'!$J$4+SUM(O$2:O74)</f>
        <v>39549.885972437696</v>
      </c>
      <c r="S74" s="1">
        <f>$M74*'TABELA AUXILIAR'!$J$5+SUM(P$2:P74)</f>
        <v>46433.324291522629</v>
      </c>
      <c r="T74" s="2">
        <f t="shared" si="15"/>
        <v>18081</v>
      </c>
      <c r="U74" s="2">
        <f t="shared" si="15"/>
        <v>19774</v>
      </c>
      <c r="V74" s="2">
        <f t="shared" si="15"/>
        <v>23216</v>
      </c>
    </row>
    <row r="75" spans="1:22" x14ac:dyDescent="0.25">
      <c r="A75" s="1">
        <v>43.8</v>
      </c>
      <c r="B75" s="1">
        <v>44.4</v>
      </c>
      <c r="C75" s="1">
        <v>50</v>
      </c>
      <c r="D75" s="1" t="s">
        <v>18</v>
      </c>
      <c r="E75" s="1" t="s">
        <v>3</v>
      </c>
      <c r="F75" s="1" cm="1">
        <f t="array" ref="F75">_xlfn.XLOOKUP(D75,'TABELA AUXILIAR'!$A$2:$A$5,IF('SPT-05'!A75&lt;3,'TABELA AUXILIAR'!$B$2:$B$5,'TABELA AUXILIAR'!$C$2:$C$5),"",0,1)</f>
        <v>8.5</v>
      </c>
      <c r="G75" s="6">
        <f t="shared" si="9"/>
        <v>104.51906498675659</v>
      </c>
      <c r="H75" s="2">
        <f t="shared" si="10"/>
        <v>43.13052403989137</v>
      </c>
      <c r="I75" s="2">
        <f t="shared" si="11"/>
        <v>1963.6483457156503</v>
      </c>
      <c r="J75" s="1">
        <f t="shared" si="16"/>
        <v>442.65000000000089</v>
      </c>
      <c r="K75" s="1">
        <f t="shared" si="12"/>
        <v>0.82058110775099768</v>
      </c>
      <c r="L75" s="1">
        <f t="shared" si="13"/>
        <v>363.23022734597987</v>
      </c>
      <c r="M75" s="1">
        <f t="shared" si="14"/>
        <v>3310.6103952015692</v>
      </c>
      <c r="N75" s="1">
        <f>$L75*'TABELA AUXILIAR'!$I$3*(B75-A75)</f>
        <v>819.44739289253255</v>
      </c>
      <c r="O75" s="1">
        <f>$L75*'TABELA AUXILIAR'!$I$4*(B75-A75)</f>
        <v>889.18759654296082</v>
      </c>
      <c r="P75" s="1">
        <f>$L75*'TABELA AUXILIAR'!$I$5*(B75-A75)</f>
        <v>1026.4886224797415</v>
      </c>
      <c r="Q75" s="1">
        <f>$M75*'TABELA AUXILIAR'!$J$3+SUM(N$2:N75)</f>
        <v>37009.015686085702</v>
      </c>
      <c r="R75" s="1">
        <f>$M75*'TABELA AUXILIAR'!$J$4+SUM(O$2:O75)</f>
        <v>40469.353017727866</v>
      </c>
      <c r="S75" s="1">
        <f>$M75*'TABELA AUXILIAR'!$J$5+SUM(P$2:P75)</f>
        <v>47500.185512331984</v>
      </c>
      <c r="T75" s="2">
        <f t="shared" si="15"/>
        <v>18504</v>
      </c>
      <c r="U75" s="2">
        <f t="shared" si="15"/>
        <v>20234</v>
      </c>
      <c r="V75" s="2">
        <f t="shared" si="15"/>
        <v>23750</v>
      </c>
    </row>
    <row r="76" spans="1:22" x14ac:dyDescent="0.25">
      <c r="A76" s="1">
        <v>44.4</v>
      </c>
      <c r="B76" s="1">
        <v>45</v>
      </c>
      <c r="C76" s="1">
        <v>50</v>
      </c>
      <c r="D76" s="1" t="s">
        <v>18</v>
      </c>
      <c r="E76" s="1" t="s">
        <v>3</v>
      </c>
      <c r="F76" s="1" cm="1">
        <f t="array" ref="F76">_xlfn.XLOOKUP(D76,'TABELA AUXILIAR'!$A$2:$A$5,IF('SPT-05'!A76&lt;3,'TABELA AUXILIAR'!$B$2:$B$5,'TABELA AUXILIAR'!$C$2:$C$5),"",0,1)</f>
        <v>8.5</v>
      </c>
      <c r="G76" s="6">
        <f t="shared" ref="G76" si="17">C76 / MIN(2, SQRT(101.3/J76))</f>
        <v>105.11944975447285</v>
      </c>
      <c r="H76" s="2">
        <f t="shared" ref="H76" si="18">27.5+9.2*LOG10(C76)</f>
        <v>43.13052403989137</v>
      </c>
      <c r="I76" s="2">
        <f t="shared" ref="I76" si="19">IF(D76="Areias",101.3*0.47*(G76)^0.8,101.3*0.15*(G76))</f>
        <v>1972.6669406731442</v>
      </c>
      <c r="J76" s="1">
        <f t="shared" ref="J76" si="20">J75+(B75-A75)/2*F75+(B76-A76)/2*F76</f>
        <v>447.75000000000091</v>
      </c>
      <c r="K76" s="1">
        <f t="shared" ref="K76" si="21">(1-SIN(RADIANS(H76)))*(I76/J76)^SIN(RADIANS(H76))*TAN(RADIANS(H76))</f>
        <v>0.81673417666608339</v>
      </c>
      <c r="L76" s="1">
        <f t="shared" ref="L76" si="22">K76*J76</f>
        <v>365.69272760223959</v>
      </c>
      <c r="M76" s="1">
        <f t="shared" ref="M76" si="23">0.59*(G76*101.3/J76)^0.8*J76</f>
        <v>3333.4438952282867</v>
      </c>
      <c r="N76" s="1">
        <f>$L76*'TABELA AUXILIAR'!$I$3*(B76-A76)</f>
        <v>825.00279347065441</v>
      </c>
      <c r="O76" s="1">
        <f>$L76*'TABELA AUXILIAR'!$I$4*(B76-A76)</f>
        <v>895.21579717028465</v>
      </c>
      <c r="P76" s="1">
        <f>$L76*'TABELA AUXILIAR'!$I$5*(B76-A76)</f>
        <v>1033.4476482039315</v>
      </c>
      <c r="Q76" s="1">
        <f>$M76*'TABELA AUXILIAR'!$J$3+SUM(N$2:N76)</f>
        <v>37859.82033458654</v>
      </c>
      <c r="R76" s="1">
        <f>$M76*'TABELA AUXILIAR'!$J$4+SUM(O$2:O76)</f>
        <v>41394.709034933418</v>
      </c>
      <c r="S76" s="1">
        <f>$M76*'TABELA AUXILIAR'!$J$5+SUM(P$2:P76)</f>
        <v>48573.820120582939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0AE3-C1DA-4D08-A5F6-A216AD3ECEAD}">
  <dimension ref="A1:V77"/>
  <sheetViews>
    <sheetView workbookViewId="0">
      <selection sqref="A1:XFD1048576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16384" width="9.140625" style="1"/>
  </cols>
  <sheetData>
    <row r="1" spans="1:22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x14ac:dyDescent="0.25">
      <c r="A2" s="1">
        <v>0</v>
      </c>
      <c r="B2" s="1">
        <v>0.6</v>
      </c>
      <c r="C2" s="1">
        <v>39</v>
      </c>
      <c r="D2" s="1" t="s">
        <v>20</v>
      </c>
      <c r="E2" s="1" t="s">
        <v>7</v>
      </c>
      <c r="F2" s="1" cm="1">
        <f t="array" ref="F2">_xlfn.XLOOKUP(D2,'TABELA AUXILIAR'!$A$2:$A$5,IF('SPT-06'!A2&lt;3,'TABELA AUXILIAR'!$B$2:$B$5,'TABELA AUXILIAR'!$C$2:$C$5),"",0,1)</f>
        <v>18</v>
      </c>
      <c r="G2" s="6">
        <f>C2 / MIN(2, SQRT(101.3/J2))</f>
        <v>19.5</v>
      </c>
      <c r="H2" s="2">
        <f>27.5+9.2*LOG10(C2)</f>
        <v>42.13779438464379</v>
      </c>
      <c r="I2" s="2">
        <f>IF(D2="Areias",101.3*0.47*(G2)^0.8,101.3*0.15*(G2))</f>
        <v>296.30249999999995</v>
      </c>
      <c r="J2" s="1">
        <f>(B2-A2)/2*F2</f>
        <v>5.3999999999999995</v>
      </c>
      <c r="K2" s="1">
        <f>(1-SIN(RADIANS(H2)))*(I2/J2)^SIN(RADIANS(H2))*TAN(RADIANS(H2))</f>
        <v>4.3731679381168007</v>
      </c>
      <c r="L2" s="1">
        <f>K2*J2</f>
        <v>23.615106865830722</v>
      </c>
      <c r="M2" s="1">
        <f>0.59*(G2*101.3/J2)^0.8*J2</f>
        <v>357.96948670161817</v>
      </c>
      <c r="N2" s="1">
        <f>$L2*'TABELA AUXILIAR'!$I$3*(B2-A2)</f>
        <v>53.275681089314098</v>
      </c>
      <c r="O2" s="1">
        <f>$L2*'TABELA AUXILIAR'!$I$4*(B2-A2)</f>
        <v>57.809781607553603</v>
      </c>
      <c r="P2" s="1">
        <f>$L2*'TABELA AUXILIAR'!$I$5*(B2-A2)</f>
        <v>66.736292002837615</v>
      </c>
      <c r="Q2" s="1">
        <f>$M2*'TABELA AUXILIAR'!$J$3+SUM(N$2:N2)</f>
        <v>457.7812010621426</v>
      </c>
      <c r="R2" s="1">
        <f>$M2*'TABELA AUXILIAR'!$J$4+SUM(O$2:O2)</f>
        <v>530.32950405368967</v>
      </c>
      <c r="S2" s="1">
        <f>$M2*'TABELA AUXILIAR'!$J$5+SUM(P$2:P2)</f>
        <v>696.76258859768564</v>
      </c>
      <c r="T2" s="2">
        <f>ROUNDDOWN(Q2/2,0)</f>
        <v>228</v>
      </c>
      <c r="U2" s="2">
        <f t="shared" ref="U2:V17" si="0">ROUNDDOWN(R2/2,0)</f>
        <v>265</v>
      </c>
      <c r="V2" s="2">
        <f t="shared" si="0"/>
        <v>348</v>
      </c>
    </row>
    <row r="3" spans="1:22" x14ac:dyDescent="0.25">
      <c r="A3" s="1">
        <v>0.6</v>
      </c>
      <c r="B3" s="1">
        <v>1.2</v>
      </c>
      <c r="C3" s="1">
        <v>25</v>
      </c>
      <c r="D3" s="1" t="s">
        <v>20</v>
      </c>
      <c r="E3" s="1" t="s">
        <v>7</v>
      </c>
      <c r="F3" s="1" cm="1">
        <f t="array" ref="F3">_xlfn.XLOOKUP(D3,'TABELA AUXILIAR'!$A$2:$A$5,IF('SPT-06'!A3&lt;3,'TABELA AUXILIAR'!$B$2:$B$5,'TABELA AUXILIAR'!$C$2:$C$5),"",0,1)</f>
        <v>18</v>
      </c>
      <c r="G3" s="6">
        <f t="shared" ref="G3:G66" si="1">C3 / MIN(2, SQRT(101.3/J3))</f>
        <v>12.5</v>
      </c>
      <c r="H3" s="2">
        <f t="shared" ref="H3:H66" si="2">27.5+9.2*LOG10(C3)</f>
        <v>40.361048079782748</v>
      </c>
      <c r="I3" s="2">
        <f t="shared" ref="I3:I66" si="3">IF(D3="Areias",101.3*0.47*(G3)^0.8,101.3*0.15*(G3))</f>
        <v>189.93749999999997</v>
      </c>
      <c r="J3" s="1">
        <f>J2+(B2-A2)/2*F2+(B3-A3)/2*F3</f>
        <v>16.2</v>
      </c>
      <c r="K3" s="1">
        <f t="shared" ref="K3:K66" si="4">(1-SIN(RADIANS(H3)))*(I3/J3)^SIN(RADIANS(H3))*TAN(RADIANS(H3))</f>
        <v>1.4748480774589496</v>
      </c>
      <c r="L3" s="1">
        <f t="shared" ref="L3:L66" si="5">K3*J3</f>
        <v>23.892538854834982</v>
      </c>
      <c r="M3" s="1">
        <f t="shared" ref="M3:M66" si="6">0.59*(G3*101.3/J3)^0.8*J3</f>
        <v>312.4428432399053</v>
      </c>
      <c r="N3" s="1">
        <f>$L3*'TABELA AUXILIAR'!$I$3*(B3-A3)</f>
        <v>53.901567656507709</v>
      </c>
      <c r="O3" s="1">
        <f>$L3*'TABELA AUXILIAR'!$I$4*(B3-A3)</f>
        <v>58.488935116636036</v>
      </c>
      <c r="P3" s="1">
        <f>$L3*'TABELA AUXILIAR'!$I$5*(B3-A3)</f>
        <v>67.520314803763654</v>
      </c>
      <c r="Q3" s="1">
        <f>$M3*'TABELA AUXILIAR'!$J$3+SUM(N$2:N3)</f>
        <v>460.2376616069148</v>
      </c>
      <c r="R3" s="1">
        <f>$M3*'TABELA AUXILIAR'!$J$4+SUM(O$2:O3)</f>
        <v>528.72326980086461</v>
      </c>
      <c r="S3" s="1">
        <f>$M3*'TABELA AUXILIAR'!$J$5+SUM(P$2:P3)</f>
        <v>684.15601090883456</v>
      </c>
      <c r="T3" s="2">
        <f t="shared" ref="T3:V66" si="7">ROUNDDOWN(Q3/2,0)</f>
        <v>230</v>
      </c>
      <c r="U3" s="2">
        <f t="shared" si="0"/>
        <v>264</v>
      </c>
      <c r="V3" s="2">
        <f t="shared" si="0"/>
        <v>342</v>
      </c>
    </row>
    <row r="4" spans="1:22" x14ac:dyDescent="0.25">
      <c r="A4" s="1">
        <v>1.2</v>
      </c>
      <c r="B4" s="1">
        <v>1.8</v>
      </c>
      <c r="C4" s="1">
        <v>30</v>
      </c>
      <c r="D4" s="1" t="s">
        <v>20</v>
      </c>
      <c r="E4" s="1" t="s">
        <v>7</v>
      </c>
      <c r="F4" s="1" cm="1">
        <f t="array" ref="F4">_xlfn.XLOOKUP(D4,'TABELA AUXILIAR'!$A$2:$A$5,IF('SPT-06'!A4&lt;3,'TABELA AUXILIAR'!$B$2:$B$5,'TABELA AUXILIAR'!$C$2:$C$5),"",0,1)</f>
        <v>18</v>
      </c>
      <c r="G4" s="6">
        <f t="shared" si="1"/>
        <v>15.48810963223907</v>
      </c>
      <c r="H4" s="2">
        <f t="shared" si="2"/>
        <v>41.089515543420895</v>
      </c>
      <c r="I4" s="2">
        <f t="shared" si="3"/>
        <v>235.34182586187265</v>
      </c>
      <c r="J4" s="1">
        <f t="shared" ref="J4:J67" si="8">J3+(B3-A3)/2*F3+(B4-A4)/2*F4</f>
        <v>27</v>
      </c>
      <c r="K4" s="1">
        <f t="shared" si="4"/>
        <v>1.2403668043675977</v>
      </c>
      <c r="L4" s="1">
        <f t="shared" si="5"/>
        <v>33.489903717925138</v>
      </c>
      <c r="M4" s="1">
        <f t="shared" si="6"/>
        <v>410.78166611650261</v>
      </c>
      <c r="N4" s="1">
        <f>$L4*'TABELA AUXILIAR'!$I$3*(B4-A4)</f>
        <v>75.553222787639115</v>
      </c>
      <c r="O4" s="1">
        <f>$L4*'TABELA AUXILIAR'!$I$4*(B4-A4)</f>
        <v>81.983284301480751</v>
      </c>
      <c r="P4" s="1">
        <f>$L4*'TABELA AUXILIAR'!$I$5*(B4-A4)</f>
        <v>94.642467906856453</v>
      </c>
      <c r="Q4" s="1">
        <f>$M4*'TABELA AUXILIAR'!$J$3+SUM(N$2:N4)</f>
        <v>646.91375424510875</v>
      </c>
      <c r="R4" s="1">
        <f>$M4*'TABELA AUXILIAR'!$J$4+SUM(O$2:O4)</f>
        <v>740.51380029945392</v>
      </c>
      <c r="S4" s="1">
        <f>$M4*'TABELA AUXILIAR'!$J$5+SUM(P$2:P4)</f>
        <v>951.87480707850227</v>
      </c>
      <c r="T4" s="2">
        <f t="shared" si="7"/>
        <v>323</v>
      </c>
      <c r="U4" s="2">
        <f t="shared" si="0"/>
        <v>370</v>
      </c>
      <c r="V4" s="2">
        <f t="shared" si="0"/>
        <v>475</v>
      </c>
    </row>
    <row r="5" spans="1:22" x14ac:dyDescent="0.25">
      <c r="A5" s="1">
        <v>1.8</v>
      </c>
      <c r="B5" s="1">
        <v>2.4</v>
      </c>
      <c r="C5" s="1">
        <v>47</v>
      </c>
      <c r="D5" s="1" t="s">
        <v>20</v>
      </c>
      <c r="E5" s="1" t="s">
        <v>7</v>
      </c>
      <c r="F5" s="1" cm="1">
        <f t="array" ref="F5">_xlfn.XLOOKUP(D5,'TABELA AUXILIAR'!$A$2:$A$5,IF('SPT-06'!A5&lt;3,'TABELA AUXILIAR'!$B$2:$B$5,'TABELA AUXILIAR'!$C$2:$C$5),"",0,1)</f>
        <v>18</v>
      </c>
      <c r="G5" s="6">
        <f t="shared" si="1"/>
        <v>28.710386245765594</v>
      </c>
      <c r="H5" s="2">
        <f t="shared" si="2"/>
        <v>42.883300293008602</v>
      </c>
      <c r="I5" s="2">
        <f t="shared" si="3"/>
        <v>436.25431900440816</v>
      </c>
      <c r="J5" s="1">
        <f t="shared" si="8"/>
        <v>37.799999999999997</v>
      </c>
      <c r="K5" s="1">
        <f t="shared" si="4"/>
        <v>1.567510866533419</v>
      </c>
      <c r="L5" s="1">
        <f t="shared" si="5"/>
        <v>59.251910754963234</v>
      </c>
      <c r="M5" s="1">
        <f t="shared" si="6"/>
        <v>719.8949980712589</v>
      </c>
      <c r="N5" s="1">
        <f>$L5*'TABELA AUXILIAR'!$I$3*(B5-A5)</f>
        <v>133.67231066319701</v>
      </c>
      <c r="O5" s="1">
        <f>$L5*'TABELA AUXILIAR'!$I$4*(B5-A5)</f>
        <v>145.04867752814997</v>
      </c>
      <c r="P5" s="1">
        <f>$L5*'TABELA AUXILIAR'!$I$5*(B5-A5)</f>
        <v>167.44589979352605</v>
      </c>
      <c r="Q5" s="1">
        <f>$M5*'TABELA AUXILIAR'!$J$3+SUM(N$2:N5)</f>
        <v>1129.8841300171803</v>
      </c>
      <c r="R5" s="1">
        <f>$M5*'TABELA AUXILIAR'!$J$4+SUM(O$2:O5)</f>
        <v>1293.592076007882</v>
      </c>
      <c r="S5" s="1">
        <f>$M5*'TABELA AUXILIAR'!$J$5+SUM(P$2:P5)</f>
        <v>1663.3601711123995</v>
      </c>
      <c r="T5" s="2">
        <f t="shared" si="7"/>
        <v>564</v>
      </c>
      <c r="U5" s="2">
        <f t="shared" si="0"/>
        <v>646</v>
      </c>
      <c r="V5" s="2">
        <f t="shared" si="0"/>
        <v>831</v>
      </c>
    </row>
    <row r="6" spans="1:22" x14ac:dyDescent="0.25">
      <c r="A6" s="1">
        <v>2.4</v>
      </c>
      <c r="B6" s="1">
        <v>3</v>
      </c>
      <c r="C6" s="1">
        <v>12</v>
      </c>
      <c r="D6" s="1" t="s">
        <v>20</v>
      </c>
      <c r="E6" s="1" t="s">
        <v>7</v>
      </c>
      <c r="F6" s="1" cm="1">
        <f t="array" ref="F6">_xlfn.XLOOKUP(D6,'TABELA AUXILIAR'!$A$2:$A$5,IF('SPT-06'!A6&lt;3,'TABELA AUXILIAR'!$B$2:$B$5,'TABELA AUXILIAR'!$C$2:$C$5),"",0,1)</f>
        <v>18</v>
      </c>
      <c r="G6" s="6">
        <f t="shared" si="1"/>
        <v>8.3117918353573987</v>
      </c>
      <c r="H6" s="2">
        <f t="shared" si="2"/>
        <v>37.42846746363815</v>
      </c>
      <c r="I6" s="2">
        <f t="shared" si="3"/>
        <v>126.29767693825566</v>
      </c>
      <c r="J6" s="1">
        <f t="shared" si="8"/>
        <v>48.599999999999994</v>
      </c>
      <c r="K6" s="1">
        <f t="shared" si="4"/>
        <v>0.53638428338862043</v>
      </c>
      <c r="L6" s="1">
        <f t="shared" si="5"/>
        <v>26.06827617268695</v>
      </c>
      <c r="M6" s="1">
        <f t="shared" si="6"/>
        <v>280.81645217265111</v>
      </c>
      <c r="N6" s="1">
        <f>$L6*'TABELA AUXILIAR'!$I$3*(B6-A6)</f>
        <v>58.810031045581766</v>
      </c>
      <c r="O6" s="1">
        <f>$L6*'TABELA AUXILIAR'!$I$4*(B6-A6)</f>
        <v>63.815140070737662</v>
      </c>
      <c r="P6" s="1">
        <f>$L6*'TABELA AUXILIAR'!$I$5*(B6-A6)</f>
        <v>73.668948464013326</v>
      </c>
      <c r="Q6" s="1">
        <f>$M6*'TABELA AUXILIAR'!$J$3+SUM(N$2:N6)</f>
        <v>692.53540419733531</v>
      </c>
      <c r="R6" s="1">
        <f>$M6*'TABELA AUXILIAR'!$J$4+SUM(O$2:O6)</f>
        <v>777.82353549245749</v>
      </c>
      <c r="S6" s="1">
        <f>$M6*'TABELA AUXILIAR'!$J$5+SUM(P$2:P6)</f>
        <v>964.25087879486307</v>
      </c>
      <c r="T6" s="2">
        <f t="shared" si="7"/>
        <v>346</v>
      </c>
      <c r="U6" s="2">
        <f t="shared" si="0"/>
        <v>388</v>
      </c>
      <c r="V6" s="2">
        <f t="shared" si="0"/>
        <v>482</v>
      </c>
    </row>
    <row r="7" spans="1:22" x14ac:dyDescent="0.25">
      <c r="A7" s="1">
        <v>3</v>
      </c>
      <c r="B7" s="1">
        <v>3.6</v>
      </c>
      <c r="C7" s="1">
        <v>5</v>
      </c>
      <c r="D7" s="1" t="s">
        <v>20</v>
      </c>
      <c r="E7" s="1" t="s">
        <v>7</v>
      </c>
      <c r="F7" s="1" cm="1">
        <f t="array" ref="F7">_xlfn.XLOOKUP(D7,'TABELA AUXILIAR'!$A$2:$A$5,IF('SPT-06'!A7&lt;3,'TABELA AUXILIAR'!$B$2:$B$5,'TABELA AUXILIAR'!$C$2:$C$5),"",0,1)</f>
        <v>11</v>
      </c>
      <c r="G7" s="6">
        <f t="shared" si="1"/>
        <v>3.7604740202347906</v>
      </c>
      <c r="H7" s="2">
        <f t="shared" si="2"/>
        <v>33.930524039891374</v>
      </c>
      <c r="I7" s="2">
        <f t="shared" si="3"/>
        <v>57.140402737467639</v>
      </c>
      <c r="J7" s="1">
        <f t="shared" si="8"/>
        <v>57.3</v>
      </c>
      <c r="K7" s="1">
        <f t="shared" si="4"/>
        <v>0.29676526000433334</v>
      </c>
      <c r="L7" s="1">
        <f t="shared" si="5"/>
        <v>17.004649398248301</v>
      </c>
      <c r="M7" s="1">
        <f t="shared" si="6"/>
        <v>153.87376009479627</v>
      </c>
      <c r="N7" s="1">
        <f>$L7*'TABELA AUXILIAR'!$I$3*(B7-A7)</f>
        <v>38.362489042448168</v>
      </c>
      <c r="O7" s="1">
        <f>$L7*'TABELA AUXILIAR'!$I$4*(B7-A7)</f>
        <v>41.627381726911842</v>
      </c>
      <c r="P7" s="1">
        <f>$L7*'TABELA AUXILIAR'!$I$5*(B7-A7)</f>
        <v>48.055139199449705</v>
      </c>
      <c r="Q7" s="1">
        <f>$M7*'TABELA AUXILIAR'!$J$3+SUM(N$2:N7)</f>
        <v>587.45265119180749</v>
      </c>
      <c r="R7" s="1">
        <f>$M7*'TABELA AUXILIAR'!$J$4+SUM(O$2:O7)</f>
        <v>651.88656367660087</v>
      </c>
      <c r="S7" s="1">
        <f>$M7*'TABELA AUXILIAR'!$J$5+SUM(P$2:P7)</f>
        <v>788.88687993728831</v>
      </c>
      <c r="T7" s="2">
        <f t="shared" si="7"/>
        <v>293</v>
      </c>
      <c r="U7" s="2">
        <f t="shared" si="0"/>
        <v>325</v>
      </c>
      <c r="V7" s="2">
        <f t="shared" si="0"/>
        <v>394</v>
      </c>
    </row>
    <row r="8" spans="1:22" x14ac:dyDescent="0.25">
      <c r="A8" s="1">
        <v>3.6</v>
      </c>
      <c r="B8" s="1">
        <v>4.2</v>
      </c>
      <c r="C8" s="1">
        <v>5</v>
      </c>
      <c r="D8" s="1" t="s">
        <v>20</v>
      </c>
      <c r="E8" s="1" t="s">
        <v>7</v>
      </c>
      <c r="F8" s="1" cm="1">
        <f t="array" ref="F8">_xlfn.XLOOKUP(D8,'TABELA AUXILIAR'!$A$2:$A$5,IF('SPT-06'!A8&lt;3,'TABELA AUXILIAR'!$B$2:$B$5,'TABELA AUXILIAR'!$C$2:$C$5),"",0,1)</f>
        <v>11</v>
      </c>
      <c r="G8" s="6">
        <f t="shared" si="1"/>
        <v>3.971144687408366</v>
      </c>
      <c r="H8" s="2">
        <f t="shared" si="2"/>
        <v>33.930524039891374</v>
      </c>
      <c r="I8" s="2">
        <f t="shared" si="3"/>
        <v>60.341543525170117</v>
      </c>
      <c r="J8" s="1">
        <f t="shared" si="8"/>
        <v>63.899999999999991</v>
      </c>
      <c r="K8" s="1">
        <f t="shared" si="4"/>
        <v>0.28787173696560614</v>
      </c>
      <c r="L8" s="1">
        <f t="shared" si="5"/>
        <v>18.395003992102229</v>
      </c>
      <c r="M8" s="1">
        <f t="shared" si="6"/>
        <v>164.27531481903497</v>
      </c>
      <c r="N8" s="1">
        <f>$L8*'TABELA AUXILIAR'!$I$3*(B8-A8)</f>
        <v>41.499129006182635</v>
      </c>
      <c r="O8" s="1">
        <f>$L8*'TABELA AUXILIAR'!$I$4*(B8-A8)</f>
        <v>45.030969772666261</v>
      </c>
      <c r="P8" s="1">
        <f>$L8*'TABELA AUXILIAR'!$I$5*(B8-A8)</f>
        <v>51.9842812816809</v>
      </c>
      <c r="Q8" s="1">
        <f>$M8*'TABELA AUXILIAR'!$J$3+SUM(N$2:N8)</f>
        <v>640.70553703637984</v>
      </c>
      <c r="R8" s="1">
        <f>$M8*'TABELA AUXILIAR'!$J$4+SUM(O$2:O8)</f>
        <v>710.64758568526224</v>
      </c>
      <c r="S8" s="1">
        <f>$M8*'TABELA AUXILIAR'!$J$5+SUM(P$2:P8)</f>
        <v>859.17789753362922</v>
      </c>
      <c r="T8" s="2">
        <f t="shared" si="7"/>
        <v>320</v>
      </c>
      <c r="U8" s="2">
        <f t="shared" si="0"/>
        <v>355</v>
      </c>
      <c r="V8" s="2">
        <f t="shared" si="0"/>
        <v>429</v>
      </c>
    </row>
    <row r="9" spans="1:22" x14ac:dyDescent="0.25">
      <c r="A9" s="1">
        <v>4.2</v>
      </c>
      <c r="B9" s="1">
        <v>4.8</v>
      </c>
      <c r="C9" s="1">
        <v>50</v>
      </c>
      <c r="D9" s="1" t="s">
        <v>20</v>
      </c>
      <c r="E9" s="1" t="s">
        <v>7</v>
      </c>
      <c r="F9" s="1" cm="1">
        <f t="array" ref="F9">_xlfn.XLOOKUP(D9,'TABELA AUXILIAR'!$A$2:$A$5,IF('SPT-06'!A9&lt;3,'TABELA AUXILIAR'!$B$2:$B$5,'TABELA AUXILIAR'!$C$2:$C$5),"",0,1)</f>
        <v>11</v>
      </c>
      <c r="G9" s="6">
        <f t="shared" si="1"/>
        <v>41.711887274256206</v>
      </c>
      <c r="H9" s="2">
        <f t="shared" si="2"/>
        <v>43.13052403989137</v>
      </c>
      <c r="I9" s="2">
        <f t="shared" si="3"/>
        <v>633.81212713232298</v>
      </c>
      <c r="J9" s="1">
        <f t="shared" si="8"/>
        <v>70.499999999999986</v>
      </c>
      <c r="K9" s="1">
        <f t="shared" si="4"/>
        <v>1.3299872148779182</v>
      </c>
      <c r="L9" s="1">
        <f t="shared" si="5"/>
        <v>93.76409864889321</v>
      </c>
      <c r="M9" s="1">
        <f t="shared" si="6"/>
        <v>1099.4747586923386</v>
      </c>
      <c r="N9" s="1">
        <f>$L9*'TABELA AUXILIAR'!$I$3*(B9-A9)</f>
        <v>211.53180655190295</v>
      </c>
      <c r="O9" s="1">
        <f>$L9*'TABELA AUXILIAR'!$I$4*(B9-A9)</f>
        <v>229.53451349249042</v>
      </c>
      <c r="P9" s="1">
        <f>$L9*'TABELA AUXILIAR'!$I$5*(B9-A9)</f>
        <v>264.97734278177205</v>
      </c>
      <c r="Q9" s="1">
        <f>$M9*'TABELA AUXILIAR'!$J$3+SUM(N$2:N9)</f>
        <v>1909.0127151651159</v>
      </c>
      <c r="R9" s="1">
        <f>$M9*'TABELA AUXILIAR'!$J$4+SUM(O$2:O9)</f>
        <v>2174.6453650905132</v>
      </c>
      <c r="S9" s="1">
        <f>$M9*'TABELA AUXILIAR'!$J$5+SUM(P$2:P9)</f>
        <v>2770.1062615324158</v>
      </c>
      <c r="T9" s="2">
        <f t="shared" si="7"/>
        <v>954</v>
      </c>
      <c r="U9" s="2">
        <f t="shared" si="0"/>
        <v>1087</v>
      </c>
      <c r="V9" s="2">
        <f t="shared" si="0"/>
        <v>1385</v>
      </c>
    </row>
    <row r="10" spans="1:22" x14ac:dyDescent="0.25">
      <c r="A10" s="1">
        <v>4.8</v>
      </c>
      <c r="B10" s="1">
        <v>5.4</v>
      </c>
      <c r="C10" s="1">
        <v>14</v>
      </c>
      <c r="D10" s="1" t="s">
        <v>20</v>
      </c>
      <c r="E10" s="1" t="s">
        <v>7</v>
      </c>
      <c r="F10" s="1" cm="1">
        <f t="array" ref="F10">_xlfn.XLOOKUP(D10,'TABELA AUXILIAR'!$A$2:$A$5,IF('SPT-06'!A10&lt;3,'TABELA AUXILIAR'!$B$2:$B$5,'TABELA AUXILIAR'!$C$2:$C$5),"",0,1)</f>
        <v>11</v>
      </c>
      <c r="G10" s="6">
        <f t="shared" si="1"/>
        <v>12.213791502346181</v>
      </c>
      <c r="H10" s="2">
        <f t="shared" si="2"/>
        <v>38.04437792823979</v>
      </c>
      <c r="I10" s="2">
        <f t="shared" si="3"/>
        <v>185.58856187815022</v>
      </c>
      <c r="J10" s="1">
        <f t="shared" si="8"/>
        <v>77.09999999999998</v>
      </c>
      <c r="K10" s="1">
        <f t="shared" si="4"/>
        <v>0.51597971702276801</v>
      </c>
      <c r="L10" s="1">
        <f t="shared" si="5"/>
        <v>39.782036182455407</v>
      </c>
      <c r="M10" s="1">
        <f t="shared" si="6"/>
        <v>419.01623008287049</v>
      </c>
      <c r="N10" s="1">
        <f>$L10*'TABELA AUXILIAR'!$I$3*(B10-A10)</f>
        <v>89.748273627619469</v>
      </c>
      <c r="O10" s="1">
        <f>$L10*'TABELA AUXILIAR'!$I$4*(B10-A10)</f>
        <v>97.386424574650917</v>
      </c>
      <c r="P10" s="1">
        <f>$L10*'TABELA AUXILIAR'!$I$5*(B10-A10)</f>
        <v>112.42403425161908</v>
      </c>
      <c r="Q10" s="1">
        <f>$M10*'TABELA AUXILIAR'!$J$3+SUM(N$2:N10)</f>
        <v>1229.8428514640364</v>
      </c>
      <c r="R10" s="1">
        <f>$M10*'TABELA AUXILIAR'!$J$4+SUM(O$2:O10)</f>
        <v>1373.8265319006664</v>
      </c>
      <c r="S10" s="1">
        <f>$M10*'TABELA AUXILIAR'!$J$5+SUM(P$2:P10)</f>
        <v>1684.9232854313709</v>
      </c>
      <c r="T10" s="2">
        <f t="shared" si="7"/>
        <v>614</v>
      </c>
      <c r="U10" s="2">
        <f t="shared" si="0"/>
        <v>686</v>
      </c>
      <c r="V10" s="2">
        <f t="shared" si="0"/>
        <v>842</v>
      </c>
    </row>
    <row r="11" spans="1:22" x14ac:dyDescent="0.25">
      <c r="A11" s="1">
        <v>5.4</v>
      </c>
      <c r="B11" s="1">
        <v>6</v>
      </c>
      <c r="C11" s="1">
        <v>45</v>
      </c>
      <c r="D11" s="1" t="s">
        <v>18</v>
      </c>
      <c r="E11" s="1" t="s">
        <v>3</v>
      </c>
      <c r="F11" s="1" cm="1">
        <f t="array" ref="F11">_xlfn.XLOOKUP(D11,'TABELA AUXILIAR'!$A$2:$A$5,IF('SPT-06'!A11&lt;3,'TABELA AUXILIAR'!$B$2:$B$5,'TABELA AUXILIAR'!$C$2:$C$5),"",0,1)</f>
        <v>8.5</v>
      </c>
      <c r="G11" s="6">
        <f t="shared" si="1"/>
        <v>40.720770438604468</v>
      </c>
      <c r="H11" s="2">
        <f t="shared" si="2"/>
        <v>42.709555126733164</v>
      </c>
      <c r="I11" s="2">
        <f t="shared" si="3"/>
        <v>923.76199837400463</v>
      </c>
      <c r="J11" s="1">
        <f t="shared" si="8"/>
        <v>82.949999999999974</v>
      </c>
      <c r="K11" s="1">
        <f t="shared" si="4"/>
        <v>1.5230112471664135</v>
      </c>
      <c r="L11" s="1">
        <f t="shared" si="5"/>
        <v>126.33378295245396</v>
      </c>
      <c r="M11" s="1">
        <f t="shared" si="6"/>
        <v>1114.1807096111352</v>
      </c>
      <c r="N11" s="1">
        <f>$L11*'TABELA AUXILIAR'!$I$3*(B11-A11)</f>
        <v>285.00901434073597</v>
      </c>
      <c r="O11" s="1">
        <f>$L11*'TABELA AUXILIAR'!$I$4*(B11-A11)</f>
        <v>309.26510066760716</v>
      </c>
      <c r="P11" s="1">
        <f>$L11*'TABELA AUXILIAR'!$I$5*(B11-A11)</f>
        <v>357.01927062363467</v>
      </c>
      <c r="Q11" s="1">
        <f>$M11*'TABELA AUXILIAR'!$J$3+SUM(N$2:N11)</f>
        <v>2300.3877276717112</v>
      </c>
      <c r="R11" s="1">
        <f>$M11*'TABELA AUXILIAR'!$J$4+SUM(O$2:O11)</f>
        <v>2600.708745545583</v>
      </c>
      <c r="S11" s="1">
        <f>$M11*'TABELA AUXILIAR'!$J$5+SUM(P$2:P11)</f>
        <v>3265.4320400247516</v>
      </c>
      <c r="T11" s="2">
        <f t="shared" si="7"/>
        <v>1150</v>
      </c>
      <c r="U11" s="2">
        <f t="shared" si="0"/>
        <v>1300</v>
      </c>
      <c r="V11" s="2">
        <f t="shared" si="0"/>
        <v>1632</v>
      </c>
    </row>
    <row r="12" spans="1:22" x14ac:dyDescent="0.25">
      <c r="A12" s="1">
        <v>6</v>
      </c>
      <c r="B12" s="1">
        <v>6.6</v>
      </c>
      <c r="C12" s="1">
        <v>35</v>
      </c>
      <c r="D12" s="1" t="s">
        <v>18</v>
      </c>
      <c r="E12" s="1" t="s">
        <v>3</v>
      </c>
      <c r="F12" s="1" cm="1">
        <f t="array" ref="F12">_xlfn.XLOOKUP(D12,'TABELA AUXILIAR'!$A$2:$A$5,IF('SPT-06'!A12&lt;3,'TABELA AUXILIAR'!$B$2:$B$5,'TABELA AUXILIAR'!$C$2:$C$5),"",0,1)</f>
        <v>8.5</v>
      </c>
      <c r="G12" s="6">
        <f t="shared" si="1"/>
        <v>32.630821070143895</v>
      </c>
      <c r="H12" s="2">
        <f t="shared" si="2"/>
        <v>41.705426008022535</v>
      </c>
      <c r="I12" s="2">
        <f t="shared" si="3"/>
        <v>773.7661109150514</v>
      </c>
      <c r="J12" s="1">
        <f t="shared" si="8"/>
        <v>88.049999999999969</v>
      </c>
      <c r="K12" s="1">
        <f t="shared" si="4"/>
        <v>1.2663787020380104</v>
      </c>
      <c r="L12" s="1">
        <f t="shared" si="5"/>
        <v>111.50464471444677</v>
      </c>
      <c r="M12" s="1">
        <f t="shared" si="6"/>
        <v>944.46929068129873</v>
      </c>
      <c r="N12" s="1">
        <f>$L12*'TABELA AUXILIAR'!$I$3*(B12-A12)</f>
        <v>251.55447847579174</v>
      </c>
      <c r="O12" s="1">
        <f>$L12*'TABELA AUXILIAR'!$I$4*(B12-A12)</f>
        <v>272.96337026096558</v>
      </c>
      <c r="P12" s="1">
        <f>$L12*'TABELA AUXILIAR'!$I$5*(B12-A12)</f>
        <v>315.11212596302641</v>
      </c>
      <c r="Q12" s="1">
        <f>$M12*'TABELA AUXILIAR'!$J$3+SUM(N$2:N12)</f>
        <v>2360.1683027567879</v>
      </c>
      <c r="R12" s="1">
        <f>$M12*'TABELA AUXILIAR'!$J$4+SUM(O$2:O12)</f>
        <v>2649.6530428191645</v>
      </c>
      <c r="S12" s="1">
        <f>$M12*'TABELA AUXILIAR'!$J$5+SUM(P$2:P12)</f>
        <v>3281.8520686712659</v>
      </c>
      <c r="T12" s="2">
        <f t="shared" si="7"/>
        <v>1180</v>
      </c>
      <c r="U12" s="2">
        <f t="shared" si="0"/>
        <v>1324</v>
      </c>
      <c r="V12" s="2">
        <f t="shared" si="0"/>
        <v>1640</v>
      </c>
    </row>
    <row r="13" spans="1:22" x14ac:dyDescent="0.25">
      <c r="A13" s="1">
        <v>6.6</v>
      </c>
      <c r="B13" s="1">
        <v>7.2</v>
      </c>
      <c r="C13" s="1">
        <v>41</v>
      </c>
      <c r="D13" s="1" t="s">
        <v>18</v>
      </c>
      <c r="E13" s="1" t="s">
        <v>3</v>
      </c>
      <c r="F13" s="1" cm="1">
        <f t="array" ref="F13">_xlfn.XLOOKUP(D13,'TABELA AUXILIAR'!$A$2:$A$5,IF('SPT-06'!A13&lt;3,'TABELA AUXILIAR'!$B$2:$B$5,'TABELA AUXILIAR'!$C$2:$C$5),"",0,1)</f>
        <v>8.5</v>
      </c>
      <c r="G13" s="6">
        <f t="shared" si="1"/>
        <v>39.316112007370592</v>
      </c>
      <c r="H13" s="2">
        <f t="shared" si="2"/>
        <v>42.337611481821568</v>
      </c>
      <c r="I13" s="2">
        <f t="shared" si="3"/>
        <v>898.18077333981489</v>
      </c>
      <c r="J13" s="1">
        <f t="shared" si="8"/>
        <v>93.149999999999963</v>
      </c>
      <c r="K13" s="1">
        <f t="shared" si="4"/>
        <v>1.368706757201626</v>
      </c>
      <c r="L13" s="1">
        <f t="shared" si="5"/>
        <v>127.49503443333141</v>
      </c>
      <c r="M13" s="1">
        <f t="shared" si="6"/>
        <v>1108.747339433053</v>
      </c>
      <c r="N13" s="1">
        <f>$L13*'TABELA AUXILIAR'!$I$3*(B13-A13)</f>
        <v>287.62879768159593</v>
      </c>
      <c r="O13" s="1">
        <f>$L13*'TABELA AUXILIAR'!$I$4*(B13-A13)</f>
        <v>312.10784429279556</v>
      </c>
      <c r="P13" s="1">
        <f>$L13*'TABELA AUXILIAR'!$I$5*(B13-A13)</f>
        <v>360.30096730859486</v>
      </c>
      <c r="Q13" s="1">
        <f>$M13*'TABELA AUXILIAR'!$J$3+SUM(N$2:N13)</f>
        <v>2833.431295527866</v>
      </c>
      <c r="R13" s="1">
        <f>$M13*'TABELA AUXILIAR'!$J$4+SUM(O$2:O13)</f>
        <v>3178.6079114642757</v>
      </c>
      <c r="S13" s="1">
        <f>$M13*'TABELA AUXILIAR'!$J$5+SUM(P$2:P13)</f>
        <v>3931.282401782948</v>
      </c>
      <c r="T13" s="2">
        <f t="shared" si="7"/>
        <v>1416</v>
      </c>
      <c r="U13" s="2">
        <f t="shared" si="0"/>
        <v>1589</v>
      </c>
      <c r="V13" s="2">
        <f t="shared" si="0"/>
        <v>1965</v>
      </c>
    </row>
    <row r="14" spans="1:22" x14ac:dyDescent="0.25">
      <c r="A14" s="1">
        <v>7.2</v>
      </c>
      <c r="B14" s="1">
        <v>7.8</v>
      </c>
      <c r="C14" s="1">
        <v>27</v>
      </c>
      <c r="D14" s="1" t="s">
        <v>18</v>
      </c>
      <c r="E14" s="1" t="s">
        <v>3</v>
      </c>
      <c r="F14" s="1" cm="1">
        <f t="array" ref="F14">_xlfn.XLOOKUP(D14,'TABELA AUXILIAR'!$A$2:$A$5,IF('SPT-06'!A14&lt;3,'TABELA AUXILIAR'!$B$2:$B$5,'TABELA AUXILIAR'!$C$2:$C$5),"",0,1)</f>
        <v>8.5</v>
      </c>
      <c r="G14" s="6">
        <f t="shared" si="1"/>
        <v>26.590427583846903</v>
      </c>
      <c r="H14" s="2">
        <f t="shared" si="2"/>
        <v>40.668546630262682</v>
      </c>
      <c r="I14" s="2">
        <f t="shared" si="3"/>
        <v>656.88230051433732</v>
      </c>
      <c r="J14" s="1">
        <f t="shared" si="8"/>
        <v>98.249999999999957</v>
      </c>
      <c r="K14" s="1">
        <f t="shared" si="4"/>
        <v>1.0322840424813744</v>
      </c>
      <c r="L14" s="1">
        <f t="shared" si="5"/>
        <v>101.42190717379499</v>
      </c>
      <c r="M14" s="1">
        <f t="shared" si="6"/>
        <v>819.57053534233319</v>
      </c>
      <c r="N14" s="1">
        <f>$L14*'TABELA AUXILIAR'!$I$3*(B14-A14)</f>
        <v>228.80782258408135</v>
      </c>
      <c r="O14" s="1">
        <f>$L14*'TABELA AUXILIAR'!$I$4*(B14-A14)</f>
        <v>248.28082876144998</v>
      </c>
      <c r="P14" s="1">
        <f>$L14*'TABELA AUXILIAR'!$I$5*(B14-A14)</f>
        <v>286.61830967314449</v>
      </c>
      <c r="Q14" s="1">
        <f>$M14*'TABELA AUXILIAR'!$J$3+SUM(N$2:N14)</f>
        <v>2735.4693294894341</v>
      </c>
      <c r="R14" s="1">
        <f>$M14*'TABELA AUXILIAR'!$J$4+SUM(O$2:O14)</f>
        <v>3045.1753588259758</v>
      </c>
      <c r="S14" s="1">
        <f>$M14*'TABELA AUXILIAR'!$J$5+SUM(P$2:P14)</f>
        <v>3708.9495362564257</v>
      </c>
      <c r="T14" s="2">
        <f t="shared" si="7"/>
        <v>1367</v>
      </c>
      <c r="U14" s="2">
        <f t="shared" si="0"/>
        <v>1522</v>
      </c>
      <c r="V14" s="2">
        <f t="shared" si="0"/>
        <v>1854</v>
      </c>
    </row>
    <row r="15" spans="1:22" x14ac:dyDescent="0.25">
      <c r="A15" s="1">
        <v>7.8</v>
      </c>
      <c r="B15" s="1">
        <v>8.4</v>
      </c>
      <c r="C15" s="1">
        <v>50</v>
      </c>
      <c r="D15" s="1" t="s">
        <v>19</v>
      </c>
      <c r="E15" s="1" t="s">
        <v>11</v>
      </c>
      <c r="F15" s="1" cm="1">
        <f t="array" ref="F15">_xlfn.XLOOKUP(D15,'TABELA AUXILIAR'!$A$2:$A$5,IF('SPT-06'!A15&lt;3,'TABELA AUXILIAR'!$B$2:$B$5,'TABELA AUXILIAR'!$C$2:$C$5),"",0,1)</f>
        <v>10.5</v>
      </c>
      <c r="G15" s="6">
        <f t="shared" si="1"/>
        <v>50.649775937970674</v>
      </c>
      <c r="H15" s="2">
        <f t="shared" si="2"/>
        <v>43.13052403989137</v>
      </c>
      <c r="I15" s="2">
        <f t="shared" si="3"/>
        <v>769.62334537746426</v>
      </c>
      <c r="J15" s="1">
        <f t="shared" si="8"/>
        <v>103.94999999999996</v>
      </c>
      <c r="K15" s="1">
        <f t="shared" si="4"/>
        <v>1.1646692532580998</v>
      </c>
      <c r="L15" s="1">
        <f t="shared" si="5"/>
        <v>121.06736887617943</v>
      </c>
      <c r="M15" s="1">
        <f t="shared" si="6"/>
        <v>1387.9265687998789</v>
      </c>
      <c r="N15" s="1">
        <f>$L15*'TABELA AUXILIAR'!$I$3*(B15-A15)</f>
        <v>273.12798418466099</v>
      </c>
      <c r="O15" s="1">
        <f>$L15*'TABELA AUXILIAR'!$I$4*(B15-A15)</f>
        <v>296.37291900888749</v>
      </c>
      <c r="P15" s="1">
        <f>$L15*'TABELA AUXILIAR'!$I$5*(B15-A15)</f>
        <v>342.13638444408338</v>
      </c>
      <c r="Q15" s="1">
        <f>$M15*'TABELA AUXILIAR'!$J$3+SUM(N$2:N15)</f>
        <v>3650.8396314811216</v>
      </c>
      <c r="R15" s="1">
        <f>$M15*'TABELA AUXILIAR'!$J$4+SUM(O$2:O15)</f>
        <v>4091.7782419988234</v>
      </c>
      <c r="S15" s="1">
        <f>$M15*'TABELA AUXILIAR'!$J$5+SUM(P$2:P15)</f>
        <v>5051.3925395857896</v>
      </c>
      <c r="T15" s="2">
        <f t="shared" si="7"/>
        <v>1825</v>
      </c>
      <c r="U15" s="2">
        <f t="shared" si="0"/>
        <v>2045</v>
      </c>
      <c r="V15" s="2">
        <f t="shared" si="0"/>
        <v>2525</v>
      </c>
    </row>
    <row r="16" spans="1:22" x14ac:dyDescent="0.25">
      <c r="A16" s="1">
        <v>8.4</v>
      </c>
      <c r="B16" s="1">
        <v>9</v>
      </c>
      <c r="C16" s="1">
        <v>35</v>
      </c>
      <c r="D16" s="1" t="s">
        <v>19</v>
      </c>
      <c r="E16" s="1" t="s">
        <v>11</v>
      </c>
      <c r="F16" s="1" cm="1">
        <f t="array" ref="F16">_xlfn.XLOOKUP(D16,'TABELA AUXILIAR'!$A$2:$A$5,IF('SPT-06'!A16&lt;3,'TABELA AUXILIAR'!$B$2:$B$5,'TABELA AUXILIAR'!$C$2:$C$5),"",0,1)</f>
        <v>10.5</v>
      </c>
      <c r="G16" s="6">
        <f t="shared" si="1"/>
        <v>36.513429083764279</v>
      </c>
      <c r="H16" s="2">
        <f t="shared" si="2"/>
        <v>41.705426008022535</v>
      </c>
      <c r="I16" s="2">
        <f t="shared" si="3"/>
        <v>554.82155492779816</v>
      </c>
      <c r="J16" s="1">
        <f t="shared" si="8"/>
        <v>110.24999999999996</v>
      </c>
      <c r="K16" s="1">
        <f t="shared" si="4"/>
        <v>0.87395782289976032</v>
      </c>
      <c r="L16" s="1">
        <f t="shared" si="5"/>
        <v>96.353849974698534</v>
      </c>
      <c r="M16" s="1">
        <f t="shared" si="6"/>
        <v>1080.879759023758</v>
      </c>
      <c r="N16" s="1">
        <f>$L16*'TABELA AUXILIAR'!$I$3*(B16-A16)</f>
        <v>217.37428554291975</v>
      </c>
      <c r="O16" s="1">
        <f>$L16*'TABELA AUXILIAR'!$I$4*(B16-A16)</f>
        <v>235.87422473806188</v>
      </c>
      <c r="P16" s="1">
        <f>$L16*'TABELA AUXILIAR'!$I$5*(B16-A16)</f>
        <v>272.29598002849792</v>
      </c>
      <c r="Q16" s="1">
        <f>$M16*'TABELA AUXILIAR'!$J$3+SUM(N$2:N16)</f>
        <v>3521.2510219770247</v>
      </c>
      <c r="R16" s="1">
        <f>$M16*'TABELA AUXILIAR'!$J$4+SUM(O$2:O16)</f>
        <v>3922.3506778324058</v>
      </c>
      <c r="S16" s="1">
        <f>$M16*'TABELA AUXILIAR'!$J$5+SUM(P$2:P16)</f>
        <v>4783.2861344083149</v>
      </c>
      <c r="T16" s="2">
        <f t="shared" si="7"/>
        <v>1760</v>
      </c>
      <c r="U16" s="2">
        <f t="shared" si="0"/>
        <v>1961</v>
      </c>
      <c r="V16" s="2">
        <f t="shared" si="0"/>
        <v>2391</v>
      </c>
    </row>
    <row r="17" spans="1:22" x14ac:dyDescent="0.25">
      <c r="A17" s="1">
        <v>9</v>
      </c>
      <c r="B17" s="1">
        <v>9.6</v>
      </c>
      <c r="C17" s="1">
        <v>38</v>
      </c>
      <c r="D17" s="1" t="s">
        <v>19</v>
      </c>
      <c r="E17" s="1" t="s">
        <v>11</v>
      </c>
      <c r="F17" s="1" cm="1">
        <f t="array" ref="F17">_xlfn.XLOOKUP(D17,'TABELA AUXILIAR'!$A$2:$A$5,IF('SPT-06'!A17&lt;3,'TABELA AUXILIAR'!$B$2:$B$5,'TABELA AUXILIAR'!$C$2:$C$5),"",0,1)</f>
        <v>10.5</v>
      </c>
      <c r="G17" s="6">
        <f t="shared" si="1"/>
        <v>40.760078605141743</v>
      </c>
      <c r="H17" s="2">
        <f t="shared" si="2"/>
        <v>42.034009088874654</v>
      </c>
      <c r="I17" s="2">
        <f t="shared" si="3"/>
        <v>619.34939440512869</v>
      </c>
      <c r="J17" s="1">
        <f t="shared" si="8"/>
        <v>116.54999999999994</v>
      </c>
      <c r="K17" s="1">
        <f t="shared" si="4"/>
        <v>0.91149883008623744</v>
      </c>
      <c r="L17" s="1">
        <f t="shared" si="5"/>
        <v>106.23518864655092</v>
      </c>
      <c r="M17" s="1">
        <f t="shared" si="6"/>
        <v>1193.5209147320511</v>
      </c>
      <c r="N17" s="1">
        <f>$L17*'TABELA AUXILIAR'!$I$3*(B17-A17)</f>
        <v>239.66658558661874</v>
      </c>
      <c r="O17" s="1">
        <f>$L17*'TABELA AUXILIAR'!$I$4*(B17-A17)</f>
        <v>260.06374180675647</v>
      </c>
      <c r="P17" s="1">
        <f>$L17*'TABELA AUXILIAR'!$I$5*(B17-A17)</f>
        <v>300.22064311515271</v>
      </c>
      <c r="Q17" s="1">
        <f>$M17*'TABELA AUXILIAR'!$J$3+SUM(N$2:N17)</f>
        <v>3888.2021135140139</v>
      </c>
      <c r="R17" s="1">
        <f>$M17*'TABELA AUXILIAR'!$J$4+SUM(O$2:O17)</f>
        <v>4331.1007451741089</v>
      </c>
      <c r="S17" s="1">
        <f>$M17*'TABELA AUXILIAR'!$J$5+SUM(P$2:P17)</f>
        <v>5281.7552115700637</v>
      </c>
      <c r="T17" s="2">
        <f t="shared" si="7"/>
        <v>1944</v>
      </c>
      <c r="U17" s="2">
        <f t="shared" si="0"/>
        <v>2165</v>
      </c>
      <c r="V17" s="2">
        <f t="shared" si="0"/>
        <v>2640</v>
      </c>
    </row>
    <row r="18" spans="1:22" x14ac:dyDescent="0.25">
      <c r="A18" s="1">
        <v>9.6</v>
      </c>
      <c r="B18" s="1">
        <v>10.199999999999999</v>
      </c>
      <c r="C18" s="1">
        <v>46</v>
      </c>
      <c r="D18" s="1" t="s">
        <v>19</v>
      </c>
      <c r="E18" s="1" t="s">
        <v>11</v>
      </c>
      <c r="F18" s="1" cm="1">
        <f t="array" ref="F18">_xlfn.XLOOKUP(D18,'TABELA AUXILIAR'!$A$2:$A$5,IF('SPT-06'!A18&lt;3,'TABELA AUXILIAR'!$B$2:$B$5,'TABELA AUXILIAR'!$C$2:$C$5),"",0,1)</f>
        <v>10.5</v>
      </c>
      <c r="G18" s="6">
        <f t="shared" si="1"/>
        <v>50.657142642385736</v>
      </c>
      <c r="H18" s="2">
        <f t="shared" si="2"/>
        <v>42.797372051470482</v>
      </c>
      <c r="I18" s="2">
        <f t="shared" si="3"/>
        <v>769.73528245105115</v>
      </c>
      <c r="J18" s="1">
        <f t="shared" si="8"/>
        <v>122.84999999999992</v>
      </c>
      <c r="K18" s="1">
        <f t="shared" si="4"/>
        <v>1.0327469048527178</v>
      </c>
      <c r="L18" s="1">
        <f t="shared" si="5"/>
        <v>126.8729572611563</v>
      </c>
      <c r="M18" s="1">
        <f t="shared" si="6"/>
        <v>1435.2486651367785</v>
      </c>
      <c r="N18" s="1">
        <f>$L18*'TABELA AUXILIAR'!$I$3*(B18-A18)</f>
        <v>286.22539158116842</v>
      </c>
      <c r="O18" s="1">
        <f>$L18*'TABELA AUXILIAR'!$I$4*(B18-A18)</f>
        <v>310.58499937531042</v>
      </c>
      <c r="P18" s="1">
        <f>$L18*'TABELA AUXILIAR'!$I$5*(B18-A18)</f>
        <v>358.54297722002747</v>
      </c>
      <c r="Q18" s="1">
        <f>$M18*'TABELA AUXILIAR'!$J$3+SUM(N$2:N18)</f>
        <v>4447.5798630525242</v>
      </c>
      <c r="R18" s="1">
        <f>$M18*'TABELA AUXILIAR'!$J$4+SUM(O$2:O18)</f>
        <v>4960.76637508366</v>
      </c>
      <c r="S18" s="1">
        <f>$M18*'TABELA AUXILIAR'!$J$5+SUM(P$2:P18)</f>
        <v>6065.7390295024106</v>
      </c>
      <c r="T18" s="2">
        <f t="shared" si="7"/>
        <v>2223</v>
      </c>
      <c r="U18" s="2">
        <f t="shared" si="7"/>
        <v>2480</v>
      </c>
      <c r="V18" s="2">
        <f t="shared" si="7"/>
        <v>3032</v>
      </c>
    </row>
    <row r="19" spans="1:22" x14ac:dyDescent="0.25">
      <c r="A19" s="1">
        <v>10.199999999999999</v>
      </c>
      <c r="B19" s="1">
        <v>10.8</v>
      </c>
      <c r="C19" s="1">
        <v>40</v>
      </c>
      <c r="D19" s="1" t="s">
        <v>19</v>
      </c>
      <c r="E19" s="1" t="s">
        <v>11</v>
      </c>
      <c r="F19" s="1" cm="1">
        <f t="array" ref="F19">_xlfn.XLOOKUP(D19,'TABELA AUXILIAR'!$A$2:$A$5,IF('SPT-06'!A19&lt;3,'TABELA AUXILIAR'!$B$2:$B$5,'TABELA AUXILIAR'!$C$2:$C$5),"",0,1)</f>
        <v>10.5</v>
      </c>
      <c r="G19" s="6">
        <f t="shared" si="1"/>
        <v>45.165047769046531</v>
      </c>
      <c r="H19" s="2">
        <f t="shared" si="2"/>
        <v>42.238951920217254</v>
      </c>
      <c r="I19" s="2">
        <f t="shared" si="3"/>
        <v>686.28290085066192</v>
      </c>
      <c r="J19" s="1">
        <f t="shared" si="8"/>
        <v>129.14999999999992</v>
      </c>
      <c r="K19" s="1">
        <f t="shared" si="4"/>
        <v>0.91472928385643359</v>
      </c>
      <c r="L19" s="1">
        <f t="shared" si="5"/>
        <v>118.13728701005833</v>
      </c>
      <c r="M19" s="1">
        <f t="shared" si="6"/>
        <v>1322.5144599016478</v>
      </c>
      <c r="N19" s="1">
        <f>$L19*'TABELA AUXILIAR'!$I$3*(B19-A19)</f>
        <v>266.51771949469224</v>
      </c>
      <c r="O19" s="1">
        <f>$L19*'TABELA AUXILIAR'!$I$4*(B19-A19)</f>
        <v>289.20007860062344</v>
      </c>
      <c r="P19" s="1">
        <f>$L19*'TABELA AUXILIAR'!$I$5*(B19-A19)</f>
        <v>333.85597309042566</v>
      </c>
      <c r="Q19" s="1">
        <f>$M19*'TABELA AUXILIAR'!$J$3+SUM(N$2:N19)</f>
        <v>4586.707930631519</v>
      </c>
      <c r="R19" s="1">
        <f>$M19*'TABELA AUXILIAR'!$J$4+SUM(O$2:O19)</f>
        <v>5101.1573027739105</v>
      </c>
      <c r="S19" s="1">
        <f>$M19*'TABELA AUXILIAR'!$J$5+SUM(P$2:P19)</f>
        <v>6201.1828013790064</v>
      </c>
      <c r="T19" s="2">
        <f t="shared" si="7"/>
        <v>2293</v>
      </c>
      <c r="U19" s="2">
        <f t="shared" si="7"/>
        <v>2550</v>
      </c>
      <c r="V19" s="2">
        <f t="shared" si="7"/>
        <v>3100</v>
      </c>
    </row>
    <row r="20" spans="1:22" x14ac:dyDescent="0.25">
      <c r="A20" s="1">
        <v>10.8</v>
      </c>
      <c r="B20" s="1">
        <v>11.4</v>
      </c>
      <c r="C20" s="1">
        <v>50</v>
      </c>
      <c r="D20" s="1" t="s">
        <v>19</v>
      </c>
      <c r="E20" s="1" t="s">
        <v>11</v>
      </c>
      <c r="F20" s="1" cm="1">
        <f t="array" ref="F20">_xlfn.XLOOKUP(D20,'TABELA AUXILIAR'!$A$2:$A$5,IF('SPT-06'!A20&lt;3,'TABELA AUXILIAR'!$B$2:$B$5,'TABELA AUXILIAR'!$C$2:$C$5),"",0,1)</f>
        <v>10.5</v>
      </c>
      <c r="G20" s="6">
        <f t="shared" si="1"/>
        <v>57.816897894406949</v>
      </c>
      <c r="H20" s="2">
        <f t="shared" si="2"/>
        <v>43.13052403989137</v>
      </c>
      <c r="I20" s="2">
        <f t="shared" si="3"/>
        <v>878.52776350551346</v>
      </c>
      <c r="J20" s="1">
        <f t="shared" si="8"/>
        <v>135.44999999999993</v>
      </c>
      <c r="K20" s="1">
        <f t="shared" si="4"/>
        <v>1.0639165263336479</v>
      </c>
      <c r="L20" s="1">
        <f t="shared" si="5"/>
        <v>144.10749349189254</v>
      </c>
      <c r="M20" s="1">
        <f t="shared" si="6"/>
        <v>1626.8188609805995</v>
      </c>
      <c r="N20" s="1">
        <f>$L20*'TABELA AUXILIAR'!$I$3*(B20-A20)</f>
        <v>325.10650531770938</v>
      </c>
      <c r="O20" s="1">
        <f>$L20*'TABELA AUXILIAR'!$I$4*(B20-A20)</f>
        <v>352.77514406815277</v>
      </c>
      <c r="P20" s="1">
        <f>$L20*'TABELA AUXILIAR'!$I$5*(B20-A20)</f>
        <v>407.24777660808809</v>
      </c>
      <c r="Q20" s="1">
        <f>$M20*'TABELA AUXILIAR'!$J$3+SUM(N$2:N20)</f>
        <v>5255.678409168444</v>
      </c>
      <c r="R20" s="1">
        <f>$M20*'TABELA AUXILIAR'!$J$4+SUM(O$2:O20)</f>
        <v>5855.614256266279</v>
      </c>
      <c r="S20" s="1">
        <f>$M20*'TABELA AUXILIAR'!$J$5+SUM(P$2:P20)</f>
        <v>7144.0063238860494</v>
      </c>
      <c r="T20" s="2">
        <f t="shared" si="7"/>
        <v>2627</v>
      </c>
      <c r="U20" s="2">
        <f t="shared" si="7"/>
        <v>2927</v>
      </c>
      <c r="V20" s="2">
        <f t="shared" si="7"/>
        <v>3572</v>
      </c>
    </row>
    <row r="21" spans="1:22" x14ac:dyDescent="0.25">
      <c r="A21" s="1">
        <v>11.4</v>
      </c>
      <c r="B21" s="1">
        <v>12</v>
      </c>
      <c r="C21" s="1">
        <v>50</v>
      </c>
      <c r="D21" s="1" t="s">
        <v>19</v>
      </c>
      <c r="E21" s="1" t="s">
        <v>5</v>
      </c>
      <c r="F21" s="1" cm="1">
        <f t="array" ref="F21">_xlfn.XLOOKUP(D21,'TABELA AUXILIAR'!$A$2:$A$5,IF('SPT-06'!A21&lt;3,'TABELA AUXILIAR'!$B$2:$B$5,'TABELA AUXILIAR'!$C$2:$C$5),"",0,1)</f>
        <v>10.5</v>
      </c>
      <c r="G21" s="6">
        <f t="shared" si="1"/>
        <v>59.14619563459182</v>
      </c>
      <c r="H21" s="2">
        <f t="shared" si="2"/>
        <v>43.13052403989137</v>
      </c>
      <c r="I21" s="2">
        <f t="shared" si="3"/>
        <v>898.72644266762256</v>
      </c>
      <c r="J21" s="1">
        <f t="shared" si="8"/>
        <v>141.74999999999994</v>
      </c>
      <c r="K21" s="1">
        <f t="shared" si="4"/>
        <v>1.047510578105467</v>
      </c>
      <c r="L21" s="1">
        <f t="shared" si="5"/>
        <v>148.48462444644989</v>
      </c>
      <c r="M21" s="1">
        <f t="shared" si="6"/>
        <v>1671.805053962124</v>
      </c>
      <c r="N21" s="1">
        <f>$L21*'TABELA AUXILIAR'!$I$3*(B21-A21)</f>
        <v>334.98131275119073</v>
      </c>
      <c r="O21" s="1">
        <f>$L21*'TABELA AUXILIAR'!$I$4*(B21-A21)</f>
        <v>363.49036064490912</v>
      </c>
      <c r="P21" s="1">
        <f>$L21*'TABELA AUXILIAR'!$I$5*(B21-A21)</f>
        <v>419.61754868566709</v>
      </c>
      <c r="Q21" s="1">
        <f>$M21*'TABELA AUXILIAR'!$J$3+SUM(N$2:N21)</f>
        <v>5641.4941199887571</v>
      </c>
      <c r="R21" s="1">
        <f>$M21*'TABELA AUXILIAR'!$J$4+SUM(O$2:O21)</f>
        <v>6278.4863916468012</v>
      </c>
      <c r="S21" s="1">
        <f>$M21*'TABELA AUXILIAR'!$J$5+SUM(P$2:P21)</f>
        <v>7642.7995722191999</v>
      </c>
      <c r="T21" s="2">
        <f t="shared" si="7"/>
        <v>2820</v>
      </c>
      <c r="U21" s="2">
        <f t="shared" si="7"/>
        <v>3139</v>
      </c>
      <c r="V21" s="2">
        <f t="shared" si="7"/>
        <v>3821</v>
      </c>
    </row>
    <row r="22" spans="1:22" x14ac:dyDescent="0.25">
      <c r="A22" s="1">
        <v>12</v>
      </c>
      <c r="B22" s="1">
        <v>12.6</v>
      </c>
      <c r="C22" s="1">
        <v>50</v>
      </c>
      <c r="D22" s="1" t="s">
        <v>19</v>
      </c>
      <c r="E22" s="1" t="s">
        <v>5</v>
      </c>
      <c r="F22" s="1" cm="1">
        <f t="array" ref="F22">_xlfn.XLOOKUP(D22,'TABELA AUXILIAR'!$A$2:$A$5,IF('SPT-06'!A22&lt;3,'TABELA AUXILIAR'!$B$2:$B$5,'TABELA AUXILIAR'!$C$2:$C$5),"",0,1)</f>
        <v>10.5</v>
      </c>
      <c r="G22" s="6">
        <f t="shared" si="1"/>
        <v>60.44626732858314</v>
      </c>
      <c r="H22" s="2">
        <f t="shared" si="2"/>
        <v>43.13052403989137</v>
      </c>
      <c r="I22" s="2">
        <f t="shared" si="3"/>
        <v>918.4810320578207</v>
      </c>
      <c r="J22" s="1">
        <f t="shared" si="8"/>
        <v>148.04999999999995</v>
      </c>
      <c r="K22" s="1">
        <f t="shared" si="4"/>
        <v>1.0320549351648023</v>
      </c>
      <c r="L22" s="1">
        <f t="shared" si="5"/>
        <v>152.79573315114894</v>
      </c>
      <c r="M22" s="1">
        <f t="shared" si="6"/>
        <v>1715.9982487244854</v>
      </c>
      <c r="N22" s="1">
        <f>$L22*'TABELA AUXILIAR'!$I$3*(B22-A22)</f>
        <v>344.70717398899177</v>
      </c>
      <c r="O22" s="1">
        <f>$L22*'TABELA AUXILIAR'!$I$4*(B22-A22)</f>
        <v>374.04395475401236</v>
      </c>
      <c r="P22" s="1">
        <f>$L22*'TABELA AUXILIAR'!$I$5*(B22-A22)</f>
        <v>431.80074188514664</v>
      </c>
      <c r="Q22" s="1">
        <f>$M22*'TABELA AUXILIAR'!$J$3+SUM(N$2:N22)</f>
        <v>6036.1396040592172</v>
      </c>
      <c r="R22" s="1">
        <f>$M22*'TABELA AUXILIAR'!$J$4+SUM(O$2:O22)</f>
        <v>6710.8653634871307</v>
      </c>
      <c r="S22" s="1">
        <f>$M22*'TABELA AUXILIAR'!$J$5+SUM(P$2:P22)</f>
        <v>8152.3803368861027</v>
      </c>
      <c r="T22" s="2">
        <f t="shared" si="7"/>
        <v>3018</v>
      </c>
      <c r="U22" s="2">
        <f t="shared" si="7"/>
        <v>3355</v>
      </c>
      <c r="V22" s="2">
        <f t="shared" si="7"/>
        <v>4076</v>
      </c>
    </row>
    <row r="23" spans="1:22" x14ac:dyDescent="0.25">
      <c r="A23" s="1">
        <v>12.6</v>
      </c>
      <c r="B23" s="1">
        <v>13.2</v>
      </c>
      <c r="C23" s="1">
        <v>50</v>
      </c>
      <c r="D23" s="1" t="s">
        <v>19</v>
      </c>
      <c r="E23" s="1" t="s">
        <v>5</v>
      </c>
      <c r="F23" s="1" cm="1">
        <f t="array" ref="F23">_xlfn.XLOOKUP(D23,'TABELA AUXILIAR'!$A$2:$A$5,IF('SPT-06'!A23&lt;3,'TABELA AUXILIAR'!$B$2:$B$5,'TABELA AUXILIAR'!$C$2:$C$5),"",0,1)</f>
        <v>10.5</v>
      </c>
      <c r="G23" s="6">
        <f t="shared" si="1"/>
        <v>61.718959889742692</v>
      </c>
      <c r="H23" s="2">
        <f t="shared" si="2"/>
        <v>43.13052403989137</v>
      </c>
      <c r="I23" s="2">
        <f t="shared" si="3"/>
        <v>937.81959552464014</v>
      </c>
      <c r="J23" s="1">
        <f t="shared" si="8"/>
        <v>154.34999999999997</v>
      </c>
      <c r="K23" s="1">
        <f t="shared" si="4"/>
        <v>1.0174574955128222</v>
      </c>
      <c r="L23" s="1">
        <f t="shared" si="5"/>
        <v>157.04456443240406</v>
      </c>
      <c r="M23" s="1">
        <f t="shared" si="6"/>
        <v>1759.4453165913837</v>
      </c>
      <c r="N23" s="1">
        <f>$L23*'TABELA AUXILIAR'!$I$3*(B23-A23)</f>
        <v>354.29253735950329</v>
      </c>
      <c r="O23" s="1">
        <f>$L23*'TABELA AUXILIAR'!$I$4*(B23-A23)</f>
        <v>384.44509373052489</v>
      </c>
      <c r="P23" s="1">
        <f>$L23*'TABELA AUXILIAR'!$I$5*(B23-A23)</f>
        <v>443.8079390859736</v>
      </c>
      <c r="Q23" s="1">
        <f>$M23*'TABELA AUXILIAR'!$J$3+SUM(N$2:N23)</f>
        <v>6439.5273281083155</v>
      </c>
      <c r="R23" s="1">
        <f>$M23*'TABELA AUXILIAR'!$J$4+SUM(O$2:O23)</f>
        <v>7152.6605868019615</v>
      </c>
      <c r="S23" s="1">
        <f>$M23*'TABELA AUXILIAR'!$J$5+SUM(P$2:P23)</f>
        <v>8672.6551154178178</v>
      </c>
      <c r="T23" s="2">
        <f t="shared" si="7"/>
        <v>3219</v>
      </c>
      <c r="U23" s="2">
        <f t="shared" si="7"/>
        <v>3576</v>
      </c>
      <c r="V23" s="2">
        <f t="shared" si="7"/>
        <v>4336</v>
      </c>
    </row>
    <row r="24" spans="1:22" x14ac:dyDescent="0.25">
      <c r="A24" s="1">
        <v>13.2</v>
      </c>
      <c r="B24" s="1">
        <v>13.8</v>
      </c>
      <c r="C24" s="1">
        <v>48</v>
      </c>
      <c r="D24" s="1" t="s">
        <v>19</v>
      </c>
      <c r="E24" s="1" t="s">
        <v>5</v>
      </c>
      <c r="F24" s="1" cm="1">
        <f t="array" ref="F24">_xlfn.XLOOKUP(D24,'TABELA AUXILIAR'!$A$2:$A$5,IF('SPT-06'!A24&lt;3,'TABELA AUXILIAR'!$B$2:$B$5,'TABELA AUXILIAR'!$C$2:$C$5),"",0,1)</f>
        <v>10.5</v>
      </c>
      <c r="G24" s="6">
        <f t="shared" si="1"/>
        <v>60.447296192462318</v>
      </c>
      <c r="H24" s="2">
        <f t="shared" si="2"/>
        <v>42.9674193838554</v>
      </c>
      <c r="I24" s="2">
        <f t="shared" si="3"/>
        <v>918.49666564446488</v>
      </c>
      <c r="J24" s="1">
        <f t="shared" si="8"/>
        <v>160.64999999999998</v>
      </c>
      <c r="K24" s="1">
        <f t="shared" si="4"/>
        <v>0.97330702247743628</v>
      </c>
      <c r="L24" s="1">
        <f t="shared" si="5"/>
        <v>156.36177316100012</v>
      </c>
      <c r="M24" s="1">
        <f t="shared" si="6"/>
        <v>1744.2840823911606</v>
      </c>
      <c r="N24" s="1">
        <f>$L24*'TABELA AUXILIAR'!$I$3*(B24-A24)</f>
        <v>352.75216025121705</v>
      </c>
      <c r="O24" s="1">
        <f>$L24*'TABELA AUXILIAR'!$I$4*(B24-A24)</f>
        <v>382.77362069812921</v>
      </c>
      <c r="P24" s="1">
        <f>$L24*'TABELA AUXILIAR'!$I$5*(B24-A24)</f>
        <v>441.87837095298738</v>
      </c>
      <c r="Q24" s="1">
        <f>$M24*'TABELA AUXILIAR'!$J$3+SUM(N$2:N24)</f>
        <v>6775.1472937132803</v>
      </c>
      <c r="R24" s="1">
        <f>$M24*'TABELA AUXILIAR'!$J$4+SUM(O$2:O24)</f>
        <v>7515.4213783557952</v>
      </c>
      <c r="S24" s="1">
        <f>$M24*'TABELA AUXILIAR'!$J$5+SUM(P$2:P24)</f>
        <v>9087.8497141784119</v>
      </c>
      <c r="T24" s="2">
        <f t="shared" si="7"/>
        <v>3387</v>
      </c>
      <c r="U24" s="2">
        <f t="shared" si="7"/>
        <v>3757</v>
      </c>
      <c r="V24" s="2">
        <f t="shared" si="7"/>
        <v>4543</v>
      </c>
    </row>
    <row r="25" spans="1:22" x14ac:dyDescent="0.25">
      <c r="A25" s="1">
        <v>13.8</v>
      </c>
      <c r="B25" s="1">
        <v>14.4</v>
      </c>
      <c r="C25" s="1">
        <v>46</v>
      </c>
      <c r="D25" s="1" t="s">
        <v>19</v>
      </c>
      <c r="E25" s="1" t="s">
        <v>5</v>
      </c>
      <c r="F25" s="1" cm="1">
        <f t="array" ref="F25">_xlfn.XLOOKUP(D25,'TABELA AUXILIAR'!$A$2:$A$5,IF('SPT-06'!A25&lt;3,'TABELA AUXILIAR'!$B$2:$B$5,'TABELA AUXILIAR'!$C$2:$C$5),"",0,1)</f>
        <v>10.5</v>
      </c>
      <c r="G25" s="6">
        <f t="shared" si="1"/>
        <v>59.053592204209941</v>
      </c>
      <c r="H25" s="2">
        <f t="shared" si="2"/>
        <v>42.797372051470482</v>
      </c>
      <c r="I25" s="2">
        <f t="shared" si="3"/>
        <v>897.31933354296996</v>
      </c>
      <c r="J25" s="1">
        <f t="shared" si="8"/>
        <v>166.95</v>
      </c>
      <c r="K25" s="1">
        <f t="shared" si="4"/>
        <v>0.93055388504971814</v>
      </c>
      <c r="L25" s="1">
        <f t="shared" si="5"/>
        <v>155.35597110905044</v>
      </c>
      <c r="M25" s="1">
        <f t="shared" si="6"/>
        <v>1725.2574409224162</v>
      </c>
      <c r="N25" s="1">
        <f>$L25*'TABELA AUXILIAR'!$I$3*(B25-A25)</f>
        <v>350.48307082201757</v>
      </c>
      <c r="O25" s="1">
        <f>$L25*'TABELA AUXILIAR'!$I$4*(B25-A25)</f>
        <v>380.31141727495526</v>
      </c>
      <c r="P25" s="1">
        <f>$L25*'TABELA AUXILIAR'!$I$5*(B25-A25)</f>
        <v>439.03597435417629</v>
      </c>
      <c r="Q25" s="1">
        <f>$M25*'TABELA AUXILIAR'!$J$3+SUM(N$2:N25)</f>
        <v>7104.1302596756177</v>
      </c>
      <c r="R25" s="1">
        <f>$M25*'TABELA AUXILIAR'!$J$4+SUM(O$2:O25)</f>
        <v>7870.6176288920087</v>
      </c>
      <c r="S25" s="1">
        <f>$M25*'TABELA AUXILIAR'!$J$5+SUM(P$2:P25)</f>
        <v>9493.3987995475982</v>
      </c>
      <c r="T25" s="2">
        <f t="shared" si="7"/>
        <v>3552</v>
      </c>
      <c r="U25" s="2">
        <f t="shared" si="7"/>
        <v>3935</v>
      </c>
      <c r="V25" s="2">
        <f t="shared" si="7"/>
        <v>4746</v>
      </c>
    </row>
    <row r="26" spans="1:22" x14ac:dyDescent="0.25">
      <c r="A26" s="1">
        <v>14.4</v>
      </c>
      <c r="B26" s="1">
        <v>15</v>
      </c>
      <c r="C26" s="1">
        <v>50</v>
      </c>
      <c r="D26" s="1" t="s">
        <v>19</v>
      </c>
      <c r="E26" s="1" t="s">
        <v>5</v>
      </c>
      <c r="F26" s="1" cm="1">
        <f t="array" ref="F26">_xlfn.XLOOKUP(D26,'TABELA AUXILIAR'!$A$2:$A$5,IF('SPT-06'!A26&lt;3,'TABELA AUXILIAR'!$B$2:$B$5,'TABELA AUXILIAR'!$C$2:$C$5),"",0,1)</f>
        <v>10.5</v>
      </c>
      <c r="G26" s="6">
        <f t="shared" si="1"/>
        <v>65.388579565632526</v>
      </c>
      <c r="H26" s="2">
        <f t="shared" si="2"/>
        <v>43.13052403989137</v>
      </c>
      <c r="I26" s="2">
        <f t="shared" si="3"/>
        <v>993.57946649978612</v>
      </c>
      <c r="J26" s="1">
        <f t="shared" si="8"/>
        <v>173.25</v>
      </c>
      <c r="K26" s="1">
        <f t="shared" si="4"/>
        <v>0.97806508681027393</v>
      </c>
      <c r="L26" s="1">
        <f t="shared" si="5"/>
        <v>169.44977628987996</v>
      </c>
      <c r="M26" s="1">
        <f t="shared" si="6"/>
        <v>1885.7136258744201</v>
      </c>
      <c r="N26" s="1">
        <f>$L26*'TABELA AUXILIAR'!$I$3*(B26-A26)</f>
        <v>382.27869530996895</v>
      </c>
      <c r="O26" s="1">
        <f>$L26*'TABELA AUXILIAR'!$I$4*(B26-A26)</f>
        <v>414.81305235762591</v>
      </c>
      <c r="P26" s="1">
        <f>$L26*'TABELA AUXILIAR'!$I$5*(B26-A26)</f>
        <v>478.8650677952005</v>
      </c>
      <c r="Q26" s="1">
        <f>$M26*'TABELA AUXILIAR'!$J$3+SUM(N$2:N26)</f>
        <v>7667.7244439813512</v>
      </c>
      <c r="R26" s="1">
        <f>$M26*'TABELA AUXILIAR'!$J$4+SUM(O$2:O26)</f>
        <v>8497.2328453862792</v>
      </c>
      <c r="S26" s="1">
        <f>$M26*'TABELA AUXILIAR'!$J$5+SUM(P$2:P26)</f>
        <v>10254.666752858326</v>
      </c>
      <c r="T26" s="2">
        <f t="shared" si="7"/>
        <v>3833</v>
      </c>
      <c r="U26" s="2">
        <f t="shared" si="7"/>
        <v>4248</v>
      </c>
      <c r="V26" s="2">
        <f t="shared" si="7"/>
        <v>5127</v>
      </c>
    </row>
    <row r="27" spans="1:22" x14ac:dyDescent="0.25">
      <c r="A27" s="1">
        <v>15</v>
      </c>
      <c r="B27" s="1">
        <v>15.6</v>
      </c>
      <c r="C27" s="1">
        <v>50</v>
      </c>
      <c r="D27" s="1" t="s">
        <v>19</v>
      </c>
      <c r="E27" s="1" t="s">
        <v>5</v>
      </c>
      <c r="F27" s="1" cm="1">
        <f t="array" ref="F27">_xlfn.XLOOKUP(D27,'TABELA AUXILIAR'!$A$2:$A$5,IF('SPT-06'!A27&lt;3,'TABELA AUXILIAR'!$B$2:$B$5,'TABELA AUXILIAR'!$C$2:$C$5),"",0,1)</f>
        <v>10.5</v>
      </c>
      <c r="G27" s="6">
        <f t="shared" si="1"/>
        <v>66.566846954953377</v>
      </c>
      <c r="H27" s="2">
        <f t="shared" si="2"/>
        <v>43.13052403989137</v>
      </c>
      <c r="I27" s="2">
        <f t="shared" si="3"/>
        <v>1011.4832394805164</v>
      </c>
      <c r="J27" s="1">
        <f t="shared" si="8"/>
        <v>179.55</v>
      </c>
      <c r="K27" s="1">
        <f t="shared" si="4"/>
        <v>0.96619594856272806</v>
      </c>
      <c r="L27" s="1">
        <f t="shared" si="5"/>
        <v>173.48048256443784</v>
      </c>
      <c r="M27" s="1">
        <f t="shared" si="6"/>
        <v>1926.5622175129615</v>
      </c>
      <c r="N27" s="1">
        <f>$L27*'TABELA AUXILIAR'!$I$3*(B27-A27)</f>
        <v>391.37196866537153</v>
      </c>
      <c r="O27" s="1">
        <f>$L27*'TABELA AUXILIAR'!$I$4*(B27-A27)</f>
        <v>424.68022131774353</v>
      </c>
      <c r="P27" s="1">
        <f>$L27*'TABELA AUXILIAR'!$I$5*(B27-A27)</f>
        <v>490.25584372710102</v>
      </c>
      <c r="Q27" s="1">
        <f>$M27*'TABELA AUXILIAR'!$J$3+SUM(N$2:N27)</f>
        <v>8105.255321198274</v>
      </c>
      <c r="R27" s="1">
        <f>$M27*'TABELA AUXILIAR'!$J$4+SUM(O$2:O27)</f>
        <v>8975.8332076668976</v>
      </c>
      <c r="S27" s="1">
        <f>$M27*'TABELA AUXILIAR'!$J$5+SUM(P$2:P27)</f>
        <v>10816.816117869259</v>
      </c>
      <c r="T27" s="2">
        <f t="shared" si="7"/>
        <v>4052</v>
      </c>
      <c r="U27" s="2">
        <f t="shared" si="7"/>
        <v>4487</v>
      </c>
      <c r="V27" s="2">
        <f t="shared" si="7"/>
        <v>5408</v>
      </c>
    </row>
    <row r="28" spans="1:22" x14ac:dyDescent="0.25">
      <c r="A28" s="1">
        <v>15.6</v>
      </c>
      <c r="B28" s="1">
        <v>16.2</v>
      </c>
      <c r="C28" s="1">
        <v>29</v>
      </c>
      <c r="D28" s="1" t="s">
        <v>19</v>
      </c>
      <c r="E28" s="1" t="s">
        <v>5</v>
      </c>
      <c r="F28" s="1" cm="1">
        <f t="array" ref="F28">_xlfn.XLOOKUP(D28,'TABELA AUXILIAR'!$A$2:$A$5,IF('SPT-06'!A28&lt;3,'TABELA AUXILIAR'!$B$2:$B$5,'TABELA AUXILIAR'!$C$2:$C$5),"",0,1)</f>
        <v>10.5</v>
      </c>
      <c r="G28" s="6">
        <f t="shared" si="1"/>
        <v>39.280278466511824</v>
      </c>
      <c r="H28" s="2">
        <f t="shared" si="2"/>
        <v>40.954061580670398</v>
      </c>
      <c r="I28" s="2">
        <f t="shared" si="3"/>
        <v>596.86383129864714</v>
      </c>
      <c r="J28" s="1">
        <f t="shared" si="8"/>
        <v>185.85000000000002</v>
      </c>
      <c r="K28" s="1">
        <f t="shared" si="4"/>
        <v>0.64244212681783275</v>
      </c>
      <c r="L28" s="1">
        <f t="shared" si="5"/>
        <v>119.39786926909423</v>
      </c>
      <c r="M28" s="1">
        <f t="shared" si="6"/>
        <v>1272.0720997086958</v>
      </c>
      <c r="N28" s="1">
        <f>$L28*'TABELA AUXILIAR'!$I$3*(B28-A28)</f>
        <v>269.36159307107641</v>
      </c>
      <c r="O28" s="1">
        <f>$L28*'TABELA AUXILIAR'!$I$4*(B28-A28)</f>
        <v>292.28598397074251</v>
      </c>
      <c r="P28" s="1">
        <f>$L28*'TABELA AUXILIAR'!$I$5*(B28-A28)</f>
        <v>337.41837855446011</v>
      </c>
      <c r="Q28" s="1">
        <f>$M28*'TABELA AUXILIAR'!$J$3+SUM(N$2:N28)</f>
        <v>7635.0430811505303</v>
      </c>
      <c r="R28" s="1">
        <f>$M28*'TABELA AUXILIAR'!$J$4+SUM(O$2:O28)</f>
        <v>8404.1922361360084</v>
      </c>
      <c r="S28" s="1">
        <f>$M28*'TABELA AUXILIAR'!$J$5+SUM(P$2:P28)</f>
        <v>10002.331889088211</v>
      </c>
      <c r="T28" s="2">
        <f t="shared" si="7"/>
        <v>3817</v>
      </c>
      <c r="U28" s="2">
        <f t="shared" si="7"/>
        <v>4202</v>
      </c>
      <c r="V28" s="2">
        <f t="shared" si="7"/>
        <v>5001</v>
      </c>
    </row>
    <row r="29" spans="1:22" x14ac:dyDescent="0.25">
      <c r="A29" s="1">
        <v>16.2</v>
      </c>
      <c r="B29" s="1">
        <v>16.8</v>
      </c>
      <c r="C29" s="1">
        <v>45</v>
      </c>
      <c r="D29" s="1" t="s">
        <v>19</v>
      </c>
      <c r="E29" s="1" t="s">
        <v>5</v>
      </c>
      <c r="F29" s="1" cm="1">
        <f t="array" ref="F29">_xlfn.XLOOKUP(D29,'TABELA AUXILIAR'!$A$2:$A$5,IF('SPT-06'!A29&lt;3,'TABELA AUXILIAR'!$B$2:$B$5,'TABELA AUXILIAR'!$C$2:$C$5),"",0,1)</f>
        <v>10.5</v>
      </c>
      <c r="G29" s="6">
        <f t="shared" si="1"/>
        <v>61.976633975506132</v>
      </c>
      <c r="H29" s="2">
        <f t="shared" si="2"/>
        <v>42.709555126733164</v>
      </c>
      <c r="I29" s="2">
        <f t="shared" si="3"/>
        <v>941.73495325781562</v>
      </c>
      <c r="J29" s="1">
        <f t="shared" si="8"/>
        <v>192.15000000000003</v>
      </c>
      <c r="K29" s="1">
        <f t="shared" si="4"/>
        <v>0.87282213103154682</v>
      </c>
      <c r="L29" s="1">
        <f t="shared" si="5"/>
        <v>167.71277247771175</v>
      </c>
      <c r="M29" s="1">
        <f t="shared" si="6"/>
        <v>1844.3784282260824</v>
      </c>
      <c r="N29" s="1">
        <f>$L29*'TABELA AUXILIAR'!$I$3*(B29-A29)</f>
        <v>378.3600147097186</v>
      </c>
      <c r="O29" s="1">
        <f>$L29*'TABELA AUXILIAR'!$I$4*(B29-A29)</f>
        <v>410.56086702543939</v>
      </c>
      <c r="P29" s="1">
        <f>$L29*'TABELA AUXILIAR'!$I$5*(B29-A29)</f>
        <v>473.9562950220145</v>
      </c>
      <c r="Q29" s="1">
        <f>$M29*'TABELA AUXILIAR'!$J$3+SUM(N$2:N29)</f>
        <v>8660.1092470848962</v>
      </c>
      <c r="R29" s="1">
        <f>$M29*'TABELA AUXILIAR'!$J$4+SUM(O$2:O29)</f>
        <v>9570.1974568043988</v>
      </c>
      <c r="S29" s="1">
        <f>$M29*'TABELA AUXILIAR'!$J$5+SUM(P$2:P29)</f>
        <v>11483.547322300827</v>
      </c>
      <c r="T29" s="2">
        <f t="shared" si="7"/>
        <v>4330</v>
      </c>
      <c r="U29" s="2">
        <f t="shared" si="7"/>
        <v>4785</v>
      </c>
      <c r="V29" s="2">
        <f t="shared" si="7"/>
        <v>5741</v>
      </c>
    </row>
    <row r="30" spans="1:22" x14ac:dyDescent="0.25">
      <c r="A30" s="1">
        <v>16.8</v>
      </c>
      <c r="B30" s="1">
        <v>17.399999999999999</v>
      </c>
      <c r="C30" s="1">
        <v>50</v>
      </c>
      <c r="D30" s="1" t="s">
        <v>19</v>
      </c>
      <c r="E30" s="1" t="s">
        <v>5</v>
      </c>
      <c r="F30" s="1" cm="1">
        <f t="array" ref="F30">_xlfn.XLOOKUP(D30,'TABELA AUXILIAR'!$A$2:$A$5,IF('SPT-06'!A30&lt;3,'TABELA AUXILIAR'!$B$2:$B$5,'TABELA AUXILIAR'!$C$2:$C$5),"",0,1)</f>
        <v>10.5</v>
      </c>
      <c r="G30" s="6">
        <f t="shared" si="1"/>
        <v>69.982722448212712</v>
      </c>
      <c r="H30" s="2">
        <f t="shared" si="2"/>
        <v>43.13052403989137</v>
      </c>
      <c r="I30" s="2">
        <f t="shared" si="3"/>
        <v>1063.3874676005921</v>
      </c>
      <c r="J30" s="1">
        <f t="shared" si="8"/>
        <v>198.45000000000002</v>
      </c>
      <c r="K30" s="1">
        <f t="shared" si="4"/>
        <v>0.93369982199526702</v>
      </c>
      <c r="L30" s="1">
        <f t="shared" si="5"/>
        <v>185.29272967496075</v>
      </c>
      <c r="M30" s="1">
        <f t="shared" si="6"/>
        <v>2045.7966127237457</v>
      </c>
      <c r="N30" s="1">
        <f>$L30*'TABELA AUXILIAR'!$I$3*(B30-A30)</f>
        <v>418.02039814670997</v>
      </c>
      <c r="O30" s="1">
        <f>$L30*'TABELA AUXILIAR'!$I$4*(B30-A30)</f>
        <v>453.59660224430235</v>
      </c>
      <c r="P30" s="1">
        <f>$L30*'TABELA AUXILIAR'!$I$5*(B30-A30)</f>
        <v>523.63725406143726</v>
      </c>
      <c r="Q30" s="1">
        <f>$M30*'TABELA AUXILIAR'!$J$3+SUM(N$2:N30)</f>
        <v>9305.7321937139659</v>
      </c>
      <c r="R30" s="1">
        <f>$M30*'TABELA AUXILIAR'!$J$4+SUM(O$2:O30)</f>
        <v>10289.666062585617</v>
      </c>
      <c r="S30" s="1">
        <f>$M30*'TABELA AUXILIAR'!$J$5+SUM(P$2:P30)</f>
        <v>12361.680581078152</v>
      </c>
      <c r="T30" s="2">
        <f t="shared" si="7"/>
        <v>4652</v>
      </c>
      <c r="U30" s="2">
        <f t="shared" si="7"/>
        <v>5144</v>
      </c>
      <c r="V30" s="2">
        <f t="shared" si="7"/>
        <v>6180</v>
      </c>
    </row>
    <row r="31" spans="1:22" x14ac:dyDescent="0.25">
      <c r="A31" s="1">
        <v>17.399999999999999</v>
      </c>
      <c r="B31" s="1">
        <v>18</v>
      </c>
      <c r="C31" s="1">
        <v>39</v>
      </c>
      <c r="D31" s="1" t="s">
        <v>18</v>
      </c>
      <c r="E31" s="1" t="s">
        <v>2</v>
      </c>
      <c r="F31" s="1" cm="1">
        <f t="array" ref="F31">_xlfn.XLOOKUP(D31,'TABELA AUXILIAR'!$A$2:$A$5,IF('SPT-06'!A31&lt;3,'TABELA AUXILIAR'!$B$2:$B$5,'TABELA AUXILIAR'!$C$2:$C$5),"",0,1)</f>
        <v>8.5</v>
      </c>
      <c r="G31" s="6">
        <f t="shared" si="1"/>
        <v>55.364907221351196</v>
      </c>
      <c r="H31" s="2">
        <f t="shared" si="2"/>
        <v>42.13779438464379</v>
      </c>
      <c r="I31" s="2">
        <f t="shared" si="3"/>
        <v>1181.122559068232</v>
      </c>
      <c r="J31" s="1">
        <f t="shared" si="8"/>
        <v>204.15</v>
      </c>
      <c r="K31" s="1">
        <f t="shared" si="4"/>
        <v>0.96674962848698931</v>
      </c>
      <c r="L31" s="1">
        <f t="shared" si="5"/>
        <v>197.36193665561888</v>
      </c>
      <c r="M31" s="1">
        <f t="shared" si="6"/>
        <v>1705.7567791535525</v>
      </c>
      <c r="N31" s="1">
        <f>$L31*'TABELA AUXILIAR'!$I$3*(B31-A31)</f>
        <v>445.24852909507717</v>
      </c>
      <c r="O31" s="1">
        <f>$L31*'TABELA AUXILIAR'!$I$4*(B31-A31)</f>
        <v>483.1420209329562</v>
      </c>
      <c r="P31" s="1">
        <f>$L31*'TABELA AUXILIAR'!$I$5*(B31-A31)</f>
        <v>557.74483298878022</v>
      </c>
      <c r="Q31" s="1">
        <f>$M31*'TABELA AUXILIAR'!$J$3+SUM(N$2:N31)</f>
        <v>9366.7357108747256</v>
      </c>
      <c r="R31" s="1">
        <f>$M31*'TABELA AUXILIAR'!$J$4+SUM(O$2:O31)</f>
        <v>10323.955503205918</v>
      </c>
      <c r="S31" s="1">
        <f>$M31*'TABELA AUXILIAR'!$J$5+SUM(P$2:P31)</f>
        <v>12320.955306983391</v>
      </c>
      <c r="T31" s="2">
        <f t="shared" si="7"/>
        <v>4683</v>
      </c>
      <c r="U31" s="2">
        <f t="shared" si="7"/>
        <v>5161</v>
      </c>
      <c r="V31" s="2">
        <f t="shared" si="7"/>
        <v>6160</v>
      </c>
    </row>
    <row r="32" spans="1:22" x14ac:dyDescent="0.25">
      <c r="A32" s="1">
        <v>18</v>
      </c>
      <c r="B32" s="1">
        <v>18.600000000000001</v>
      </c>
      <c r="C32" s="1">
        <v>50</v>
      </c>
      <c r="D32" s="1" t="s">
        <v>18</v>
      </c>
      <c r="E32" s="1" t="s">
        <v>2</v>
      </c>
      <c r="F32" s="1" cm="1">
        <f t="array" ref="F32">_xlfn.XLOOKUP(D32,'TABELA AUXILIAR'!$A$2:$A$5,IF('SPT-06'!A32&lt;3,'TABELA AUXILIAR'!$B$2:$B$5,'TABELA AUXILIAR'!$C$2:$C$5),"",0,1)</f>
        <v>8.5</v>
      </c>
      <c r="G32" s="6">
        <f t="shared" si="1"/>
        <v>71.861787381654253</v>
      </c>
      <c r="H32" s="2">
        <f t="shared" si="2"/>
        <v>43.13052403989137</v>
      </c>
      <c r="I32" s="2">
        <f t="shared" si="3"/>
        <v>1455.1431367862201</v>
      </c>
      <c r="J32" s="1">
        <f t="shared" si="8"/>
        <v>209.25000000000003</v>
      </c>
      <c r="K32" s="1">
        <f t="shared" si="4"/>
        <v>1.1158293044370027</v>
      </c>
      <c r="L32" s="1">
        <f t="shared" si="5"/>
        <v>233.48728195344285</v>
      </c>
      <c r="M32" s="1">
        <f t="shared" si="6"/>
        <v>2111.8889276824566</v>
      </c>
      <c r="N32" s="1">
        <f>$L32*'TABELA AUXILIAR'!$I$3*(B32-A32)</f>
        <v>526.74730808696825</v>
      </c>
      <c r="O32" s="1">
        <f>$L32*'TABELA AUXILIAR'!$I$4*(B32-A32)</f>
        <v>571.57686622202948</v>
      </c>
      <c r="P32" s="1">
        <f>$L32*'TABELA AUXILIAR'!$I$5*(B32-A32)</f>
        <v>659.83505880043106</v>
      </c>
      <c r="Q32" s="1">
        <f>$M32*'TABELA AUXILIAR'!$J$3+SUM(N$2:N32)</f>
        <v>10352.412346799356</v>
      </c>
      <c r="R32" s="1">
        <f>$M32*'TABELA AUXILIAR'!$J$4+SUM(O$2:O32)</f>
        <v>11431.626805486103</v>
      </c>
      <c r="S32" s="1">
        <f>$M32*'TABELA AUXILIAR'!$J$5+SUM(P$2:P32)</f>
        <v>13695.582947194693</v>
      </c>
      <c r="T32" s="2">
        <f t="shared" si="7"/>
        <v>5176</v>
      </c>
      <c r="U32" s="2">
        <f t="shared" si="7"/>
        <v>5715</v>
      </c>
      <c r="V32" s="2">
        <f t="shared" si="7"/>
        <v>6847</v>
      </c>
    </row>
    <row r="33" spans="1:22" x14ac:dyDescent="0.25">
      <c r="A33" s="1">
        <v>18.600000000000001</v>
      </c>
      <c r="B33" s="1">
        <v>19.2</v>
      </c>
      <c r="C33" s="1">
        <v>50</v>
      </c>
      <c r="D33" s="1" t="s">
        <v>18</v>
      </c>
      <c r="E33" s="1" t="s">
        <v>2</v>
      </c>
      <c r="F33" s="1" cm="1">
        <f t="array" ref="F33">_xlfn.XLOOKUP(D33,'TABELA AUXILIAR'!$A$2:$A$5,IF('SPT-06'!A33&lt;3,'TABELA AUXILIAR'!$B$2:$B$5,'TABELA AUXILIAR'!$C$2:$C$5),"",0,1)</f>
        <v>8.5</v>
      </c>
      <c r="G33" s="6">
        <f t="shared" si="1"/>
        <v>72.732250457849688</v>
      </c>
      <c r="H33" s="2">
        <f t="shared" si="2"/>
        <v>43.13052403989137</v>
      </c>
      <c r="I33" s="2">
        <f t="shared" si="3"/>
        <v>1469.2270777367935</v>
      </c>
      <c r="J33" s="1">
        <f t="shared" si="8"/>
        <v>214.35000000000002</v>
      </c>
      <c r="K33" s="1">
        <f t="shared" si="4"/>
        <v>1.1048616711261738</v>
      </c>
      <c r="L33" s="1">
        <f t="shared" si="5"/>
        <v>236.82709920589539</v>
      </c>
      <c r="M33" s="1">
        <f t="shared" si="6"/>
        <v>2142.6236089251047</v>
      </c>
      <c r="N33" s="1">
        <f>$L33*'TABELA AUXILIAR'!$I$3*(B33-A33)</f>
        <v>534.28193580849802</v>
      </c>
      <c r="O33" s="1">
        <f>$L33*'TABELA AUXILIAR'!$I$4*(B33-A33)</f>
        <v>579.75273885602985</v>
      </c>
      <c r="P33" s="1">
        <f>$L33*'TABELA AUXILIAR'!$I$5*(B33-A33)</f>
        <v>669.27338235585808</v>
      </c>
      <c r="Q33" s="1">
        <f>$M33*'TABELA AUXILIAR'!$J$3+SUM(N$2:N33)</f>
        <v>10921.424472412045</v>
      </c>
      <c r="R33" s="1">
        <f>$M33*'TABELA AUXILIAR'!$J$4+SUM(O$2:O33)</f>
        <v>12051.949323582427</v>
      </c>
      <c r="S33" s="1">
        <f>$M33*'TABELA AUXILIAR'!$J$5+SUM(P$2:P33)</f>
        <v>14418.949368537611</v>
      </c>
      <c r="T33" s="2">
        <f t="shared" si="7"/>
        <v>5460</v>
      </c>
      <c r="U33" s="2">
        <f t="shared" si="7"/>
        <v>6025</v>
      </c>
      <c r="V33" s="2">
        <f t="shared" si="7"/>
        <v>7209</v>
      </c>
    </row>
    <row r="34" spans="1:22" x14ac:dyDescent="0.25">
      <c r="A34" s="1">
        <v>19.2</v>
      </c>
      <c r="B34" s="1">
        <v>19.8</v>
      </c>
      <c r="C34" s="1">
        <v>50</v>
      </c>
      <c r="D34" s="1" t="s">
        <v>18</v>
      </c>
      <c r="E34" s="1" t="s">
        <v>2</v>
      </c>
      <c r="F34" s="1" cm="1">
        <f t="array" ref="F34">_xlfn.XLOOKUP(D34,'TABELA AUXILIAR'!$A$2:$A$5,IF('SPT-06'!A34&lt;3,'TABELA AUXILIAR'!$B$2:$B$5,'TABELA AUXILIAR'!$C$2:$C$5),"",0,1)</f>
        <v>8.5</v>
      </c>
      <c r="G34" s="6">
        <f t="shared" si="1"/>
        <v>73.592418275530747</v>
      </c>
      <c r="H34" s="2">
        <f t="shared" si="2"/>
        <v>43.13052403989137</v>
      </c>
      <c r="I34" s="2">
        <f t="shared" si="3"/>
        <v>1483.1113643314707</v>
      </c>
      <c r="J34" s="1">
        <f t="shared" si="8"/>
        <v>219.45000000000002</v>
      </c>
      <c r="K34" s="1">
        <f t="shared" si="4"/>
        <v>1.0942559830046519</v>
      </c>
      <c r="L34" s="1">
        <f t="shared" si="5"/>
        <v>240.13447547037089</v>
      </c>
      <c r="M34" s="1">
        <f t="shared" si="6"/>
        <v>2173.0671384495872</v>
      </c>
      <c r="N34" s="1">
        <f>$L34*'TABELA AUXILIAR'!$I$3*(B34-A34)</f>
        <v>541.74337666115798</v>
      </c>
      <c r="O34" s="1">
        <f>$L34*'TABELA AUXILIAR'!$I$4*(B34-A34)</f>
        <v>587.84919595146937</v>
      </c>
      <c r="P34" s="1">
        <f>$L34*'TABELA AUXILIAR'!$I$5*(B34-A34)</f>
        <v>678.6200276792697</v>
      </c>
      <c r="Q34" s="1">
        <f>$M34*'TABELA AUXILIAR'!$J$3+SUM(N$2:N34)</f>
        <v>11497.569037435867</v>
      </c>
      <c r="R34" s="1">
        <f>$M34*'TABELA AUXILIAR'!$J$4+SUM(O$2:O34)</f>
        <v>12679.983978506214</v>
      </c>
      <c r="S34" s="1">
        <f>$M34*'TABELA AUXILIAR'!$J$5+SUM(P$2:P34)</f>
        <v>15151.15000817997</v>
      </c>
      <c r="T34" s="2">
        <f t="shared" si="7"/>
        <v>5748</v>
      </c>
      <c r="U34" s="2">
        <f t="shared" si="7"/>
        <v>6339</v>
      </c>
      <c r="V34" s="2">
        <f t="shared" si="7"/>
        <v>7575</v>
      </c>
    </row>
    <row r="35" spans="1:22" x14ac:dyDescent="0.25">
      <c r="A35" s="1">
        <v>19.8</v>
      </c>
      <c r="B35" s="1">
        <v>20.399999999999999</v>
      </c>
      <c r="C35" s="1">
        <v>31</v>
      </c>
      <c r="D35" s="1" t="s">
        <v>18</v>
      </c>
      <c r="E35" s="1" t="s">
        <v>2</v>
      </c>
      <c r="F35" s="1" cm="1">
        <f t="array" ref="F35">_xlfn.XLOOKUP(D35,'TABELA AUXILIAR'!$A$2:$A$5,IF('SPT-06'!A35&lt;3,'TABELA AUXILIAR'!$B$2:$B$5,'TABELA AUXILIAR'!$C$2:$C$5),"",0,1)</f>
        <v>8.5</v>
      </c>
      <c r="G35" s="6">
        <f t="shared" si="1"/>
        <v>46.154441582460372</v>
      </c>
      <c r="H35" s="2">
        <f t="shared" si="2"/>
        <v>41.220527583275306</v>
      </c>
      <c r="I35" s="2">
        <f t="shared" si="3"/>
        <v>1021.1231070548649</v>
      </c>
      <c r="J35" s="1">
        <f t="shared" si="8"/>
        <v>224.55</v>
      </c>
      <c r="K35" s="1">
        <f t="shared" si="4"/>
        <v>0.81055792008041971</v>
      </c>
      <c r="L35" s="1">
        <f t="shared" si="5"/>
        <v>182.01078095405825</v>
      </c>
      <c r="M35" s="1">
        <f t="shared" si="6"/>
        <v>1503.0484514511716</v>
      </c>
      <c r="N35" s="1">
        <f>$L35*'TABELA AUXILIAR'!$I$3*(B35-A35)</f>
        <v>410.61632183235395</v>
      </c>
      <c r="O35" s="1">
        <f>$L35*'TABELA AUXILIAR'!$I$4*(B35-A35)</f>
        <v>445.56239177553306</v>
      </c>
      <c r="P35" s="1">
        <f>$L35*'TABELA AUXILIAR'!$I$5*(B35-A35)</f>
        <v>514.36246697616673</v>
      </c>
      <c r="Q35" s="1">
        <f>$M35*'TABELA AUXILIAR'!$J$3+SUM(N$2:N35)</f>
        <v>11151.064242960014</v>
      </c>
      <c r="R35" s="1">
        <f>$M35*'TABELA AUXILIAR'!$J$4+SUM(O$2:O35)</f>
        <v>12241.121703443838</v>
      </c>
      <c r="S35" s="1">
        <f>$M35*'TABELA AUXILIAR'!$J$5+SUM(P$2:P35)</f>
        <v>14486.279586038925</v>
      </c>
      <c r="T35" s="2">
        <f t="shared" si="7"/>
        <v>5575</v>
      </c>
      <c r="U35" s="2">
        <f t="shared" si="7"/>
        <v>6120</v>
      </c>
      <c r="V35" s="2">
        <f t="shared" si="7"/>
        <v>7243</v>
      </c>
    </row>
    <row r="36" spans="1:22" x14ac:dyDescent="0.25">
      <c r="A36" s="1">
        <v>20.399999999999999</v>
      </c>
      <c r="B36" s="1">
        <v>21</v>
      </c>
      <c r="C36" s="1">
        <v>17</v>
      </c>
      <c r="D36" s="1" t="s">
        <v>18</v>
      </c>
      <c r="E36" s="1" t="s">
        <v>2</v>
      </c>
      <c r="F36" s="1" cm="1">
        <f t="array" ref="F36">_xlfn.XLOOKUP(D36,'TABELA AUXILIAR'!$A$2:$A$5,IF('SPT-06'!A36&lt;3,'TABELA AUXILIAR'!$B$2:$B$5,'TABELA AUXILIAR'!$C$2:$C$5),"",0,1)</f>
        <v>8.5</v>
      </c>
      <c r="G36" s="6">
        <f t="shared" si="1"/>
        <v>25.596313669065946</v>
      </c>
      <c r="H36" s="2">
        <f t="shared" si="2"/>
        <v>38.820130076680115</v>
      </c>
      <c r="I36" s="2">
        <f t="shared" si="3"/>
        <v>637.16108355649578</v>
      </c>
      <c r="J36" s="1">
        <f t="shared" si="8"/>
        <v>229.65</v>
      </c>
      <c r="K36" s="1">
        <f t="shared" si="4"/>
        <v>0.5691835378712129</v>
      </c>
      <c r="L36" s="1">
        <f t="shared" si="5"/>
        <v>130.71299947212404</v>
      </c>
      <c r="M36" s="1">
        <f t="shared" si="6"/>
        <v>942.09521232865893</v>
      </c>
      <c r="N36" s="1">
        <f>$L36*'TABELA AUXILIAR'!$I$3*(B36-A36)</f>
        <v>294.88852680911253</v>
      </c>
      <c r="O36" s="1">
        <f>$L36*'TABELA AUXILIAR'!$I$4*(B36-A36)</f>
        <v>319.98542270776039</v>
      </c>
      <c r="P36" s="1">
        <f>$L36*'TABELA AUXILIAR'!$I$5*(B36-A36)</f>
        <v>369.3949365082234</v>
      </c>
      <c r="Q36" s="1">
        <f>$M36*'TABELA AUXILIAR'!$J$3+SUM(N$2:N36)</f>
        <v>10812.075609560687</v>
      </c>
      <c r="R36" s="1">
        <f>$M36*'TABELA AUXILIAR'!$J$4+SUM(O$2:O36)</f>
        <v>11820.648850509882</v>
      </c>
      <c r="S36" s="1">
        <f>$M36*'TABELA AUXILIAR'!$J$5+SUM(P$2:P36)</f>
        <v>13868.396821691525</v>
      </c>
      <c r="T36" s="2">
        <f t="shared" si="7"/>
        <v>5406</v>
      </c>
      <c r="U36" s="2">
        <f t="shared" si="7"/>
        <v>5910</v>
      </c>
      <c r="V36" s="2">
        <f t="shared" si="7"/>
        <v>6934</v>
      </c>
    </row>
    <row r="37" spans="1:22" x14ac:dyDescent="0.25">
      <c r="A37" s="1">
        <v>21</v>
      </c>
      <c r="B37" s="1">
        <v>21.6</v>
      </c>
      <c r="C37" s="1">
        <v>44</v>
      </c>
      <c r="D37" s="1" t="s">
        <v>18</v>
      </c>
      <c r="E37" s="1" t="s">
        <v>2</v>
      </c>
      <c r="F37" s="1" cm="1">
        <f t="array" ref="F37">_xlfn.XLOOKUP(D37,'TABELA AUXILIAR'!$A$2:$A$5,IF('SPT-06'!A37&lt;3,'TABELA AUXILIAR'!$B$2:$B$5,'TABELA AUXILIAR'!$C$2:$C$5),"",0,1)</f>
        <v>8.5</v>
      </c>
      <c r="G37" s="6">
        <f t="shared" si="1"/>
        <v>66.980865385118676</v>
      </c>
      <c r="H37" s="2">
        <f t="shared" si="2"/>
        <v>42.619764623672921</v>
      </c>
      <c r="I37" s="2">
        <f t="shared" si="3"/>
        <v>1375.5231587733042</v>
      </c>
      <c r="J37" s="1">
        <f t="shared" si="8"/>
        <v>234.75000000000003</v>
      </c>
      <c r="K37" s="1">
        <f t="shared" si="4"/>
        <v>0.98366009126121512</v>
      </c>
      <c r="L37" s="1">
        <f t="shared" si="5"/>
        <v>230.91420642357028</v>
      </c>
      <c r="M37" s="1">
        <f t="shared" si="6"/>
        <v>2042.7785622208617</v>
      </c>
      <c r="N37" s="1">
        <f>$L37*'TABELA AUXILIAR'!$I$3*(B37-A37)</f>
        <v>520.94244969157569</v>
      </c>
      <c r="O37" s="1">
        <f>$L37*'TABELA AUXILIAR'!$I$4*(B37-A37)</f>
        <v>565.27797732490137</v>
      </c>
      <c r="P37" s="1">
        <f>$L37*'TABELA AUXILIAR'!$I$5*(B37-A37)</f>
        <v>652.56354735301113</v>
      </c>
      <c r="Q37" s="1">
        <f>$M37*'TABELA AUXILIAR'!$J$3+SUM(N$2:N37)</f>
        <v>12576.790244630451</v>
      </c>
      <c r="R37" s="1">
        <f>$M37*'TABELA AUXILIAR'!$J$4+SUM(O$2:O37)</f>
        <v>13838.828849692491</v>
      </c>
      <c r="S37" s="1">
        <f>$M37*'TABELA AUXILIAR'!$J$5+SUM(P$2:P37)</f>
        <v>16458.163064854813</v>
      </c>
      <c r="T37" s="2">
        <f t="shared" si="7"/>
        <v>6288</v>
      </c>
      <c r="U37" s="2">
        <f t="shared" si="7"/>
        <v>6919</v>
      </c>
      <c r="V37" s="2">
        <f t="shared" si="7"/>
        <v>8229</v>
      </c>
    </row>
    <row r="38" spans="1:22" x14ac:dyDescent="0.25">
      <c r="A38" s="1">
        <v>21.6</v>
      </c>
      <c r="B38" s="1">
        <v>22.2</v>
      </c>
      <c r="C38" s="1">
        <v>45</v>
      </c>
      <c r="D38" s="1" t="s">
        <v>18</v>
      </c>
      <c r="E38" s="1" t="s">
        <v>2</v>
      </c>
      <c r="F38" s="1" cm="1">
        <f t="array" ref="F38">_xlfn.XLOOKUP(D38,'TABELA AUXILIAR'!$A$2:$A$5,IF('SPT-06'!A38&lt;3,'TABELA AUXILIAR'!$B$2:$B$5,'TABELA AUXILIAR'!$C$2:$C$5),"",0,1)</f>
        <v>8.5</v>
      </c>
      <c r="G38" s="6">
        <f t="shared" si="1"/>
        <v>69.243283286939686</v>
      </c>
      <c r="H38" s="2">
        <f t="shared" si="2"/>
        <v>42.709555126733164</v>
      </c>
      <c r="I38" s="2">
        <f t="shared" si="3"/>
        <v>1412.5682006065476</v>
      </c>
      <c r="J38" s="1">
        <f t="shared" si="8"/>
        <v>239.85000000000002</v>
      </c>
      <c r="K38" s="1">
        <f t="shared" si="4"/>
        <v>0.98864427472839478</v>
      </c>
      <c r="L38" s="1">
        <f t="shared" si="5"/>
        <v>237.12632929360552</v>
      </c>
      <c r="M38" s="1">
        <f t="shared" si="6"/>
        <v>2106.8306823847402</v>
      </c>
      <c r="N38" s="1">
        <f>$L38*'TABELA AUXILIAR'!$I$3*(B38-A38)</f>
        <v>534.95699888637205</v>
      </c>
      <c r="O38" s="1">
        <f>$L38*'TABELA AUXILIAR'!$I$4*(B38-A38)</f>
        <v>580.48525411074434</v>
      </c>
      <c r="P38" s="1">
        <f>$L38*'TABELA AUXILIAR'!$I$5*(B38-A38)</f>
        <v>670.11900658372679</v>
      </c>
      <c r="Q38" s="1">
        <f>$M38*'TABELA AUXILIAR'!$J$3+SUM(N$2:N38)</f>
        <v>13184.126139302007</v>
      </c>
      <c r="R38" s="1">
        <f>$M38*'TABELA AUXILIAR'!$J$4+SUM(O$2:O38)</f>
        <v>14503.862902419556</v>
      </c>
      <c r="S38" s="1">
        <f>$M38*'TABELA AUXILIAR'!$J$5+SUM(P$2:P38)</f>
        <v>17241.013802926966</v>
      </c>
      <c r="T38" s="2">
        <f t="shared" si="7"/>
        <v>6592</v>
      </c>
      <c r="U38" s="2">
        <f t="shared" si="7"/>
        <v>7251</v>
      </c>
      <c r="V38" s="2">
        <f t="shared" si="7"/>
        <v>8620</v>
      </c>
    </row>
    <row r="39" spans="1:22" x14ac:dyDescent="0.25">
      <c r="A39" s="1">
        <v>22.2</v>
      </c>
      <c r="B39" s="1">
        <v>22.8</v>
      </c>
      <c r="C39" s="1">
        <v>23</v>
      </c>
      <c r="D39" s="1" t="s">
        <v>18</v>
      </c>
      <c r="E39" s="1" t="s">
        <v>2</v>
      </c>
      <c r="F39" s="1" cm="1">
        <f t="array" ref="F39">_xlfn.XLOOKUP(D39,'TABELA AUXILIAR'!$A$2:$A$5,IF('SPT-06'!A39&lt;3,'TABELA AUXILIAR'!$B$2:$B$5,'TABELA AUXILIAR'!$C$2:$C$5),"",0,1)</f>
        <v>8.5</v>
      </c>
      <c r="G39" s="6">
        <f t="shared" si="1"/>
        <v>35.765296950294498</v>
      </c>
      <c r="H39" s="2">
        <f t="shared" si="2"/>
        <v>40.027896091361853</v>
      </c>
      <c r="I39" s="2">
        <f t="shared" si="3"/>
        <v>832.67738851348133</v>
      </c>
      <c r="J39" s="1">
        <f t="shared" si="8"/>
        <v>244.95000000000002</v>
      </c>
      <c r="K39" s="1">
        <f t="shared" si="4"/>
        <v>0.65840162078391185</v>
      </c>
      <c r="L39" s="1">
        <f t="shared" si="5"/>
        <v>161.27547701101921</v>
      </c>
      <c r="M39" s="1">
        <f t="shared" si="6"/>
        <v>1247.166752922275</v>
      </c>
      <c r="N39" s="1">
        <f>$L39*'TABELA AUXILIAR'!$I$3*(B39-A39)</f>
        <v>363.83747613686012</v>
      </c>
      <c r="O39" s="1">
        <f>$L39*'TABELA AUXILIAR'!$I$4*(B39-A39)</f>
        <v>394.80236772297599</v>
      </c>
      <c r="P39" s="1">
        <f>$L39*'TABELA AUXILIAR'!$I$5*(B39-A39)</f>
        <v>455.76449803314136</v>
      </c>
      <c r="Q39" s="1">
        <f>$M39*'TABELA AUXILIAR'!$J$3+SUM(N$2:N39)</f>
        <v>12576.543375146281</v>
      </c>
      <c r="R39" s="1">
        <f>$M39*'TABELA AUXILIAR'!$J$4+SUM(O$2:O39)</f>
        <v>13763.908883252077</v>
      </c>
      <c r="S39" s="1">
        <f>$M39*'TABELA AUXILIAR'!$J$5+SUM(P$2:P39)</f>
        <v>16183.769785106168</v>
      </c>
      <c r="T39" s="2">
        <f t="shared" si="7"/>
        <v>6288</v>
      </c>
      <c r="U39" s="2">
        <f t="shared" si="7"/>
        <v>6881</v>
      </c>
      <c r="V39" s="2">
        <f t="shared" si="7"/>
        <v>8091</v>
      </c>
    </row>
    <row r="40" spans="1:22" x14ac:dyDescent="0.25">
      <c r="A40" s="1">
        <v>22.8</v>
      </c>
      <c r="B40" s="1">
        <v>23.4</v>
      </c>
      <c r="C40" s="1">
        <v>32</v>
      </c>
      <c r="D40" s="1" t="s">
        <v>18</v>
      </c>
      <c r="E40" s="1" t="s">
        <v>2</v>
      </c>
      <c r="F40" s="1" cm="1">
        <f t="array" ref="F40">_xlfn.XLOOKUP(D40,'TABELA AUXILIAR'!$A$2:$A$5,IF('SPT-06'!A40&lt;3,'TABELA AUXILIAR'!$B$2:$B$5,'TABELA AUXILIAR'!$C$2:$C$5),"",0,1)</f>
        <v>8.5</v>
      </c>
      <c r="G40" s="6">
        <f t="shared" si="1"/>
        <v>50.275764710995887</v>
      </c>
      <c r="H40" s="2">
        <f t="shared" si="2"/>
        <v>41.347379800543138</v>
      </c>
      <c r="I40" s="2">
        <f t="shared" si="3"/>
        <v>1093.4382230888059</v>
      </c>
      <c r="J40" s="1">
        <f t="shared" si="8"/>
        <v>250.05</v>
      </c>
      <c r="K40" s="1">
        <f t="shared" si="4"/>
        <v>0.7915254457816191</v>
      </c>
      <c r="L40" s="1">
        <f t="shared" si="5"/>
        <v>197.92093771769387</v>
      </c>
      <c r="M40" s="1">
        <f t="shared" si="6"/>
        <v>1644.4924645056612</v>
      </c>
      <c r="N40" s="1">
        <f>$L40*'TABELA AUXILIAR'!$I$3*(B40-A40)</f>
        <v>446.50963549111577</v>
      </c>
      <c r="O40" s="1">
        <f>$L40*'TABELA AUXILIAR'!$I$4*(B40-A40)</f>
        <v>484.51045553291289</v>
      </c>
      <c r="P40" s="1">
        <f>$L40*'TABELA AUXILIAR'!$I$5*(B40-A40)</f>
        <v>559.32456999020098</v>
      </c>
      <c r="Q40" s="1">
        <f>$M40*'TABELA AUXILIAR'!$J$3+SUM(N$2:N40)</f>
        <v>13472.031064726623</v>
      </c>
      <c r="R40" s="1">
        <f>$M40*'TABELA AUXILIAR'!$J$4+SUM(O$2:O40)</f>
        <v>14772.889278075061</v>
      </c>
      <c r="S40" s="1">
        <f>$M40*'TABELA AUXILIAR'!$J$5+SUM(P$2:P40)</f>
        <v>17442.387607483131</v>
      </c>
      <c r="T40" s="2">
        <f t="shared" si="7"/>
        <v>6736</v>
      </c>
      <c r="U40" s="2">
        <f t="shared" si="7"/>
        <v>7386</v>
      </c>
      <c r="V40" s="2">
        <f t="shared" si="7"/>
        <v>8721</v>
      </c>
    </row>
    <row r="41" spans="1:22" x14ac:dyDescent="0.25">
      <c r="A41" s="1">
        <v>23.4</v>
      </c>
      <c r="B41" s="1">
        <v>24</v>
      </c>
      <c r="C41" s="1">
        <v>50</v>
      </c>
      <c r="D41" s="1" t="s">
        <v>18</v>
      </c>
      <c r="E41" s="1" t="s">
        <v>2</v>
      </c>
      <c r="F41" s="1" cm="1">
        <f t="array" ref="F41">_xlfn.XLOOKUP(D41,'TABELA AUXILIAR'!$A$2:$A$5,IF('SPT-06'!A41&lt;3,'TABELA AUXILIAR'!$B$2:$B$5,'TABELA AUXILIAR'!$C$2:$C$5),"",0,1)</f>
        <v>8.5</v>
      </c>
      <c r="G41" s="6">
        <f t="shared" si="1"/>
        <v>79.352948429669183</v>
      </c>
      <c r="H41" s="2">
        <f t="shared" si="2"/>
        <v>43.13052403989137</v>
      </c>
      <c r="I41" s="2">
        <f t="shared" si="3"/>
        <v>1575.2799946193859</v>
      </c>
      <c r="J41" s="1">
        <f t="shared" si="8"/>
        <v>255.15</v>
      </c>
      <c r="K41" s="1">
        <f t="shared" si="4"/>
        <v>1.0286494544296787</v>
      </c>
      <c r="L41" s="1">
        <f t="shared" si="5"/>
        <v>262.45990829773251</v>
      </c>
      <c r="M41" s="1">
        <f t="shared" si="6"/>
        <v>2378.7518379600456</v>
      </c>
      <c r="N41" s="1">
        <f>$L41*'TABELA AUXILIAR'!$I$3*(B41-A41)</f>
        <v>592.10955311968598</v>
      </c>
      <c r="O41" s="1">
        <f>$L41*'TABELA AUXILIAR'!$I$4*(B41-A41)</f>
        <v>642.50185551285074</v>
      </c>
      <c r="P41" s="1">
        <f>$L41*'TABELA AUXILIAR'!$I$5*(B41-A41)</f>
        <v>741.71170084939388</v>
      </c>
      <c r="Q41" s="1">
        <f>$M41*'TABELA AUXILIAR'!$J$3+SUM(N$2:N41)</f>
        <v>14893.853709849764</v>
      </c>
      <c r="R41" s="1">
        <f>$M41*'TABELA AUXILIAR'!$J$4+SUM(O$2:O41)</f>
        <v>16384.613506547699</v>
      </c>
      <c r="S41" s="1">
        <f>$M41*'TABELA AUXILIAR'!$J$5+SUM(P$2:P41)</f>
        <v>19476.395805612239</v>
      </c>
      <c r="T41" s="2">
        <f t="shared" si="7"/>
        <v>7446</v>
      </c>
      <c r="U41" s="2">
        <f t="shared" si="7"/>
        <v>8192</v>
      </c>
      <c r="V41" s="2">
        <f t="shared" si="7"/>
        <v>9738</v>
      </c>
    </row>
    <row r="42" spans="1:22" x14ac:dyDescent="0.25">
      <c r="A42" s="1">
        <v>24</v>
      </c>
      <c r="B42" s="1">
        <v>24.6</v>
      </c>
      <c r="C42" s="1">
        <v>50</v>
      </c>
      <c r="D42" s="1" t="s">
        <v>18</v>
      </c>
      <c r="E42" s="1" t="s">
        <v>2</v>
      </c>
      <c r="F42" s="1" cm="1">
        <f t="array" ref="F42">_xlfn.XLOOKUP(D42,'TABELA AUXILIAR'!$A$2:$A$5,IF('SPT-06'!A42&lt;3,'TABELA AUXILIAR'!$B$2:$B$5,'TABELA AUXILIAR'!$C$2:$C$5),"",0,1)</f>
        <v>8.5</v>
      </c>
      <c r="G42" s="6">
        <f t="shared" si="1"/>
        <v>80.142087541185447</v>
      </c>
      <c r="H42" s="2">
        <f t="shared" si="2"/>
        <v>43.13052403989137</v>
      </c>
      <c r="I42" s="2">
        <f t="shared" si="3"/>
        <v>1587.8000961004623</v>
      </c>
      <c r="J42" s="1">
        <f t="shared" si="8"/>
        <v>260.25</v>
      </c>
      <c r="K42" s="1">
        <f t="shared" si="4"/>
        <v>1.020332414573083</v>
      </c>
      <c r="L42" s="1">
        <f t="shared" si="5"/>
        <v>265.54151089264485</v>
      </c>
      <c r="M42" s="1">
        <f t="shared" si="6"/>
        <v>2407.1670840355464</v>
      </c>
      <c r="N42" s="1">
        <f>$L42*'TABELA AUXILIAR'!$I$3*(B42-A42)</f>
        <v>599.06164857380816</v>
      </c>
      <c r="O42" s="1">
        <f>$L42*'TABELA AUXILIAR'!$I$4*(B42-A42)</f>
        <v>650.04561866519623</v>
      </c>
      <c r="P42" s="1">
        <f>$L42*'TABELA AUXILIAR'!$I$5*(B42-A42)</f>
        <v>750.42030978261619</v>
      </c>
      <c r="Q42" s="1">
        <f>$M42*'TABELA AUXILIAR'!$J$3+SUM(N$2:N42)</f>
        <v>15525.024586488888</v>
      </c>
      <c r="R42" s="1">
        <f>$M42*'TABELA AUXILIAR'!$J$4+SUM(O$2:O42)</f>
        <v>17072.167250032555</v>
      </c>
      <c r="S42" s="1">
        <f>$M42*'TABELA AUXILIAR'!$J$5+SUM(P$2:P42)</f>
        <v>20276.826948487738</v>
      </c>
      <c r="T42" s="2">
        <f t="shared" si="7"/>
        <v>7762</v>
      </c>
      <c r="U42" s="2">
        <f t="shared" si="7"/>
        <v>8536</v>
      </c>
      <c r="V42" s="2">
        <f t="shared" si="7"/>
        <v>10138</v>
      </c>
    </row>
    <row r="43" spans="1:22" x14ac:dyDescent="0.25">
      <c r="A43" s="1">
        <v>24.6</v>
      </c>
      <c r="B43" s="1">
        <v>25.2</v>
      </c>
      <c r="C43" s="1">
        <v>50</v>
      </c>
      <c r="D43" s="1" t="s">
        <v>18</v>
      </c>
      <c r="E43" s="1" t="s">
        <v>2</v>
      </c>
      <c r="F43" s="1" cm="1">
        <f t="array" ref="F43">_xlfn.XLOOKUP(D43,'TABELA AUXILIAR'!$A$2:$A$5,IF('SPT-06'!A43&lt;3,'TABELA AUXILIAR'!$B$2:$B$5,'TABELA AUXILIAR'!$C$2:$C$5),"",0,1)</f>
        <v>8.5</v>
      </c>
      <c r="G43" s="6">
        <f t="shared" si="1"/>
        <v>80.923531598888644</v>
      </c>
      <c r="H43" s="2">
        <f t="shared" si="2"/>
        <v>43.13052403989137</v>
      </c>
      <c r="I43" s="2">
        <f t="shared" si="3"/>
        <v>1600.1738371211911</v>
      </c>
      <c r="J43" s="1">
        <f t="shared" si="8"/>
        <v>265.35000000000002</v>
      </c>
      <c r="K43" s="1">
        <f t="shared" si="4"/>
        <v>1.0122420937072958</v>
      </c>
      <c r="L43" s="1">
        <f t="shared" si="5"/>
        <v>268.59843956523093</v>
      </c>
      <c r="M43" s="1">
        <f t="shared" si="6"/>
        <v>2435.3604476069972</v>
      </c>
      <c r="N43" s="1">
        <f>$L43*'TABELA AUXILIAR'!$I$3*(B43-A43)</f>
        <v>605.95807965915878</v>
      </c>
      <c r="O43" s="1">
        <f>$L43*'TABELA AUXILIAR'!$I$4*(B43-A43)</f>
        <v>657.52898005568295</v>
      </c>
      <c r="P43" s="1">
        <f>$L43*'TABELA AUXILIAR'!$I$5*(B43-A43)</f>
        <v>759.05919021133991</v>
      </c>
      <c r="Q43" s="1">
        <f>$M43*'TABELA AUXILIAR'!$J$3+SUM(N$2:N43)</f>
        <v>16162.841166983784</v>
      </c>
      <c r="R43" s="1">
        <f>$M43*'TABELA AUXILIAR'!$J$4+SUM(O$2:O43)</f>
        <v>17766.911470002553</v>
      </c>
      <c r="S43" s="1">
        <f>$M43*'TABELA AUXILIAR'!$J$5+SUM(P$2:P43)</f>
        <v>21085.50645858483</v>
      </c>
      <c r="T43" s="2">
        <f t="shared" si="7"/>
        <v>8081</v>
      </c>
      <c r="U43" s="2">
        <f t="shared" si="7"/>
        <v>8883</v>
      </c>
      <c r="V43" s="2">
        <f t="shared" si="7"/>
        <v>10542</v>
      </c>
    </row>
    <row r="44" spans="1:22" x14ac:dyDescent="0.25">
      <c r="A44" s="1">
        <v>25.2</v>
      </c>
      <c r="B44" s="1">
        <v>25.8</v>
      </c>
      <c r="C44" s="1">
        <v>50</v>
      </c>
      <c r="D44" s="1" t="s">
        <v>18</v>
      </c>
      <c r="E44" s="1" t="s">
        <v>2</v>
      </c>
      <c r="F44" s="1" cm="1">
        <f t="array" ref="F44">_xlfn.XLOOKUP(D44,'TABELA AUXILIAR'!$A$2:$A$5,IF('SPT-06'!A44&lt;3,'TABELA AUXILIAR'!$B$2:$B$5,'TABELA AUXILIAR'!$C$2:$C$5),"",0,1)</f>
        <v>8.5</v>
      </c>
      <c r="G44" s="6">
        <f t="shared" si="1"/>
        <v>81.697501414753333</v>
      </c>
      <c r="H44" s="2">
        <f t="shared" si="2"/>
        <v>43.13052403989137</v>
      </c>
      <c r="I44" s="2">
        <f t="shared" si="3"/>
        <v>1612.4056932351955</v>
      </c>
      <c r="J44" s="1">
        <f t="shared" si="8"/>
        <v>270.45000000000005</v>
      </c>
      <c r="K44" s="1">
        <f t="shared" si="4"/>
        <v>1.004368129144243</v>
      </c>
      <c r="L44" s="1">
        <f t="shared" si="5"/>
        <v>271.63136052706056</v>
      </c>
      <c r="M44" s="1">
        <f t="shared" si="6"/>
        <v>2463.3378769024625</v>
      </c>
      <c r="N44" s="1">
        <f>$L44*'TABELA AUXILIAR'!$I$3*(B44-A44)</f>
        <v>612.80034934905007</v>
      </c>
      <c r="O44" s="1">
        <f>$L44*'TABELA AUXILIAR'!$I$4*(B44-A44)</f>
        <v>664.95357057024592</v>
      </c>
      <c r="P44" s="1">
        <f>$L44*'TABELA AUXILIAR'!$I$5*(B44-A44)</f>
        <v>767.63022484947498</v>
      </c>
      <c r="Q44" s="1">
        <f>$M44*'TABELA AUXILIAR'!$J$3+SUM(N$2:N44)</f>
        <v>16807.256011436712</v>
      </c>
      <c r="R44" s="1">
        <f>$M44*'TABELA AUXILIAR'!$J$4+SUM(O$2:O44)</f>
        <v>18468.795247242811</v>
      </c>
      <c r="S44" s="1">
        <f>$M44*'TABELA AUXILIAR'!$J$5+SUM(P$2:P44)</f>
        <v>21902.376958994326</v>
      </c>
      <c r="T44" s="2">
        <f t="shared" si="7"/>
        <v>8403</v>
      </c>
      <c r="U44" s="2">
        <f t="shared" si="7"/>
        <v>9234</v>
      </c>
      <c r="V44" s="2">
        <f t="shared" si="7"/>
        <v>10951</v>
      </c>
    </row>
    <row r="45" spans="1:22" x14ac:dyDescent="0.25">
      <c r="A45" s="1">
        <v>25.8</v>
      </c>
      <c r="B45" s="1">
        <v>26.4</v>
      </c>
      <c r="C45" s="1">
        <v>50</v>
      </c>
      <c r="D45" s="1" t="s">
        <v>18</v>
      </c>
      <c r="E45" s="1" t="s">
        <v>2</v>
      </c>
      <c r="F45" s="1" cm="1">
        <f t="array" ref="F45">_xlfn.XLOOKUP(D45,'TABELA AUXILIAR'!$A$2:$A$5,IF('SPT-06'!A45&lt;3,'TABELA AUXILIAR'!$B$2:$B$5,'TABELA AUXILIAR'!$C$2:$C$5),"",0,1)</f>
        <v>8.5</v>
      </c>
      <c r="G45" s="6">
        <f t="shared" si="1"/>
        <v>82.464207438081402</v>
      </c>
      <c r="H45" s="2">
        <f t="shared" si="2"/>
        <v>43.13052403989137</v>
      </c>
      <c r="I45" s="2">
        <f t="shared" si="3"/>
        <v>1624.4999217637726</v>
      </c>
      <c r="J45" s="1">
        <f t="shared" si="8"/>
        <v>275.55000000000007</v>
      </c>
      <c r="K45" s="1">
        <f t="shared" si="4"/>
        <v>0.99670081590269566</v>
      </c>
      <c r="L45" s="1">
        <f t="shared" si="5"/>
        <v>274.64090982198786</v>
      </c>
      <c r="M45" s="1">
        <f t="shared" si="6"/>
        <v>2491.1050519132332</v>
      </c>
      <c r="N45" s="1">
        <f>$L45*'TABELA AUXILIAR'!$I$3*(B45-A45)</f>
        <v>619.58989255840231</v>
      </c>
      <c r="O45" s="1">
        <f>$L45*'TABELA AUXILIAR'!$I$4*(B45-A45)</f>
        <v>672.32094724422393</v>
      </c>
      <c r="P45" s="1">
        <f>$L45*'TABELA AUXILIAR'!$I$5*(B45-A45)</f>
        <v>776.13521115693504</v>
      </c>
      <c r="Q45" s="1">
        <f>$M45*'TABELA AUXILIAR'!$J$3+SUM(N$2:N45)</f>
        <v>17458.222811757285</v>
      </c>
      <c r="R45" s="1">
        <f>$M45*'TABELA AUXILIAR'!$J$4+SUM(O$2:O45)</f>
        <v>19177.768865501253</v>
      </c>
      <c r="S45" s="1">
        <f>$M45*'TABELA AUXILIAR'!$J$5+SUM(P$2:P45)</f>
        <v>22727.382398170219</v>
      </c>
      <c r="T45" s="2">
        <f t="shared" si="7"/>
        <v>8729</v>
      </c>
      <c r="U45" s="2">
        <f t="shared" si="7"/>
        <v>9588</v>
      </c>
      <c r="V45" s="2">
        <f t="shared" si="7"/>
        <v>11363</v>
      </c>
    </row>
    <row r="46" spans="1:22" x14ac:dyDescent="0.25">
      <c r="A46" s="1">
        <v>26.4</v>
      </c>
      <c r="B46" s="1">
        <v>27</v>
      </c>
      <c r="C46" s="1">
        <v>50</v>
      </c>
      <c r="D46" s="1" t="s">
        <v>18</v>
      </c>
      <c r="E46" s="1" t="s">
        <v>2</v>
      </c>
      <c r="F46" s="1" cm="1">
        <f t="array" ref="F46">_xlfn.XLOOKUP(D46,'TABELA AUXILIAR'!$A$2:$A$5,IF('SPT-06'!A46&lt;3,'TABELA AUXILIAR'!$B$2:$B$5,'TABELA AUXILIAR'!$C$2:$C$5),"",0,1)</f>
        <v>8.5</v>
      </c>
      <c r="G46" s="6">
        <f t="shared" si="1"/>
        <v>83.223850423831124</v>
      </c>
      <c r="H46" s="2">
        <f t="shared" si="2"/>
        <v>43.13052403989137</v>
      </c>
      <c r="I46" s="2">
        <f t="shared" si="3"/>
        <v>1636.4605762592196</v>
      </c>
      <c r="J46" s="1">
        <f t="shared" si="8"/>
        <v>280.65000000000009</v>
      </c>
      <c r="K46" s="1">
        <f t="shared" si="4"/>
        <v>0.98923105370906195</v>
      </c>
      <c r="L46" s="1">
        <f t="shared" si="5"/>
        <v>277.62769522344831</v>
      </c>
      <c r="M46" s="1">
        <f t="shared" si="6"/>
        <v>2518.6674012148378</v>
      </c>
      <c r="N46" s="1">
        <f>$L46*'TABELA AUXILIAR'!$I$3*(B46-A46)</f>
        <v>626.32808042410079</v>
      </c>
      <c r="O46" s="1">
        <f>$L46*'TABELA AUXILIAR'!$I$4*(B46-A46)</f>
        <v>679.63259790700317</v>
      </c>
      <c r="P46" s="1">
        <f>$L46*'TABELA AUXILIAR'!$I$5*(B46-A46)</f>
        <v>784.57586670146679</v>
      </c>
      <c r="Q46" s="1">
        <f>$M46*'TABELA AUXILIAR'!$J$3+SUM(N$2:N46)</f>
        <v>18115.696346892197</v>
      </c>
      <c r="R46" s="1">
        <f>$M46*'TABELA AUXILIAR'!$J$4+SUM(O$2:O46)</f>
        <v>19893.783764486376</v>
      </c>
      <c r="S46" s="1">
        <f>$M46*'TABELA AUXILIAR'!$J$5+SUM(P$2:P46)</f>
        <v>23560.467999642511</v>
      </c>
      <c r="T46" s="2">
        <f t="shared" si="7"/>
        <v>9057</v>
      </c>
      <c r="U46" s="2">
        <f t="shared" si="7"/>
        <v>9946</v>
      </c>
      <c r="V46" s="2">
        <f t="shared" si="7"/>
        <v>11780</v>
      </c>
    </row>
    <row r="47" spans="1:22" x14ac:dyDescent="0.25">
      <c r="A47" s="1">
        <v>27</v>
      </c>
      <c r="B47" s="1">
        <v>27.6</v>
      </c>
      <c r="C47" s="1">
        <v>50</v>
      </c>
      <c r="D47" s="1" t="s">
        <v>18</v>
      </c>
      <c r="E47" s="1" t="s">
        <v>2</v>
      </c>
      <c r="F47" s="1" cm="1">
        <f t="array" ref="F47">_xlfn.XLOOKUP(D47,'TABELA AUXILIAR'!$A$2:$A$5,IF('SPT-06'!A47&lt;3,'TABELA AUXILIAR'!$B$2:$B$5,'TABELA AUXILIAR'!$C$2:$C$5),"",0,1)</f>
        <v>8.5</v>
      </c>
      <c r="G47" s="6">
        <f t="shared" si="1"/>
        <v>83.97662204652859</v>
      </c>
      <c r="H47" s="2">
        <f t="shared" si="2"/>
        <v>43.13052403989137</v>
      </c>
      <c r="I47" s="2">
        <f t="shared" si="3"/>
        <v>1648.2915197654352</v>
      </c>
      <c r="J47" s="1">
        <f t="shared" si="8"/>
        <v>285.75000000000011</v>
      </c>
      <c r="K47" s="1">
        <f t="shared" si="4"/>
        <v>0.98195029914340848</v>
      </c>
      <c r="L47" s="1">
        <f t="shared" si="5"/>
        <v>280.59229798022909</v>
      </c>
      <c r="M47" s="1">
        <f t="shared" si="6"/>
        <v>2546.0301174476158</v>
      </c>
      <c r="N47" s="1">
        <f>$L47*'TABELA AUXILIAR'!$I$3*(B47-A47)</f>
        <v>633.01622424339837</v>
      </c>
      <c r="O47" s="1">
        <f>$L47*'TABELA AUXILIAR'!$I$4*(B47-A47)</f>
        <v>686.8899454556024</v>
      </c>
      <c r="P47" s="1">
        <f>$L47*'TABELA AUXILIAR'!$I$5*(B47-A47)</f>
        <v>792.95383409212923</v>
      </c>
      <c r="Q47" s="1">
        <f>$M47*'TABELA AUXILIAR'!$J$3+SUM(N$2:N47)</f>
        <v>18779.632440478636</v>
      </c>
      <c r="R47" s="1">
        <f>$M47*'TABELA AUXILIAR'!$J$4+SUM(O$2:O47)</f>
        <v>20616.792495369242</v>
      </c>
      <c r="S47" s="1">
        <f>$M47*'TABELA AUXILIAR'!$J$5+SUM(P$2:P47)</f>
        <v>24401.580214304326</v>
      </c>
      <c r="T47" s="2">
        <f t="shared" si="7"/>
        <v>9389</v>
      </c>
      <c r="U47" s="2">
        <f t="shared" si="7"/>
        <v>10308</v>
      </c>
      <c r="V47" s="2">
        <f t="shared" si="7"/>
        <v>12200</v>
      </c>
    </row>
    <row r="48" spans="1:22" x14ac:dyDescent="0.25">
      <c r="A48" s="1">
        <v>27.6</v>
      </c>
      <c r="B48" s="1">
        <v>28.2</v>
      </c>
      <c r="C48" s="1">
        <v>50</v>
      </c>
      <c r="D48" s="1" t="s">
        <v>18</v>
      </c>
      <c r="E48" s="1" t="s">
        <v>6</v>
      </c>
      <c r="F48" s="1" cm="1">
        <f t="array" ref="F48">_xlfn.XLOOKUP(D48,'TABELA AUXILIAR'!$A$2:$A$5,IF('SPT-06'!A48&lt;3,'TABELA AUXILIAR'!$B$2:$B$5,'TABELA AUXILIAR'!$C$2:$C$5),"",0,1)</f>
        <v>8.5</v>
      </c>
      <c r="G48" s="6">
        <f t="shared" si="1"/>
        <v>84.722705465080651</v>
      </c>
      <c r="H48" s="2">
        <f t="shared" si="2"/>
        <v>43.13052403989137</v>
      </c>
      <c r="I48" s="2">
        <f t="shared" si="3"/>
        <v>1659.9964369954048</v>
      </c>
      <c r="J48" s="1">
        <f t="shared" si="8"/>
        <v>290.85000000000014</v>
      </c>
      <c r="K48" s="1">
        <f t="shared" si="4"/>
        <v>0.97485052234930547</v>
      </c>
      <c r="L48" s="1">
        <f t="shared" si="5"/>
        <v>283.53527442529565</v>
      </c>
      <c r="M48" s="1">
        <f t="shared" si="6"/>
        <v>2573.1981715856436</v>
      </c>
      <c r="N48" s="1">
        <f>$L48*'TABELA AUXILIAR'!$I$3*(B48-A48)</f>
        <v>639.65557910346467</v>
      </c>
      <c r="O48" s="1">
        <f>$L48*'TABELA AUXILIAR'!$I$4*(B48-A48)</f>
        <v>694.09435179312129</v>
      </c>
      <c r="P48" s="1">
        <f>$L48*'TABELA AUXILIAR'!$I$5*(B48-A48)</f>
        <v>801.27068552588275</v>
      </c>
      <c r="Q48" s="1">
        <f>$M48*'TABELA AUXILIAR'!$J$3+SUM(N$2:N48)</f>
        <v>19449.987920758071</v>
      </c>
      <c r="R48" s="1">
        <f>$M48*'TABELA AUXILIAR'!$J$4+SUM(O$2:O48)</f>
        <v>21346.748678624561</v>
      </c>
      <c r="S48" s="1">
        <f>$M48*'TABELA AUXILIAR'!$J$5+SUM(P$2:P48)</f>
        <v>25250.666675113142</v>
      </c>
      <c r="T48" s="2">
        <f t="shared" si="7"/>
        <v>9724</v>
      </c>
      <c r="U48" s="2">
        <f t="shared" si="7"/>
        <v>10673</v>
      </c>
      <c r="V48" s="2">
        <f t="shared" si="7"/>
        <v>12625</v>
      </c>
    </row>
    <row r="49" spans="1:22" x14ac:dyDescent="0.25">
      <c r="A49" s="1">
        <v>28.2</v>
      </c>
      <c r="B49" s="1">
        <v>28.8</v>
      </c>
      <c r="C49" s="1">
        <v>50</v>
      </c>
      <c r="D49" s="1" t="s">
        <v>18</v>
      </c>
      <c r="E49" s="1" t="s">
        <v>6</v>
      </c>
      <c r="F49" s="1" cm="1">
        <f t="array" ref="F49">_xlfn.XLOOKUP(D49,'TABELA AUXILIAR'!$A$2:$A$5,IF('SPT-06'!A49&lt;3,'TABELA AUXILIAR'!$B$2:$B$5,'TABELA AUXILIAR'!$C$2:$C$5),"",0,1)</f>
        <v>8.5</v>
      </c>
      <c r="G49" s="6">
        <f t="shared" si="1"/>
        <v>85.462275843205234</v>
      </c>
      <c r="H49" s="2">
        <f t="shared" si="2"/>
        <v>43.13052403989137</v>
      </c>
      <c r="I49" s="2">
        <f t="shared" si="3"/>
        <v>1671.5788455313693</v>
      </c>
      <c r="J49" s="1">
        <f t="shared" si="8"/>
        <v>295.95000000000016</v>
      </c>
      <c r="K49" s="1">
        <f t="shared" si="4"/>
        <v>0.96792416780071078</v>
      </c>
      <c r="L49" s="1">
        <f t="shared" si="5"/>
        <v>286.45715746062052</v>
      </c>
      <c r="M49" s="1">
        <f t="shared" si="6"/>
        <v>2600.1763261083638</v>
      </c>
      <c r="N49" s="1">
        <f>$L49*'TABELA AUXILIAR'!$I$3*(B49-A49)</f>
        <v>646.24734723116137</v>
      </c>
      <c r="O49" s="1">
        <f>$L49*'TABELA AUXILIAR'!$I$4*(B49-A49)</f>
        <v>701.24712146360071</v>
      </c>
      <c r="P49" s="1">
        <f>$L49*'TABELA AUXILIAR'!$I$5*(B49-A49)</f>
        <v>809.52792698371547</v>
      </c>
      <c r="Q49" s="1">
        <f>$M49*'TABELA AUXILIAR'!$J$3+SUM(N$2:N49)</f>
        <v>20126.720582599904</v>
      </c>
      <c r="R49" s="1">
        <f>$M49*'TABELA AUXILIAR'!$J$4+SUM(O$2:O49)</f>
        <v>22083.606964058152</v>
      </c>
      <c r="S49" s="1">
        <f>$M49*'TABELA AUXILIAR'!$J$5+SUM(P$2:P49)</f>
        <v>26107.676154056844</v>
      </c>
      <c r="T49" s="2">
        <f t="shared" si="7"/>
        <v>10063</v>
      </c>
      <c r="U49" s="2">
        <f t="shared" si="7"/>
        <v>11041</v>
      </c>
      <c r="V49" s="2">
        <f t="shared" si="7"/>
        <v>13053</v>
      </c>
    </row>
    <row r="50" spans="1:22" x14ac:dyDescent="0.25">
      <c r="A50" s="1">
        <v>28.8</v>
      </c>
      <c r="B50" s="1">
        <v>29.4</v>
      </c>
      <c r="C50" s="1">
        <v>35</v>
      </c>
      <c r="D50" s="1" t="s">
        <v>18</v>
      </c>
      <c r="E50" s="1" t="s">
        <v>6</v>
      </c>
      <c r="F50" s="1" cm="1">
        <f t="array" ref="F50">_xlfn.XLOOKUP(D50,'TABELA AUXILIAR'!$A$2:$A$5,IF('SPT-06'!A50&lt;3,'TABELA AUXILIAR'!$B$2:$B$5,'TABELA AUXILIAR'!$C$2:$C$5),"",0,1)</f>
        <v>8.5</v>
      </c>
      <c r="G50" s="6">
        <f t="shared" si="1"/>
        <v>60.336850580768008</v>
      </c>
      <c r="H50" s="2">
        <f t="shared" si="2"/>
        <v>41.705426008022535</v>
      </c>
      <c r="I50" s="2">
        <f t="shared" si="3"/>
        <v>1265.2414559680219</v>
      </c>
      <c r="J50" s="1">
        <f t="shared" si="8"/>
        <v>301.05000000000018</v>
      </c>
      <c r="K50" s="1">
        <f t="shared" si="4"/>
        <v>0.77524211126629938</v>
      </c>
      <c r="L50" s="1">
        <f t="shared" si="5"/>
        <v>233.38663759671957</v>
      </c>
      <c r="M50" s="1">
        <f t="shared" si="6"/>
        <v>1974.8467708729809</v>
      </c>
      <c r="N50" s="1">
        <f>$L50*'TABELA AUXILIAR'!$I$3*(B50-A50)</f>
        <v>526.5202544181974</v>
      </c>
      <c r="O50" s="1">
        <f>$L50*'TABELA AUXILIAR'!$I$4*(B50-A50)</f>
        <v>571.33048883676747</v>
      </c>
      <c r="P50" s="1">
        <f>$L50*'TABELA AUXILIAR'!$I$5*(B50-A50)</f>
        <v>659.55063784832714</v>
      </c>
      <c r="Q50" s="1">
        <f>$M50*'TABELA AUXILIAR'!$J$3+SUM(N$2:N50)</f>
        <v>19946.61843960212</v>
      </c>
      <c r="R50" s="1">
        <f>$M50*'TABELA AUXILIAR'!$J$4+SUM(O$2:O50)</f>
        <v>21829.502439984215</v>
      </c>
      <c r="S50" s="1">
        <f>$M50*'TABELA AUXILIAR'!$J$5+SUM(P$2:P50)</f>
        <v>25666.646774690897</v>
      </c>
      <c r="T50" s="2">
        <f t="shared" si="7"/>
        <v>9973</v>
      </c>
      <c r="U50" s="2">
        <f t="shared" si="7"/>
        <v>10914</v>
      </c>
      <c r="V50" s="2">
        <f t="shared" si="7"/>
        <v>12833</v>
      </c>
    </row>
    <row r="51" spans="1:22" x14ac:dyDescent="0.25">
      <c r="A51" s="1">
        <v>29.4</v>
      </c>
      <c r="B51" s="1">
        <v>30</v>
      </c>
      <c r="C51" s="1">
        <v>37</v>
      </c>
      <c r="D51" s="1" t="s">
        <v>18</v>
      </c>
      <c r="E51" s="1" t="s">
        <v>6</v>
      </c>
      <c r="F51" s="1" cm="1">
        <f t="array" ref="F51">_xlfn.XLOOKUP(D51,'TABELA AUXILIAR'!$A$2:$A$5,IF('SPT-06'!A51&lt;3,'TABELA AUXILIAR'!$B$2:$B$5,'TABELA AUXILIAR'!$C$2:$C$5),"",0,1)</f>
        <v>8.5</v>
      </c>
      <c r="G51" s="6">
        <f t="shared" si="1"/>
        <v>64.322680341523935</v>
      </c>
      <c r="H51" s="2">
        <f t="shared" si="2"/>
        <v>41.927455861416355</v>
      </c>
      <c r="I51" s="2">
        <f t="shared" si="3"/>
        <v>1331.6761138463971</v>
      </c>
      <c r="J51" s="1">
        <f t="shared" si="8"/>
        <v>306.1500000000002</v>
      </c>
      <c r="K51" s="1">
        <f t="shared" si="4"/>
        <v>0.79586061497546856</v>
      </c>
      <c r="L51" s="1">
        <f t="shared" si="5"/>
        <v>243.65272727473987</v>
      </c>
      <c r="M51" s="1">
        <f t="shared" si="6"/>
        <v>2085.5361746714852</v>
      </c>
      <c r="N51" s="1">
        <f>$L51*'TABELA AUXILIAR'!$I$3*(B51-A51)</f>
        <v>549.68055273181437</v>
      </c>
      <c r="O51" s="1">
        <f>$L51*'TABELA AUXILIAR'!$I$4*(B51-A51)</f>
        <v>596.46187636856462</v>
      </c>
      <c r="P51" s="1">
        <f>$L51*'TABELA AUXILIAR'!$I$5*(B51-A51)</f>
        <v>688.56260727841652</v>
      </c>
      <c r="Q51" s="1">
        <f>$M51*'TABELA AUXILIAR'!$J$3+SUM(N$2:N51)</f>
        <v>20621.378018626245</v>
      </c>
      <c r="R51" s="1">
        <f>$M51*'TABELA AUXILIAR'!$J$4+SUM(O$2:O51)</f>
        <v>22572.074329366806</v>
      </c>
      <c r="S51" s="1">
        <f>$M51*'TABELA AUXILIAR'!$J$5+SUM(P$2:P51)</f>
        <v>26550.022732654681</v>
      </c>
      <c r="T51" s="2">
        <f t="shared" si="7"/>
        <v>10310</v>
      </c>
      <c r="U51" s="2">
        <f t="shared" si="7"/>
        <v>11286</v>
      </c>
      <c r="V51" s="2">
        <f t="shared" si="7"/>
        <v>13275</v>
      </c>
    </row>
    <row r="52" spans="1:22" x14ac:dyDescent="0.25">
      <c r="A52" s="1">
        <v>30</v>
      </c>
      <c r="B52" s="1">
        <v>30.6</v>
      </c>
      <c r="C52" s="1">
        <v>50</v>
      </c>
      <c r="D52" s="1" t="s">
        <v>18</v>
      </c>
      <c r="E52" s="1" t="s">
        <v>8</v>
      </c>
      <c r="F52" s="1" cm="1">
        <f t="array" ref="F52">_xlfn.XLOOKUP(D52,'TABELA AUXILIAR'!$A$2:$A$5,IF('SPT-06'!A52&lt;3,'TABELA AUXILIAR'!$B$2:$B$5,'TABELA AUXILIAR'!$C$2:$C$5),"",0,1)</f>
        <v>8.5</v>
      </c>
      <c r="G52" s="6">
        <f t="shared" si="1"/>
        <v>87.643550277427664</v>
      </c>
      <c r="H52" s="2">
        <f t="shared" si="2"/>
        <v>43.13052403989137</v>
      </c>
      <c r="I52" s="2">
        <f t="shared" si="3"/>
        <v>1705.6238989618214</v>
      </c>
      <c r="J52" s="1">
        <f t="shared" si="8"/>
        <v>311.25000000000023</v>
      </c>
      <c r="K52" s="1">
        <f t="shared" si="4"/>
        <v>0.94811647157034473</v>
      </c>
      <c r="L52" s="1">
        <f t="shared" si="5"/>
        <v>295.10125177627003</v>
      </c>
      <c r="M52" s="1">
        <f t="shared" si="6"/>
        <v>2680.016138806116</v>
      </c>
      <c r="N52" s="1">
        <f>$L52*'TABELA AUXILIAR'!$I$3*(B52-A52)</f>
        <v>665.74842400726664</v>
      </c>
      <c r="O52" s="1">
        <f>$L52*'TABELA AUXILIAR'!$I$4*(B52-A52)</f>
        <v>722.4078643483108</v>
      </c>
      <c r="P52" s="1">
        <f>$L52*'TABELA AUXILIAR'!$I$5*(B52-A52)</f>
        <v>833.95613751974111</v>
      </c>
      <c r="Q52" s="1">
        <f>$M52*'TABELA AUXILIAR'!$J$3+SUM(N$2:N52)</f>
        <v>21958.888802105641</v>
      </c>
      <c r="R52" s="1">
        <f>$M52*'TABELA AUXILIAR'!$J$4+SUM(O$2:O52)</f>
        <v>24079.195746372829</v>
      </c>
      <c r="S52" s="1">
        <f>$M52*'TABELA AUXILIAR'!$J$5+SUM(P$2:P52)</f>
        <v>28430.263607051373</v>
      </c>
      <c r="T52" s="2">
        <f t="shared" si="7"/>
        <v>10979</v>
      </c>
      <c r="U52" s="2">
        <f t="shared" si="7"/>
        <v>12039</v>
      </c>
      <c r="V52" s="2">
        <f t="shared" si="7"/>
        <v>14215</v>
      </c>
    </row>
    <row r="53" spans="1:22" x14ac:dyDescent="0.25">
      <c r="A53" s="1">
        <v>30.6</v>
      </c>
      <c r="B53" s="1">
        <v>31.2</v>
      </c>
      <c r="C53" s="1">
        <v>50</v>
      </c>
      <c r="D53" s="1" t="s">
        <v>18</v>
      </c>
      <c r="E53" s="1" t="s">
        <v>8</v>
      </c>
      <c r="F53" s="1" cm="1">
        <f t="array" ref="F53">_xlfn.XLOOKUP(D53,'TABELA AUXILIAR'!$A$2:$A$5,IF('SPT-06'!A53&lt;3,'TABELA AUXILIAR'!$B$2:$B$5,'TABELA AUXILIAR'!$C$2:$C$5),"",0,1)</f>
        <v>8.5</v>
      </c>
      <c r="G53" s="6">
        <f t="shared" si="1"/>
        <v>88.358676292763036</v>
      </c>
      <c r="H53" s="2">
        <f t="shared" si="2"/>
        <v>43.13052403989137</v>
      </c>
      <c r="I53" s="2">
        <f t="shared" si="3"/>
        <v>1716.7484507259092</v>
      </c>
      <c r="J53" s="1">
        <f t="shared" si="8"/>
        <v>316.35000000000025</v>
      </c>
      <c r="K53" s="1">
        <f t="shared" si="4"/>
        <v>0.94181655609968939</v>
      </c>
      <c r="L53" s="1">
        <f t="shared" si="5"/>
        <v>297.94366752213699</v>
      </c>
      <c r="M53" s="1">
        <f t="shared" si="6"/>
        <v>2706.2785574936961</v>
      </c>
      <c r="N53" s="1">
        <f>$L53*'TABELA AUXILIAR'!$I$3*(B53-A53)</f>
        <v>672.1609139299386</v>
      </c>
      <c r="O53" s="1">
        <f>$L53*'TABELA AUXILIAR'!$I$4*(B53-A53)</f>
        <v>729.36609809418871</v>
      </c>
      <c r="P53" s="1">
        <f>$L53*'TABELA AUXILIAR'!$I$5*(B53-A53)</f>
        <v>841.98880441755614</v>
      </c>
      <c r="Q53" s="1">
        <f>$M53*'TABELA AUXILIAR'!$J$3+SUM(N$2:N53)</f>
        <v>22660.726249152547</v>
      </c>
      <c r="R53" s="1">
        <f>$M53*'TABELA AUXILIAR'!$J$4+SUM(O$2:O53)</f>
        <v>24843.228237134623</v>
      </c>
      <c r="S53" s="1">
        <f>$M53*'TABELA AUXILIAR'!$J$5+SUM(P$2:P53)</f>
        <v>29318.47426835907</v>
      </c>
      <c r="T53" s="2">
        <f t="shared" si="7"/>
        <v>11330</v>
      </c>
      <c r="U53" s="2">
        <f t="shared" si="7"/>
        <v>12421</v>
      </c>
      <c r="V53" s="2">
        <f t="shared" si="7"/>
        <v>14659</v>
      </c>
    </row>
    <row r="54" spans="1:22" x14ac:dyDescent="0.25">
      <c r="A54" s="1">
        <v>31.2</v>
      </c>
      <c r="B54" s="1">
        <v>31.8</v>
      </c>
      <c r="C54" s="1">
        <v>50</v>
      </c>
      <c r="D54" s="1" t="s">
        <v>18</v>
      </c>
      <c r="E54" s="1" t="s">
        <v>8</v>
      </c>
      <c r="F54" s="1" cm="1">
        <f t="array" ref="F54">_xlfn.XLOOKUP(D54,'TABELA AUXILIAR'!$A$2:$A$5,IF('SPT-06'!A54&lt;3,'TABELA AUXILIAR'!$B$2:$B$5,'TABELA AUXILIAR'!$C$2:$C$5),"",0,1)</f>
        <v>8.5</v>
      </c>
      <c r="G54" s="6">
        <f t="shared" si="1"/>
        <v>89.06806075797644</v>
      </c>
      <c r="H54" s="2">
        <f t="shared" si="2"/>
        <v>43.13052403989137</v>
      </c>
      <c r="I54" s="2">
        <f t="shared" si="3"/>
        <v>1727.7659093349209</v>
      </c>
      <c r="J54" s="1">
        <f t="shared" si="8"/>
        <v>321.45000000000027</v>
      </c>
      <c r="K54" s="1">
        <f t="shared" si="4"/>
        <v>0.9356582595893107</v>
      </c>
      <c r="L54" s="1">
        <f t="shared" si="5"/>
        <v>300.7673475449842</v>
      </c>
      <c r="M54" s="1">
        <f t="shared" si="6"/>
        <v>2732.3721576878725</v>
      </c>
      <c r="N54" s="1">
        <f>$L54*'TABELA AUXILIAR'!$I$3*(B54-A54)</f>
        <v>678.53113606148588</v>
      </c>
      <c r="O54" s="1">
        <f>$L54*'TABELA AUXILIAR'!$I$4*(B54-A54)</f>
        <v>736.27846679012316</v>
      </c>
      <c r="P54" s="1">
        <f>$L54*'TABELA AUXILIAR'!$I$5*(B54-A54)</f>
        <v>849.96852416212744</v>
      </c>
      <c r="Q54" s="1">
        <f>$M54*'TABELA AUXILIAR'!$J$3+SUM(N$2:N54)</f>
        <v>23368.743153433454</v>
      </c>
      <c r="R54" s="1">
        <f>$M54*'TABELA AUXILIAR'!$J$4+SUM(O$2:O54)</f>
        <v>25613.950256181059</v>
      </c>
      <c r="S54" s="1">
        <f>$M54*'TABELA AUXILIAR'!$J$5+SUM(P$2:P54)</f>
        <v>30214.367528862946</v>
      </c>
      <c r="T54" s="2">
        <f t="shared" si="7"/>
        <v>11684</v>
      </c>
      <c r="U54" s="2">
        <f t="shared" si="7"/>
        <v>12806</v>
      </c>
      <c r="V54" s="2">
        <f t="shared" si="7"/>
        <v>15107</v>
      </c>
    </row>
    <row r="55" spans="1:22" x14ac:dyDescent="0.25">
      <c r="A55" s="1">
        <v>31.8</v>
      </c>
      <c r="B55" s="1">
        <v>32.4</v>
      </c>
      <c r="C55" s="1">
        <v>50</v>
      </c>
      <c r="D55" s="1" t="s">
        <v>18</v>
      </c>
      <c r="E55" s="1" t="s">
        <v>8</v>
      </c>
      <c r="F55" s="1" cm="1">
        <f t="array" ref="F55">_xlfn.XLOOKUP(D55,'TABELA AUXILIAR'!$A$2:$A$5,IF('SPT-06'!A55&lt;3,'TABELA AUXILIAR'!$B$2:$B$5,'TABELA AUXILIAR'!$C$2:$C$5),"",0,1)</f>
        <v>8.5</v>
      </c>
      <c r="G55" s="6">
        <f t="shared" si="1"/>
        <v>89.771839783775604</v>
      </c>
      <c r="H55" s="2">
        <f t="shared" si="2"/>
        <v>43.13052403989137</v>
      </c>
      <c r="I55" s="2">
        <f t="shared" si="3"/>
        <v>1738.6789806749848</v>
      </c>
      <c r="J55" s="1">
        <f t="shared" si="8"/>
        <v>326.5500000000003</v>
      </c>
      <c r="K55" s="1">
        <f t="shared" si="4"/>
        <v>0.92963622632165632</v>
      </c>
      <c r="L55" s="1">
        <f t="shared" si="5"/>
        <v>303.57270970533716</v>
      </c>
      <c r="M55" s="1">
        <f t="shared" si="6"/>
        <v>2758.3006776018842</v>
      </c>
      <c r="N55" s="1">
        <f>$L55*'TABELA AUXILIAR'!$I$3*(B55-A55)</f>
        <v>684.86003309523824</v>
      </c>
      <c r="O55" s="1">
        <f>$L55*'TABELA AUXILIAR'!$I$4*(B55-A55)</f>
        <v>743.14599335866274</v>
      </c>
      <c r="P55" s="1">
        <f>$L55*'TABELA AUXILIAR'!$I$5*(B55-A55)</f>
        <v>857.89647762727975</v>
      </c>
      <c r="Q55" s="1">
        <f>$M55*'TABELA AUXILIAR'!$J$3+SUM(N$2:N55)</f>
        <v>24082.902414031527</v>
      </c>
      <c r="R55" s="1">
        <f>$M55*'TABELA AUXILIAR'!$J$4+SUM(O$2:O55)</f>
        <v>26391.321895826215</v>
      </c>
      <c r="S55" s="1">
        <f>$M55*'TABELA AUXILIAR'!$J$5+SUM(P$2:P55)</f>
        <v>31117.898201538886</v>
      </c>
      <c r="T55" s="2">
        <f t="shared" si="7"/>
        <v>12041</v>
      </c>
      <c r="U55" s="2">
        <f t="shared" si="7"/>
        <v>13195</v>
      </c>
      <c r="V55" s="2">
        <f t="shared" si="7"/>
        <v>15558</v>
      </c>
    </row>
    <row r="56" spans="1:22" x14ac:dyDescent="0.25">
      <c r="A56" s="1">
        <v>32.4</v>
      </c>
      <c r="B56" s="1">
        <v>33</v>
      </c>
      <c r="C56" s="1">
        <v>50</v>
      </c>
      <c r="D56" s="1" t="s">
        <v>18</v>
      </c>
      <c r="E56" s="1" t="s">
        <v>8</v>
      </c>
      <c r="F56" s="1" cm="1">
        <f t="array" ref="F56">_xlfn.XLOOKUP(D56,'TABELA AUXILIAR'!$A$2:$A$5,IF('SPT-06'!A56&lt;3,'TABELA AUXILIAR'!$B$2:$B$5,'TABELA AUXILIAR'!$C$2:$C$5),"",0,1)</f>
        <v>8.5</v>
      </c>
      <c r="G56" s="6">
        <f t="shared" si="1"/>
        <v>90.470144186583312</v>
      </c>
      <c r="H56" s="2">
        <f t="shared" si="2"/>
        <v>43.13052403989137</v>
      </c>
      <c r="I56" s="2">
        <f t="shared" si="3"/>
        <v>1749.4902612571705</v>
      </c>
      <c r="J56" s="1">
        <f t="shared" si="8"/>
        <v>331.65000000000032</v>
      </c>
      <c r="K56" s="1">
        <f t="shared" si="4"/>
        <v>0.92374538273201046</v>
      </c>
      <c r="L56" s="1">
        <f t="shared" si="5"/>
        <v>306.36015618307158</v>
      </c>
      <c r="M56" s="1">
        <f t="shared" si="6"/>
        <v>2784.0677157510313</v>
      </c>
      <c r="N56" s="1">
        <f>$L56*'TABELA AUXILIAR'!$I$3*(B56-A56)</f>
        <v>691.14851234901107</v>
      </c>
      <c r="O56" s="1">
        <f>$L56*'TABELA AUXILIAR'!$I$4*(B56-A56)</f>
        <v>749.96966233616104</v>
      </c>
      <c r="P56" s="1">
        <f>$L56*'TABELA AUXILIAR'!$I$5*(B56-A56)</f>
        <v>865.77380137336229</v>
      </c>
      <c r="Q56" s="1">
        <f>$M56*'TABELA AUXILIAR'!$J$3+SUM(N$2:N56)</f>
        <v>24803.16767948907</v>
      </c>
      <c r="R56" s="1">
        <f>$M56*'TABELA AUXILIAR'!$J$4+SUM(O$2:O56)</f>
        <v>27175.304048519251</v>
      </c>
      <c r="S56" s="1">
        <f>$M56*'TABELA AUXILIAR'!$J$5+SUM(P$2:P56)</f>
        <v>32029.021990054749</v>
      </c>
      <c r="T56" s="2">
        <f t="shared" si="7"/>
        <v>12401</v>
      </c>
      <c r="U56" s="2">
        <f t="shared" si="7"/>
        <v>13587</v>
      </c>
      <c r="V56" s="2">
        <f t="shared" si="7"/>
        <v>16014</v>
      </c>
    </row>
    <row r="57" spans="1:22" x14ac:dyDescent="0.25">
      <c r="A57" s="1">
        <v>33</v>
      </c>
      <c r="B57" s="1">
        <v>33.6</v>
      </c>
      <c r="C57" s="1">
        <v>24</v>
      </c>
      <c r="D57" s="1" t="s">
        <v>18</v>
      </c>
      <c r="E57" s="1" t="s">
        <v>8</v>
      </c>
      <c r="F57" s="1" cm="1">
        <f t="array" ref="F57">_xlfn.XLOOKUP(D57,'TABELA AUXILIAR'!$A$2:$A$5,IF('SPT-06'!A57&lt;3,'TABELA AUXILIAR'!$B$2:$B$5,'TABELA AUXILIAR'!$C$2:$C$5),"",0,1)</f>
        <v>8.5</v>
      </c>
      <c r="G57" s="6">
        <f t="shared" si="1"/>
        <v>43.758287890767562</v>
      </c>
      <c r="H57" s="2">
        <f t="shared" si="2"/>
        <v>40.197943423746771</v>
      </c>
      <c r="I57" s="2">
        <f t="shared" si="3"/>
        <v>978.48812698548579</v>
      </c>
      <c r="J57" s="1">
        <f t="shared" si="8"/>
        <v>336.75000000000034</v>
      </c>
      <c r="K57" s="1">
        <f t="shared" si="4"/>
        <v>0.59642339488624074</v>
      </c>
      <c r="L57" s="1">
        <f t="shared" si="5"/>
        <v>200.84557822794179</v>
      </c>
      <c r="M57" s="1">
        <f t="shared" si="6"/>
        <v>1561.8860491846985</v>
      </c>
      <c r="N57" s="1">
        <f>$L57*'TABELA AUXILIAR'!$I$3*(B57-A57)</f>
        <v>453.10762448223767</v>
      </c>
      <c r="O57" s="1">
        <f>$L57*'TABELA AUXILIAR'!$I$4*(B57-A57)</f>
        <v>491.66997550200267</v>
      </c>
      <c r="P57" s="1">
        <f>$L57*'TABELA AUXILIAR'!$I$5*(B57-A57)</f>
        <v>567.58960407216478</v>
      </c>
      <c r="Q57" s="1">
        <f>$M57*'TABELA AUXILIAR'!$J$3+SUM(N$2:N57)</f>
        <v>23875.21002075135</v>
      </c>
      <c r="R57" s="1">
        <f>$M57*'TABELA AUXILIAR'!$J$4+SUM(O$2:O57)</f>
        <v>26053.694224153693</v>
      </c>
      <c r="S57" s="1">
        <f>$M57*'TABELA AUXILIAR'!$J$5+SUM(P$2:P57)</f>
        <v>30445.571860970165</v>
      </c>
      <c r="T57" s="2">
        <f t="shared" si="7"/>
        <v>11937</v>
      </c>
      <c r="U57" s="2">
        <f t="shared" si="7"/>
        <v>13026</v>
      </c>
      <c r="V57" s="2">
        <f t="shared" si="7"/>
        <v>15222</v>
      </c>
    </row>
    <row r="58" spans="1:22" x14ac:dyDescent="0.25">
      <c r="A58" s="1">
        <v>33.6</v>
      </c>
      <c r="B58" s="1">
        <v>34.200000000000003</v>
      </c>
      <c r="C58" s="1">
        <v>37</v>
      </c>
      <c r="D58" s="1" t="s">
        <v>19</v>
      </c>
      <c r="E58" s="1" t="s">
        <v>10</v>
      </c>
      <c r="F58" s="1" cm="1">
        <f t="array" ref="F58">_xlfn.XLOOKUP(D58,'TABELA AUXILIAR'!$A$2:$A$5,IF('SPT-06'!A58&lt;3,'TABELA AUXILIAR'!$B$2:$B$5,'TABELA AUXILIAR'!$C$2:$C$5),"",0,1)</f>
        <v>10.5</v>
      </c>
      <c r="G58" s="6">
        <f t="shared" si="1"/>
        <v>68.029234903675587</v>
      </c>
      <c r="H58" s="2">
        <f t="shared" si="2"/>
        <v>41.927455861416355</v>
      </c>
      <c r="I58" s="2">
        <f t="shared" si="3"/>
        <v>1033.7042243613505</v>
      </c>
      <c r="J58" s="1">
        <f t="shared" si="8"/>
        <v>342.45000000000039</v>
      </c>
      <c r="K58" s="1">
        <f t="shared" si="4"/>
        <v>0.62347440729413584</v>
      </c>
      <c r="L58" s="1">
        <f t="shared" si="5"/>
        <v>213.50881077787704</v>
      </c>
      <c r="M58" s="1">
        <f t="shared" si="6"/>
        <v>2230.5680200295556</v>
      </c>
      <c r="N58" s="1">
        <f>$L58*'TABELA AUXILIAR'!$I$3*(B58-A58)</f>
        <v>481.67587711489176</v>
      </c>
      <c r="O58" s="1">
        <f>$L58*'TABELA AUXILIAR'!$I$4*(B58-A58)</f>
        <v>522.66956878424423</v>
      </c>
      <c r="P58" s="1">
        <f>$L58*'TABELA AUXILIAR'!$I$5*(B58-A58)</f>
        <v>603.37589925828195</v>
      </c>
      <c r="Q58" s="1">
        <f>$M58*'TABELA AUXILIAR'!$J$3+SUM(N$2:N58)</f>
        <v>25112.496524920934</v>
      </c>
      <c r="R58" s="1">
        <f>$M58*'TABELA AUXILIAR'!$J$4+SUM(O$2:O58)</f>
        <v>27459.023994453146</v>
      </c>
      <c r="S58" s="1">
        <f>$M58*'TABELA AUXILIAR'!$J$5+SUM(P$2:P58)</f>
        <v>32225.828028915395</v>
      </c>
      <c r="T58" s="2">
        <f t="shared" si="7"/>
        <v>12556</v>
      </c>
      <c r="U58" s="2">
        <f t="shared" si="7"/>
        <v>13729</v>
      </c>
      <c r="V58" s="2">
        <f t="shared" si="7"/>
        <v>16112</v>
      </c>
    </row>
    <row r="59" spans="1:22" x14ac:dyDescent="0.25">
      <c r="A59" s="1">
        <v>34.200000000000003</v>
      </c>
      <c r="B59" s="1">
        <v>34.799999999999997</v>
      </c>
      <c r="C59" s="1">
        <v>50</v>
      </c>
      <c r="D59" s="1" t="s">
        <v>19</v>
      </c>
      <c r="E59" s="1" t="s">
        <v>10</v>
      </c>
      <c r="F59" s="1" cm="1">
        <f t="array" ref="F59">_xlfn.XLOOKUP(D59,'TABELA AUXILIAR'!$A$2:$A$5,IF('SPT-06'!A59&lt;3,'TABELA AUXILIAR'!$B$2:$B$5,'TABELA AUXILIAR'!$C$2:$C$5),"",0,1)</f>
        <v>10.5</v>
      </c>
      <c r="G59" s="6">
        <f t="shared" si="1"/>
        <v>92.773168585948454</v>
      </c>
      <c r="H59" s="2">
        <f t="shared" si="2"/>
        <v>43.13052403989137</v>
      </c>
      <c r="I59" s="2">
        <f t="shared" si="3"/>
        <v>1409.6882966634867</v>
      </c>
      <c r="J59" s="1">
        <f t="shared" si="8"/>
        <v>348.7500000000004</v>
      </c>
      <c r="K59" s="1">
        <f t="shared" si="4"/>
        <v>0.77002600379825148</v>
      </c>
      <c r="L59" s="1">
        <f t="shared" si="5"/>
        <v>268.54656882464053</v>
      </c>
      <c r="M59" s="1">
        <f t="shared" si="6"/>
        <v>2869.3288368329677</v>
      </c>
      <c r="N59" s="1">
        <f>$L59*'TABELA AUXILIAR'!$I$3*(B59-A59)</f>
        <v>605.84105926838322</v>
      </c>
      <c r="O59" s="1">
        <f>$L59*'TABELA AUXILIAR'!$I$4*(B59-A59)</f>
        <v>657.40200048271379</v>
      </c>
      <c r="P59" s="1">
        <f>$L59*'TABELA AUXILIAR'!$I$5*(B59-A59)</f>
        <v>758.91260349842696</v>
      </c>
      <c r="Q59" s="1">
        <f>$M59*'TABELA AUXILIAR'!$J$3+SUM(N$2:N59)</f>
        <v>26440.13730717717</v>
      </c>
      <c r="R59" s="1">
        <f>$M59*'TABELA AUXILIAR'!$J$4+SUM(O$2:O59)</f>
        <v>28959.590273116366</v>
      </c>
      <c r="S59" s="1">
        <f>$M59*'TABELA AUXILIAR'!$J$5+SUM(P$2:P59)</f>
        <v>34108.959669987824</v>
      </c>
      <c r="T59" s="2">
        <f t="shared" si="7"/>
        <v>13220</v>
      </c>
      <c r="U59" s="2">
        <f t="shared" si="7"/>
        <v>14479</v>
      </c>
      <c r="V59" s="2">
        <f t="shared" si="7"/>
        <v>17054</v>
      </c>
    </row>
    <row r="60" spans="1:22" x14ac:dyDescent="0.25">
      <c r="A60" s="1">
        <v>34.799999999999997</v>
      </c>
      <c r="B60" s="1">
        <v>35.4</v>
      </c>
      <c r="C60" s="1">
        <v>50</v>
      </c>
      <c r="D60" s="1" t="s">
        <v>19</v>
      </c>
      <c r="E60" s="1" t="s">
        <v>10</v>
      </c>
      <c r="F60" s="1" cm="1">
        <f t="array" ref="F60">_xlfn.XLOOKUP(D60,'TABELA AUXILIAR'!$A$2:$A$5,IF('SPT-06'!A60&lt;3,'TABELA AUXILIAR'!$B$2:$B$5,'TABELA AUXILIAR'!$C$2:$C$5),"",0,1)</f>
        <v>10.5</v>
      </c>
      <c r="G60" s="6">
        <f t="shared" si="1"/>
        <v>93.607369289975992</v>
      </c>
      <c r="H60" s="2">
        <f t="shared" si="2"/>
        <v>43.13052403989137</v>
      </c>
      <c r="I60" s="2">
        <f t="shared" si="3"/>
        <v>1422.363976361185</v>
      </c>
      <c r="J60" s="1">
        <f t="shared" si="8"/>
        <v>355.05000000000041</v>
      </c>
      <c r="K60" s="1">
        <f t="shared" si="4"/>
        <v>0.76532790765030678</v>
      </c>
      <c r="L60" s="1">
        <f t="shared" si="5"/>
        <v>271.72967361124171</v>
      </c>
      <c r="M60" s="1">
        <f t="shared" si="6"/>
        <v>2900.3172354866356</v>
      </c>
      <c r="N60" s="1">
        <f>$L60*'TABELA AUXILIAR'!$I$3*(B60-A60)</f>
        <v>613.02214366696273</v>
      </c>
      <c r="O60" s="1">
        <f>$L60*'TABELA AUXILIAR'!$I$4*(B60-A60)</f>
        <v>665.19424100032131</v>
      </c>
      <c r="P60" s="1">
        <f>$L60*'TABELA AUXILIAR'!$I$5*(B60-A60)</f>
        <v>767.90805762537093</v>
      </c>
      <c r="Q60" s="1">
        <f>$M60*'TABELA AUXILIAR'!$J$3+SUM(N$2:N60)</f>
        <v>27088.176341322778</v>
      </c>
      <c r="R60" s="1">
        <f>$M60*'TABELA AUXILIAR'!$J$4+SUM(O$2:O60)</f>
        <v>29665.68920033953</v>
      </c>
      <c r="S60" s="1">
        <f>$M60*'TABELA AUXILIAR'!$J$5+SUM(P$2:P60)</f>
        <v>34931.407309243652</v>
      </c>
      <c r="T60" s="2">
        <f t="shared" si="7"/>
        <v>13544</v>
      </c>
      <c r="U60" s="2">
        <f t="shared" si="7"/>
        <v>14832</v>
      </c>
      <c r="V60" s="2">
        <f t="shared" si="7"/>
        <v>17465</v>
      </c>
    </row>
    <row r="61" spans="1:22" x14ac:dyDescent="0.25">
      <c r="A61" s="1">
        <v>35.4</v>
      </c>
      <c r="B61" s="1">
        <v>36</v>
      </c>
      <c r="C61" s="1">
        <v>27</v>
      </c>
      <c r="D61" s="1" t="s">
        <v>19</v>
      </c>
      <c r="E61" s="1" t="s">
        <v>10</v>
      </c>
      <c r="F61" s="1" cm="1">
        <f t="array" ref="F61">_xlfn.XLOOKUP(D61,'TABELA AUXILIAR'!$A$2:$A$5,IF('SPT-06'!A61&lt;3,'TABELA AUXILIAR'!$B$2:$B$5,'TABELA AUXILIAR'!$C$2:$C$5),"",0,1)</f>
        <v>10.5</v>
      </c>
      <c r="G61" s="6">
        <f t="shared" si="1"/>
        <v>50.994468662355686</v>
      </c>
      <c r="H61" s="2">
        <f t="shared" si="2"/>
        <v>40.668546630262682</v>
      </c>
      <c r="I61" s="2">
        <f t="shared" si="3"/>
        <v>774.86095132449452</v>
      </c>
      <c r="J61" s="1">
        <f t="shared" si="8"/>
        <v>361.35000000000048</v>
      </c>
      <c r="K61" s="1">
        <f t="shared" si="4"/>
        <v>0.49199416259157663</v>
      </c>
      <c r="L61" s="1">
        <f t="shared" si="5"/>
        <v>177.78209065246645</v>
      </c>
      <c r="M61" s="1">
        <f t="shared" si="6"/>
        <v>1790.3734813335132</v>
      </c>
      <c r="N61" s="1">
        <f>$L61*'TABELA AUXILIAR'!$I$3*(B61-A61)</f>
        <v>401.07639651196524</v>
      </c>
      <c r="O61" s="1">
        <f>$L61*'TABELA AUXILIAR'!$I$4*(B61-A61)</f>
        <v>435.21055791723893</v>
      </c>
      <c r="P61" s="1">
        <f>$L61*'TABELA AUXILIAR'!$I$5*(B61-A61)</f>
        <v>502.41218818387136</v>
      </c>
      <c r="Q61" s="1">
        <f>$M61*'TABELA AUXILIAR'!$J$3+SUM(N$2:N61)</f>
        <v>26235.016295641719</v>
      </c>
      <c r="R61" s="1">
        <f>$M61*'TABELA AUXILIAR'!$J$4+SUM(O$2:O61)</f>
        <v>28635.774002774644</v>
      </c>
      <c r="S61" s="1">
        <f>$M61*'TABELA AUXILIAR'!$J$5+SUM(P$2:P61)</f>
        <v>33480.318490118028</v>
      </c>
      <c r="T61" s="2">
        <f t="shared" si="7"/>
        <v>13117</v>
      </c>
      <c r="U61" s="2">
        <f t="shared" si="7"/>
        <v>14317</v>
      </c>
      <c r="V61" s="2">
        <f t="shared" si="7"/>
        <v>16740</v>
      </c>
    </row>
    <row r="62" spans="1:22" x14ac:dyDescent="0.25">
      <c r="A62" s="1">
        <v>36</v>
      </c>
      <c r="B62" s="1">
        <v>36.6</v>
      </c>
      <c r="C62" s="1">
        <v>50</v>
      </c>
      <c r="D62" s="1" t="s">
        <v>19</v>
      </c>
      <c r="E62" s="1" t="s">
        <v>10</v>
      </c>
      <c r="F62" s="1" cm="1">
        <f t="array" ref="F62">_xlfn.XLOOKUP(D62,'TABELA AUXILIAR'!$A$2:$A$5,IF('SPT-06'!A62&lt;3,'TABELA AUXILIAR'!$B$2:$B$5,'TABELA AUXILIAR'!$C$2:$C$5),"",0,1)</f>
        <v>10.5</v>
      </c>
      <c r="G62" s="6">
        <f t="shared" si="1"/>
        <v>95.253856285276981</v>
      </c>
      <c r="H62" s="2">
        <f t="shared" si="2"/>
        <v>43.13052403989137</v>
      </c>
      <c r="I62" s="2">
        <f t="shared" si="3"/>
        <v>1447.3823462547837</v>
      </c>
      <c r="J62" s="1">
        <f t="shared" si="8"/>
        <v>367.65000000000055</v>
      </c>
      <c r="K62" s="1">
        <f t="shared" si="4"/>
        <v>0.7562588960101233</v>
      </c>
      <c r="L62" s="1">
        <f t="shared" si="5"/>
        <v>278.03858311812223</v>
      </c>
      <c r="M62" s="1">
        <f t="shared" si="6"/>
        <v>2961.6418303132082</v>
      </c>
      <c r="N62" s="1">
        <f>$L62*'TABELA AUXILIAR'!$I$3*(B62-A62)</f>
        <v>627.25504351448524</v>
      </c>
      <c r="O62" s="1">
        <f>$L62*'TABELA AUXILIAR'!$I$4*(B62-A62)</f>
        <v>680.63845147316488</v>
      </c>
      <c r="P62" s="1">
        <f>$L62*'TABELA AUXILIAR'!$I$5*(B62-A62)</f>
        <v>785.73703589181525</v>
      </c>
      <c r="Q62" s="1">
        <f>$M62*'TABELA AUXILIAR'!$J$3+SUM(N$2:N62)</f>
        <v>28185.804573503257</v>
      </c>
      <c r="R62" s="1">
        <f>$M62*'TABELA AUXILIAR'!$J$4+SUM(O$2:O62)</f>
        <v>30862.486674901007</v>
      </c>
      <c r="S62" s="1">
        <f>$M62*'TABELA AUXILIAR'!$J$5+SUM(P$2:P62)</f>
        <v>36327.487820214104</v>
      </c>
      <c r="T62" s="2">
        <f t="shared" si="7"/>
        <v>14092</v>
      </c>
      <c r="U62" s="2">
        <f t="shared" si="7"/>
        <v>15431</v>
      </c>
      <c r="V62" s="2">
        <f t="shared" si="7"/>
        <v>18163</v>
      </c>
    </row>
    <row r="63" spans="1:22" x14ac:dyDescent="0.25">
      <c r="A63" s="1">
        <v>36.6</v>
      </c>
      <c r="B63" s="1">
        <v>37.200000000000003</v>
      </c>
      <c r="C63" s="1">
        <v>50</v>
      </c>
      <c r="D63" s="1" t="s">
        <v>19</v>
      </c>
      <c r="E63" s="1" t="s">
        <v>10</v>
      </c>
      <c r="F63" s="1" cm="1">
        <f t="array" ref="F63">_xlfn.XLOOKUP(D63,'TABELA AUXILIAR'!$A$2:$A$5,IF('SPT-06'!A63&lt;3,'TABELA AUXILIAR'!$B$2:$B$5,'TABELA AUXILIAR'!$C$2:$C$5),"",0,1)</f>
        <v>10.5</v>
      </c>
      <c r="G63" s="6">
        <f t="shared" si="1"/>
        <v>96.066518169075607</v>
      </c>
      <c r="H63" s="2">
        <f t="shared" si="2"/>
        <v>43.13052403989137</v>
      </c>
      <c r="I63" s="2">
        <f t="shared" si="3"/>
        <v>1459.7307435791038</v>
      </c>
      <c r="J63" s="1">
        <f t="shared" si="8"/>
        <v>373.95000000000061</v>
      </c>
      <c r="K63" s="1">
        <f t="shared" si="4"/>
        <v>0.75187930993244667</v>
      </c>
      <c r="L63" s="1">
        <f t="shared" si="5"/>
        <v>281.16526794923891</v>
      </c>
      <c r="M63" s="1">
        <f t="shared" si="6"/>
        <v>2991.9884713981255</v>
      </c>
      <c r="N63" s="1">
        <f>$L63*'TABELA AUXILIAR'!$I$3*(B63-A63)</f>
        <v>634.30884449348446</v>
      </c>
      <c r="O63" s="1">
        <f>$L63*'TABELA AUXILIAR'!$I$4*(B63-A63)</f>
        <v>688.29257593973853</v>
      </c>
      <c r="P63" s="1">
        <f>$L63*'TABELA AUXILIAR'!$I$5*(B63-A63)</f>
        <v>794.57304722455103</v>
      </c>
      <c r="Q63" s="1">
        <f>$M63*'TABELA AUXILIAR'!$J$3+SUM(N$2:N63)</f>
        <v>28854.405122422697</v>
      </c>
      <c r="R63" s="1">
        <f>$M63*'TABELA AUXILIAR'!$J$4+SUM(O$2:O63)</f>
        <v>31590.836817072839</v>
      </c>
      <c r="S63" s="1">
        <f>$M63*'TABELA AUXILIAR'!$J$5+SUM(P$2:P63)</f>
        <v>37175.470955748111</v>
      </c>
      <c r="T63" s="2">
        <f t="shared" si="7"/>
        <v>14427</v>
      </c>
      <c r="U63" s="2">
        <f t="shared" si="7"/>
        <v>15795</v>
      </c>
      <c r="V63" s="2">
        <f t="shared" si="7"/>
        <v>18587</v>
      </c>
    </row>
    <row r="64" spans="1:22" x14ac:dyDescent="0.25">
      <c r="A64" s="1">
        <v>37.200000000000003</v>
      </c>
      <c r="B64" s="1">
        <v>37.799999999999997</v>
      </c>
      <c r="C64" s="1">
        <v>29</v>
      </c>
      <c r="D64" s="1" t="s">
        <v>18</v>
      </c>
      <c r="E64" s="1" t="s">
        <v>8</v>
      </c>
      <c r="F64" s="1" cm="1">
        <f t="array" ref="F64">_xlfn.XLOOKUP(D64,'TABELA AUXILIAR'!$A$2:$A$5,IF('SPT-06'!A64&lt;3,'TABELA AUXILIAR'!$B$2:$B$5,'TABELA AUXILIAR'!$C$2:$C$5),"",0,1)</f>
        <v>8.5</v>
      </c>
      <c r="G64" s="6">
        <f t="shared" si="1"/>
        <v>56.141624785569547</v>
      </c>
      <c r="H64" s="2">
        <f t="shared" si="2"/>
        <v>40.954061580670398</v>
      </c>
      <c r="I64" s="2">
        <f t="shared" si="3"/>
        <v>1194.3600963629442</v>
      </c>
      <c r="J64" s="1">
        <f t="shared" si="8"/>
        <v>379.6500000000006</v>
      </c>
      <c r="K64" s="1">
        <f t="shared" si="4"/>
        <v>0.63381222422505901</v>
      </c>
      <c r="L64" s="1">
        <f t="shared" si="5"/>
        <v>240.62681092704403</v>
      </c>
      <c r="M64" s="1">
        <f t="shared" si="6"/>
        <v>1952.7391374947397</v>
      </c>
      <c r="N64" s="1">
        <f>$L64*'TABELA AUXILIAR'!$I$3*(B64-A64)</f>
        <v>542.85408545140615</v>
      </c>
      <c r="O64" s="1">
        <f>$L64*'TABELA AUXILIAR'!$I$4*(B64-A64)</f>
        <v>589.05443314939828</v>
      </c>
      <c r="P64" s="1">
        <f>$L64*'TABELA AUXILIAR'!$I$5*(B64-A64)</f>
        <v>680.01136767982007</v>
      </c>
      <c r="Q64" s="1">
        <f>$M64*'TABELA AUXILIAR'!$J$3+SUM(N$2:N64)</f>
        <v>28222.907460563278</v>
      </c>
      <c r="R64" s="1">
        <f>$M64*'TABELA AUXILIAR'!$J$4+SUM(O$2:O64)</f>
        <v>30808.082129469767</v>
      </c>
      <c r="S64" s="1">
        <f>$M64*'TABELA AUXILIAR'!$J$5+SUM(P$2:P64)</f>
        <v>36026.403495757979</v>
      </c>
      <c r="T64" s="2">
        <f t="shared" si="7"/>
        <v>14111</v>
      </c>
      <c r="U64" s="2">
        <f t="shared" si="7"/>
        <v>15404</v>
      </c>
      <c r="V64" s="2">
        <f t="shared" si="7"/>
        <v>18013</v>
      </c>
    </row>
    <row r="65" spans="1:22" x14ac:dyDescent="0.25">
      <c r="A65" s="1">
        <v>37.799999999999997</v>
      </c>
      <c r="B65" s="1">
        <v>38.4</v>
      </c>
      <c r="C65" s="1">
        <v>50</v>
      </c>
      <c r="D65" s="1" t="s">
        <v>18</v>
      </c>
      <c r="E65" s="1" t="s">
        <v>8</v>
      </c>
      <c r="F65" s="1" cm="1">
        <f t="array" ref="F65">_xlfn.XLOOKUP(D65,'TABELA AUXILIAR'!$A$2:$A$5,IF('SPT-06'!A65&lt;3,'TABELA AUXILIAR'!$B$2:$B$5,'TABELA AUXILIAR'!$C$2:$C$5),"",0,1)</f>
        <v>8.5</v>
      </c>
      <c r="G65" s="6">
        <f t="shared" si="1"/>
        <v>97.443886198939325</v>
      </c>
      <c r="H65" s="2">
        <f t="shared" si="2"/>
        <v>43.13052403989137</v>
      </c>
      <c r="I65" s="2">
        <f t="shared" si="3"/>
        <v>1856.5685103612545</v>
      </c>
      <c r="J65" s="1">
        <f t="shared" si="8"/>
        <v>384.75000000000057</v>
      </c>
      <c r="K65" s="1">
        <f t="shared" si="4"/>
        <v>0.86915072878936628</v>
      </c>
      <c r="L65" s="1">
        <f t="shared" si="5"/>
        <v>334.40574290170917</v>
      </c>
      <c r="M65" s="1">
        <f t="shared" si="6"/>
        <v>3043.5396949840897</v>
      </c>
      <c r="N65" s="1">
        <f>$L65*'TABELA AUXILIAR'!$I$3*(B65-A65)</f>
        <v>754.41935598625764</v>
      </c>
      <c r="O65" s="1">
        <f>$L65*'TABELA AUXILIAR'!$I$4*(B65-A65)</f>
        <v>818.625258623386</v>
      </c>
      <c r="P65" s="1">
        <f>$L65*'TABELA AUXILIAR'!$I$5*(B65-A65)</f>
        <v>945.03062944023236</v>
      </c>
      <c r="Q65" s="1">
        <f>$M65*'TABELA AUXILIAR'!$J$3+SUM(N$2:N65)</f>
        <v>30209.931446512499</v>
      </c>
      <c r="R65" s="1">
        <f>$M65*'TABELA AUXILIAR'!$J$4+SUM(O$2:O65)</f>
        <v>33066.5641239791</v>
      </c>
      <c r="S65" s="1">
        <f>$M65*'TABELA AUXILIAR'!$J$5+SUM(P$2:P65)</f>
        <v>38891.243106379465</v>
      </c>
      <c r="T65" s="2">
        <f t="shared" si="7"/>
        <v>15104</v>
      </c>
      <c r="U65" s="2">
        <f t="shared" si="7"/>
        <v>16533</v>
      </c>
      <c r="V65" s="2">
        <f t="shared" si="7"/>
        <v>19445</v>
      </c>
    </row>
    <row r="66" spans="1:22" x14ac:dyDescent="0.25">
      <c r="A66" s="1">
        <v>38.4</v>
      </c>
      <c r="B66" s="1">
        <v>39</v>
      </c>
      <c r="C66" s="1">
        <v>50</v>
      </c>
      <c r="D66" s="1" t="s">
        <v>18</v>
      </c>
      <c r="E66" s="1" t="s">
        <v>8</v>
      </c>
      <c r="F66" s="1" cm="1">
        <f t="array" ref="F66">_xlfn.XLOOKUP(D66,'TABELA AUXILIAR'!$A$2:$A$5,IF('SPT-06'!A66&lt;3,'TABELA AUXILIAR'!$B$2:$B$5,'TABELA AUXILIAR'!$C$2:$C$5),"",0,1)</f>
        <v>8.5</v>
      </c>
      <c r="G66" s="6">
        <f t="shared" si="1"/>
        <v>98.087587025724815</v>
      </c>
      <c r="H66" s="2">
        <f t="shared" si="2"/>
        <v>43.13052403989137</v>
      </c>
      <c r="I66" s="2">
        <f t="shared" si="3"/>
        <v>1866.3734338744107</v>
      </c>
      <c r="J66" s="1">
        <f t="shared" si="8"/>
        <v>389.85000000000059</v>
      </c>
      <c r="K66" s="1">
        <f t="shared" si="4"/>
        <v>0.86446858491124479</v>
      </c>
      <c r="L66" s="1">
        <f t="shared" si="5"/>
        <v>337.01307782764928</v>
      </c>
      <c r="M66" s="1">
        <f t="shared" si="6"/>
        <v>3067.6818468828365</v>
      </c>
      <c r="N66" s="1">
        <f>$L66*'TABELA AUXILIAR'!$I$3*(B66-A66)</f>
        <v>760.30150357917853</v>
      </c>
      <c r="O66" s="1">
        <f>$L66*'TABELA AUXILIAR'!$I$4*(B66-A66)</f>
        <v>825.00801452208736</v>
      </c>
      <c r="P66" s="1">
        <f>$L66*'TABELA AUXILIAR'!$I$5*(B66-A66)</f>
        <v>952.39895794093911</v>
      </c>
      <c r="Q66" s="1">
        <f>$M66*'TABELA AUXILIAR'!$J$3+SUM(N$2:N66)</f>
        <v>30997.513581737265</v>
      </c>
      <c r="R66" s="1">
        <f>$M66*'TABELA AUXILIAR'!$J$4+SUM(O$2:O66)</f>
        <v>33923.439779007531</v>
      </c>
      <c r="S66" s="1">
        <f>$M66*'TABELA AUXILIAR'!$J$5+SUM(P$2:P66)</f>
        <v>39886.132251662195</v>
      </c>
      <c r="T66" s="2">
        <f t="shared" si="7"/>
        <v>15498</v>
      </c>
      <c r="U66" s="2">
        <f t="shared" si="7"/>
        <v>16961</v>
      </c>
      <c r="V66" s="2">
        <f t="shared" si="7"/>
        <v>19943</v>
      </c>
    </row>
    <row r="67" spans="1:22" x14ac:dyDescent="0.25">
      <c r="A67" s="1">
        <v>39</v>
      </c>
      <c r="B67" s="1">
        <v>39.6</v>
      </c>
      <c r="C67" s="1">
        <v>50</v>
      </c>
      <c r="D67" s="1" t="s">
        <v>18</v>
      </c>
      <c r="E67" s="1" t="s">
        <v>8</v>
      </c>
      <c r="F67" s="1" cm="1">
        <f t="array" ref="F67">_xlfn.XLOOKUP(D67,'TABELA AUXILIAR'!$A$2:$A$5,IF('SPT-06'!A67&lt;3,'TABELA AUXILIAR'!$B$2:$B$5,'TABELA AUXILIAR'!$C$2:$C$5),"",0,1)</f>
        <v>8.5</v>
      </c>
      <c r="G67" s="6">
        <f t="shared" ref="G67:G75" si="9">C67 / MIN(2, SQRT(101.3/J67))</f>
        <v>98.727091011061574</v>
      </c>
      <c r="H67" s="2">
        <f t="shared" ref="H67:H75" si="10">27.5+9.2*LOG10(C67)</f>
        <v>43.13052403989137</v>
      </c>
      <c r="I67" s="2">
        <f t="shared" ref="I67:I75" si="11">IF(D67="Areias",101.3*0.47*(G67)^0.8,101.3*0.15*(G67))</f>
        <v>1876.1016952670022</v>
      </c>
      <c r="J67" s="1">
        <f t="shared" si="8"/>
        <v>394.95000000000061</v>
      </c>
      <c r="K67" s="1">
        <f t="shared" ref="K67:K75" si="12">(1-SIN(RADIANS(H67)))*(I67/J67)^SIN(RADIANS(H67))*TAN(RADIANS(H67))</f>
        <v>0.85987203013879487</v>
      </c>
      <c r="L67" s="1">
        <f t="shared" ref="L67:L75" si="13">K67*J67</f>
        <v>339.60645830331754</v>
      </c>
      <c r="M67" s="1">
        <f t="shared" ref="M67:M75" si="14">0.59*(G67*101.3/J67)^0.8*J67</f>
        <v>3091.6979938203094</v>
      </c>
      <c r="N67" s="1">
        <f>$L67*'TABELA AUXILIAR'!$I$3*(B67-A67)</f>
        <v>766.15216993228614</v>
      </c>
      <c r="O67" s="1">
        <f>$L67*'TABELA AUXILIAR'!$I$4*(B67-A67)</f>
        <v>831.35660992652322</v>
      </c>
      <c r="P67" s="1">
        <f>$L67*'TABELA AUXILIAR'!$I$5*(B67-A67)</f>
        <v>959.72785116517764</v>
      </c>
      <c r="Q67" s="1">
        <f>$M67*'TABELA AUXILIAR'!$J$3+SUM(N$2:N67)</f>
        <v>31790.803997708896</v>
      </c>
      <c r="R67" s="1">
        <f>$M67*'TABELA AUXILIAR'!$J$4+SUM(O$2:O67)</f>
        <v>34786.497702891516</v>
      </c>
      <c r="S67" s="1">
        <f>$M67*'TABELA AUXILIAR'!$J$5+SUM(P$2:P67)</f>
        <v>40888.128521437327</v>
      </c>
      <c r="T67" s="2">
        <f t="shared" ref="T67:V75" si="15">ROUNDDOWN(Q67/2,0)</f>
        <v>15895</v>
      </c>
      <c r="U67" s="2">
        <f t="shared" si="15"/>
        <v>17393</v>
      </c>
      <c r="V67" s="2">
        <f t="shared" si="15"/>
        <v>20444</v>
      </c>
    </row>
    <row r="68" spans="1:22" x14ac:dyDescent="0.25">
      <c r="A68" s="1">
        <v>39.6</v>
      </c>
      <c r="B68" s="1">
        <v>40.200000000000003</v>
      </c>
      <c r="C68" s="1">
        <v>50</v>
      </c>
      <c r="D68" s="1" t="s">
        <v>18</v>
      </c>
      <c r="E68" s="1" t="s">
        <v>8</v>
      </c>
      <c r="F68" s="1" cm="1">
        <f t="array" ref="F68">_xlfn.XLOOKUP(D68,'TABELA AUXILIAR'!$A$2:$A$5,IF('SPT-06'!A68&lt;3,'TABELA AUXILIAR'!$B$2:$B$5,'TABELA AUXILIAR'!$C$2:$C$5),"",0,1)</f>
        <v>8.5</v>
      </c>
      <c r="G68" s="6">
        <f t="shared" si="9"/>
        <v>99.362479188493126</v>
      </c>
      <c r="H68" s="2">
        <f t="shared" si="10"/>
        <v>43.13052403989137</v>
      </c>
      <c r="I68" s="2">
        <f t="shared" si="11"/>
        <v>1885.7548724108799</v>
      </c>
      <c r="J68" s="1">
        <f t="shared" ref="J68:J75" si="16">J67+(B67-A67)/2*F67+(B68-A68)/2*F68</f>
        <v>400.05000000000064</v>
      </c>
      <c r="K68" s="1">
        <f t="shared" si="12"/>
        <v>0.8553584246480731</v>
      </c>
      <c r="L68" s="1">
        <f t="shared" si="13"/>
        <v>342.18613778046216</v>
      </c>
      <c r="M68" s="1">
        <f t="shared" si="14"/>
        <v>3115.590407998001</v>
      </c>
      <c r="N68" s="1">
        <f>$L68*'TABELA AUXILIAR'!$I$3*(B68-A68)</f>
        <v>771.97192683272442</v>
      </c>
      <c r="O68" s="1">
        <f>$L68*'TABELA AUXILIAR'!$I$4*(B68-A68)</f>
        <v>837.67166528657333</v>
      </c>
      <c r="P68" s="1">
        <f>$L68*'TABELA AUXILIAR'!$I$5*(B68-A68)</f>
        <v>967.01802536758839</v>
      </c>
      <c r="Q68" s="1">
        <f>$M68*'TABELA AUXILIAR'!$J$3+SUM(N$2:N68)</f>
        <v>32589.774352562414</v>
      </c>
      <c r="R68" s="1">
        <f>$M68*'TABELA AUXILIAR'!$J$4+SUM(O$2:O68)</f>
        <v>35655.707354892642</v>
      </c>
      <c r="S68" s="1">
        <f>$M68*'TABELA AUXILIAR'!$J$5+SUM(P$2:P68)</f>
        <v>41897.197195757646</v>
      </c>
      <c r="T68" s="2">
        <f t="shared" si="15"/>
        <v>16294</v>
      </c>
      <c r="U68" s="2">
        <f t="shared" si="15"/>
        <v>17827</v>
      </c>
      <c r="V68" s="2">
        <f t="shared" si="15"/>
        <v>20948</v>
      </c>
    </row>
    <row r="69" spans="1:22" x14ac:dyDescent="0.25">
      <c r="A69" s="1">
        <v>40.200000000000003</v>
      </c>
      <c r="B69" s="1">
        <v>40.799999999999997</v>
      </c>
      <c r="C69" s="1">
        <v>50</v>
      </c>
      <c r="D69" s="1" t="s">
        <v>18</v>
      </c>
      <c r="E69" s="1" t="s">
        <v>8</v>
      </c>
      <c r="F69" s="1" cm="1">
        <f t="array" ref="F69">_xlfn.XLOOKUP(D69,'TABELA AUXILIAR'!$A$2:$A$5,IF('SPT-06'!A69&lt;3,'TABELA AUXILIAR'!$B$2:$B$5,'TABELA AUXILIAR'!$C$2:$C$5),"",0,1)</f>
        <v>8.5</v>
      </c>
      <c r="G69" s="6">
        <f t="shared" si="9"/>
        <v>99.993830016961653</v>
      </c>
      <c r="H69" s="2">
        <f t="shared" si="10"/>
        <v>43.13052403989137</v>
      </c>
      <c r="I69" s="2">
        <f t="shared" si="11"/>
        <v>1895.334491073653</v>
      </c>
      <c r="J69" s="1">
        <f t="shared" si="16"/>
        <v>405.1500000000006</v>
      </c>
      <c r="K69" s="1">
        <f t="shared" si="12"/>
        <v>0.85092524236198996</v>
      </c>
      <c r="L69" s="1">
        <f t="shared" si="13"/>
        <v>344.75236194296076</v>
      </c>
      <c r="M69" s="1">
        <f t="shared" si="14"/>
        <v>3139.3612922683651</v>
      </c>
      <c r="N69" s="1">
        <f>$L69*'TABELA AUXILIAR'!$I$3*(B69-A69)</f>
        <v>777.76132854331206</v>
      </c>
      <c r="O69" s="1">
        <f>$L69*'TABELA AUXILIAR'!$I$4*(B69-A69)</f>
        <v>843.95378203635994</v>
      </c>
      <c r="P69" s="1">
        <f>$L69*'TABELA AUXILIAR'!$I$5*(B69-A69)</f>
        <v>974.27017485079784</v>
      </c>
      <c r="Q69" s="1">
        <f>$M69*'TABELA AUXILIAR'!$J$3+SUM(N$2:N69)</f>
        <v>33394.396780331233</v>
      </c>
      <c r="R69" s="1">
        <f>$M69*'TABELA AUXILIAR'!$J$4+SUM(O$2:O69)</f>
        <v>36531.038704165883</v>
      </c>
      <c r="S69" s="1">
        <f>$M69*'TABELA AUXILIAR'!$J$5+SUM(P$2:P69)</f>
        <v>42913.304126924282</v>
      </c>
      <c r="T69" s="2">
        <f t="shared" si="15"/>
        <v>16697</v>
      </c>
      <c r="U69" s="2">
        <f t="shared" si="15"/>
        <v>18265</v>
      </c>
      <c r="V69" s="2">
        <f t="shared" si="15"/>
        <v>21456</v>
      </c>
    </row>
    <row r="70" spans="1:22" x14ac:dyDescent="0.25">
      <c r="A70" s="1">
        <v>40.799999999999997</v>
      </c>
      <c r="B70" s="1">
        <v>41.4</v>
      </c>
      <c r="C70" s="1">
        <v>50</v>
      </c>
      <c r="D70" s="1" t="s">
        <v>18</v>
      </c>
      <c r="E70" s="1" t="s">
        <v>8</v>
      </c>
      <c r="F70" s="1" cm="1">
        <f t="array" ref="F70">_xlfn.XLOOKUP(D70,'TABELA AUXILIAR'!$A$2:$A$5,IF('SPT-06'!A70&lt;3,'TABELA AUXILIAR'!$B$2:$B$5,'TABELA AUXILIAR'!$C$2:$C$5),"",0,1)</f>
        <v>8.5</v>
      </c>
      <c r="G70" s="6">
        <f t="shared" si="9"/>
        <v>100.62121949389362</v>
      </c>
      <c r="H70" s="2">
        <f t="shared" si="10"/>
        <v>43.13052403989137</v>
      </c>
      <c r="I70" s="2">
        <f t="shared" si="11"/>
        <v>1904.8420272711919</v>
      </c>
      <c r="J70" s="1">
        <f t="shared" si="16"/>
        <v>410.25000000000057</v>
      </c>
      <c r="K70" s="1">
        <f t="shared" si="12"/>
        <v>0.84657006469091023</v>
      </c>
      <c r="L70" s="1">
        <f t="shared" si="13"/>
        <v>347.30536903944642</v>
      </c>
      <c r="M70" s="1">
        <f t="shared" si="14"/>
        <v>3163.012783095719</v>
      </c>
      <c r="N70" s="1">
        <f>$L70*'TABELA AUXILIAR'!$I$3*(B70-A70)</f>
        <v>783.52091255299297</v>
      </c>
      <c r="O70" s="1">
        <f>$L70*'TABELA AUXILIAR'!$I$4*(B70-A70)</f>
        <v>850.20354340856682</v>
      </c>
      <c r="P70" s="1">
        <f>$L70*'TABELA AUXILIAR'!$I$5*(B70-A70)</f>
        <v>981.48497290547789</v>
      </c>
      <c r="Q70" s="1">
        <f>$M70*'TABELA AUXILIAR'!$J$3+SUM(N$2:N70)</f>
        <v>34204.643877519142</v>
      </c>
      <c r="R70" s="1">
        <f>$M70*'TABELA AUXILIAR'!$J$4+SUM(O$2:O70)</f>
        <v>37412.462215466563</v>
      </c>
      <c r="S70" s="1">
        <f>$M70*'TABELA AUXILIAR'!$J$5+SUM(P$2:P70)</f>
        <v>43936.415723685903</v>
      </c>
      <c r="T70" s="2">
        <f t="shared" si="15"/>
        <v>17102</v>
      </c>
      <c r="U70" s="2">
        <f t="shared" si="15"/>
        <v>18706</v>
      </c>
      <c r="V70" s="2">
        <f t="shared" si="15"/>
        <v>21968</v>
      </c>
    </row>
    <row r="71" spans="1:22" x14ac:dyDescent="0.25">
      <c r="A71" s="1">
        <v>41.4</v>
      </c>
      <c r="B71" s="1">
        <v>42</v>
      </c>
      <c r="C71" s="1">
        <v>50</v>
      </c>
      <c r="D71" s="1" t="s">
        <v>18</v>
      </c>
      <c r="E71" s="1" t="s">
        <v>8</v>
      </c>
      <c r="F71" s="1" cm="1">
        <f t="array" ref="F71">_xlfn.XLOOKUP(D71,'TABELA AUXILIAR'!$A$2:$A$5,IF('SPT-06'!A71&lt;3,'TABELA AUXILIAR'!$B$2:$B$5,'TABELA AUXILIAR'!$C$2:$C$5),"",0,1)</f>
        <v>8.5</v>
      </c>
      <c r="G71" s="6">
        <f t="shared" si="9"/>
        <v>101.24472126197796</v>
      </c>
      <c r="H71" s="2">
        <f t="shared" si="10"/>
        <v>43.13052403989137</v>
      </c>
      <c r="I71" s="2">
        <f t="shared" si="11"/>
        <v>1914.2789094860907</v>
      </c>
      <c r="J71" s="1">
        <f t="shared" si="16"/>
        <v>415.35000000000059</v>
      </c>
      <c r="K71" s="1">
        <f t="shared" si="12"/>
        <v>0.84229057469060309</v>
      </c>
      <c r="L71" s="1">
        <f t="shared" si="13"/>
        <v>349.84539019774252</v>
      </c>
      <c r="M71" s="1">
        <f t="shared" si="14"/>
        <v>3186.546953355557</v>
      </c>
      <c r="N71" s="1">
        <f>$L71*'TABELA AUXILIAR'!$I$3*(B71-A71)</f>
        <v>789.251200286109</v>
      </c>
      <c r="O71" s="1">
        <f>$L71*'TABELA AUXILIAR'!$I$4*(B71-A71)</f>
        <v>856.42151520407572</v>
      </c>
      <c r="P71" s="1">
        <f>$L71*'TABELA AUXILIAR'!$I$5*(B71-A71)</f>
        <v>988.6630726988227</v>
      </c>
      <c r="Q71" s="1">
        <f>$M71*'TABELA AUXILIAR'!$J$3+SUM(N$2:N71)</f>
        <v>35020.488690198865</v>
      </c>
      <c r="R71" s="1">
        <f>$M71*'TABELA AUXILIAR'!$J$4+SUM(O$2:O71)</f>
        <v>38299.948835413627</v>
      </c>
      <c r="S71" s="1">
        <f>$M71*'TABELA AUXILIAR'!$J$5+SUM(P$2:P71)</f>
        <v>44966.498936042044</v>
      </c>
      <c r="T71" s="2">
        <f t="shared" si="15"/>
        <v>17510</v>
      </c>
      <c r="U71" s="2">
        <f t="shared" si="15"/>
        <v>19149</v>
      </c>
      <c r="V71" s="2">
        <f t="shared" si="15"/>
        <v>22483</v>
      </c>
    </row>
    <row r="72" spans="1:22" x14ac:dyDescent="0.25">
      <c r="A72" s="1">
        <v>42</v>
      </c>
      <c r="B72" s="1">
        <v>42.6</v>
      </c>
      <c r="C72" s="1">
        <v>50</v>
      </c>
      <c r="D72" s="1" t="s">
        <v>18</v>
      </c>
      <c r="E72" s="1" t="s">
        <v>3</v>
      </c>
      <c r="F72" s="1" cm="1">
        <f t="array" ref="F72">_xlfn.XLOOKUP(D72,'TABELA AUXILIAR'!$A$2:$A$5,IF('SPT-06'!A72&lt;3,'TABELA AUXILIAR'!$B$2:$B$5,'TABELA AUXILIAR'!$C$2:$C$5),"",0,1)</f>
        <v>8.5</v>
      </c>
      <c r="G72" s="6">
        <f t="shared" si="9"/>
        <v>101.86440671006191</v>
      </c>
      <c r="H72" s="2">
        <f t="shared" si="10"/>
        <v>43.13052403989137</v>
      </c>
      <c r="I72" s="2">
        <f t="shared" si="11"/>
        <v>1923.6465207612755</v>
      </c>
      <c r="J72" s="1">
        <f t="shared" si="16"/>
        <v>420.45000000000061</v>
      </c>
      <c r="K72" s="1">
        <f t="shared" si="12"/>
        <v>0.83808455160497186</v>
      </c>
      <c r="L72" s="1">
        <f t="shared" si="13"/>
        <v>352.37264972231094</v>
      </c>
      <c r="M72" s="1">
        <f t="shared" si="14"/>
        <v>3209.9658149829893</v>
      </c>
      <c r="N72" s="1">
        <f>$L72*'TABELA AUXILIAR'!$I$3*(B72-A72)</f>
        <v>794.95269777353531</v>
      </c>
      <c r="O72" s="1">
        <f>$L72*'TABELA AUXILIAR'!$I$4*(B72-A72)</f>
        <v>862.60824652021927</v>
      </c>
      <c r="P72" s="1">
        <f>$L72*'TABELA AUXILIAR'!$I$5*(B72-A72)</f>
        <v>995.80510811525312</v>
      </c>
      <c r="Q72" s="1">
        <f>$M72*'TABELA AUXILIAR'!$J$3+SUM(N$2:N72)</f>
        <v>35841.904701611398</v>
      </c>
      <c r="R72" s="1">
        <f>$M72*'TABELA AUXILIAR'!$J$4+SUM(O$2:O72)</f>
        <v>39193.469979282054</v>
      </c>
      <c r="S72" s="1">
        <f>$M72*'TABELA AUXILIAR'!$J$5+SUM(P$2:P72)</f>
        <v>46003.521240621572</v>
      </c>
      <c r="T72" s="2">
        <f t="shared" si="15"/>
        <v>17920</v>
      </c>
      <c r="U72" s="2">
        <f t="shared" si="15"/>
        <v>19596</v>
      </c>
      <c r="V72" s="2">
        <f t="shared" si="15"/>
        <v>23001</v>
      </c>
    </row>
    <row r="73" spans="1:22" x14ac:dyDescent="0.25">
      <c r="A73" s="1">
        <v>42.6</v>
      </c>
      <c r="B73" s="1">
        <v>43.2</v>
      </c>
      <c r="C73" s="1">
        <v>50</v>
      </c>
      <c r="D73" s="1" t="s">
        <v>18</v>
      </c>
      <c r="E73" s="1" t="s">
        <v>3</v>
      </c>
      <c r="F73" s="1" cm="1">
        <f t="array" ref="F73">_xlfn.XLOOKUP(D73,'TABELA AUXILIAR'!$A$2:$A$5,IF('SPT-06'!A73&lt;3,'TABELA AUXILIAR'!$B$2:$B$5,'TABELA AUXILIAR'!$C$2:$C$5),"",0,1)</f>
        <v>8.5</v>
      </c>
      <c r="G73" s="6">
        <f t="shared" si="9"/>
        <v>102.48034506855548</v>
      </c>
      <c r="H73" s="2">
        <f t="shared" si="10"/>
        <v>43.13052403989137</v>
      </c>
      <c r="I73" s="2">
        <f t="shared" si="11"/>
        <v>1932.9462006772014</v>
      </c>
      <c r="J73" s="1">
        <f t="shared" si="16"/>
        <v>425.55000000000064</v>
      </c>
      <c r="K73" s="1">
        <f t="shared" si="12"/>
        <v>0.83394986576389429</v>
      </c>
      <c r="L73" s="1">
        <f t="shared" si="13"/>
        <v>354.88736537582577</v>
      </c>
      <c r="M73" s="1">
        <f t="shared" si="14"/>
        <v>3233.2713214801552</v>
      </c>
      <c r="N73" s="1">
        <f>$L73*'TABELA AUXILIAR'!$I$3*(B73-A73)</f>
        <v>800.62589628786475</v>
      </c>
      <c r="O73" s="1">
        <f>$L73*'TABELA AUXILIAR'!$I$4*(B73-A73)</f>
        <v>868.76427044002344</v>
      </c>
      <c r="P73" s="1">
        <f>$L73*'TABELA AUXILIAR'!$I$5*(B73-A73)</f>
        <v>1002.9116945520859</v>
      </c>
      <c r="Q73" s="1">
        <f>$M73*'TABELA AUXILIAR'!$J$3+SUM(N$2:N73)</f>
        <v>36668.865820241059</v>
      </c>
      <c r="R73" s="1">
        <f>$M73*'TABELA AUXILIAR'!$J$4+SUM(O$2:O73)</f>
        <v>40092.997518298333</v>
      </c>
      <c r="S73" s="1">
        <f>$M73*'TABELA AUXILIAR'!$J$5+SUM(P$2:P73)</f>
        <v>47047.450626608676</v>
      </c>
      <c r="T73" s="2">
        <f t="shared" si="15"/>
        <v>18334</v>
      </c>
      <c r="U73" s="2">
        <f t="shared" si="15"/>
        <v>20046</v>
      </c>
      <c r="V73" s="2">
        <f t="shared" si="15"/>
        <v>23523</v>
      </c>
    </row>
    <row r="74" spans="1:22" x14ac:dyDescent="0.25">
      <c r="A74" s="1">
        <v>43.2</v>
      </c>
      <c r="B74" s="1">
        <v>43.8</v>
      </c>
      <c r="C74" s="1">
        <v>50</v>
      </c>
      <c r="D74" s="1" t="s">
        <v>18</v>
      </c>
      <c r="E74" s="1" t="s">
        <v>3</v>
      </c>
      <c r="F74" s="1" cm="1">
        <f t="array" ref="F74">_xlfn.XLOOKUP(D74,'TABELA AUXILIAR'!$A$2:$A$5,IF('SPT-06'!A74&lt;3,'TABELA AUXILIAR'!$B$2:$B$5,'TABELA AUXILIAR'!$C$2:$C$5),"",0,1)</f>
        <v>8.5</v>
      </c>
      <c r="G74" s="6">
        <f t="shared" si="9"/>
        <v>103.09260349970553</v>
      </c>
      <c r="H74" s="2">
        <f t="shared" si="10"/>
        <v>43.13052403989137</v>
      </c>
      <c r="I74" s="2">
        <f t="shared" si="11"/>
        <v>1942.1792472204343</v>
      </c>
      <c r="J74" s="1">
        <f t="shared" si="16"/>
        <v>430.6500000000006</v>
      </c>
      <c r="K74" s="1">
        <f t="shared" si="12"/>
        <v>0.82988447380912511</v>
      </c>
      <c r="L74" s="1">
        <f t="shared" si="13"/>
        <v>357.38974864590023</v>
      </c>
      <c r="M74" s="1">
        <f t="shared" si="14"/>
        <v>3256.4653702917117</v>
      </c>
      <c r="N74" s="1">
        <f>$L74*'TABELA AUXILIAR'!$I$3*(B74-A74)</f>
        <v>806.27127294514321</v>
      </c>
      <c r="O74" s="1">
        <f>$L74*'TABELA AUXILIAR'!$I$4*(B74-A74)</f>
        <v>874.89010468515551</v>
      </c>
      <c r="P74" s="1">
        <f>$L74*'TABELA AUXILIAR'!$I$5*(B74-A74)</f>
        <v>1009.9834296733044</v>
      </c>
      <c r="Q74" s="1">
        <f>$M74*'TABELA AUXILIAR'!$J$3+SUM(N$2:N74)</f>
        <v>37501.346368343264</v>
      </c>
      <c r="R74" s="1">
        <f>$M74*'TABELA AUXILIAR'!$J$4+SUM(O$2:O74)</f>
        <v>40998.503767414739</v>
      </c>
      <c r="S74" s="1">
        <f>$M74*'TABELA AUXILIAR'!$J$5+SUM(P$2:P74)</f>
        <v>48098.255582190315</v>
      </c>
      <c r="T74" s="2">
        <f t="shared" si="15"/>
        <v>18750</v>
      </c>
      <c r="U74" s="2">
        <f t="shared" si="15"/>
        <v>20499</v>
      </c>
      <c r="V74" s="2">
        <f t="shared" si="15"/>
        <v>24049</v>
      </c>
    </row>
    <row r="75" spans="1:22" x14ac:dyDescent="0.25">
      <c r="A75" s="1">
        <v>43.8</v>
      </c>
      <c r="B75" s="1">
        <v>44.4</v>
      </c>
      <c r="C75" s="1">
        <v>50</v>
      </c>
      <c r="D75" s="1" t="s">
        <v>18</v>
      </c>
      <c r="E75" s="1" t="s">
        <v>3</v>
      </c>
      <c r="F75" s="1" cm="1">
        <f t="array" ref="F75">_xlfn.XLOOKUP(D75,'TABELA AUXILIAR'!$A$2:$A$5,IF('SPT-06'!A75&lt;3,'TABELA AUXILIAR'!$B$2:$B$5,'TABELA AUXILIAR'!$C$2:$C$5),"",0,1)</f>
        <v>8.5</v>
      </c>
      <c r="G75" s="6">
        <f t="shared" si="9"/>
        <v>103.70124718307294</v>
      </c>
      <c r="H75" s="2">
        <f t="shared" si="10"/>
        <v>43.13052403989137</v>
      </c>
      <c r="I75" s="2">
        <f t="shared" si="11"/>
        <v>1951.3469185507977</v>
      </c>
      <c r="J75" s="1">
        <f t="shared" si="16"/>
        <v>435.75000000000057</v>
      </c>
      <c r="K75" s="1">
        <f t="shared" si="12"/>
        <v>0.82588641422355735</v>
      </c>
      <c r="L75" s="1">
        <f t="shared" si="13"/>
        <v>359.88000499791559</v>
      </c>
      <c r="M75" s="1">
        <f t="shared" si="14"/>
        <v>3279.5498050568394</v>
      </c>
      <c r="N75" s="1">
        <f>$L75*'TABELA AUXILIAR'!$I$3*(B75-A75)</f>
        <v>811.88929127529946</v>
      </c>
      <c r="O75" s="1">
        <f>$L75*'TABELA AUXILIAR'!$I$4*(B75-A75)</f>
        <v>880.98625223489944</v>
      </c>
      <c r="P75" s="1">
        <f>$L75*'TABELA AUXILIAR'!$I$5*(B75-A75)</f>
        <v>1017.0208941241119</v>
      </c>
      <c r="Q75" s="1">
        <f>$M75*'TABELA AUXILIAR'!$J$3+SUM(N$2:N75)</f>
        <v>38339.321070903155</v>
      </c>
      <c r="R75" s="1">
        <f>$M75*'TABELA AUXILIAR'!$J$4+SUM(O$2:O75)</f>
        <v>41909.96147353961</v>
      </c>
      <c r="S75" s="1">
        <f>$M75*'TABELA AUXILIAR'!$J$5+SUM(P$2:P75)</f>
        <v>49155.905081501056</v>
      </c>
      <c r="T75" s="2">
        <f t="shared" si="15"/>
        <v>19169</v>
      </c>
      <c r="U75" s="2">
        <f t="shared" si="15"/>
        <v>20954</v>
      </c>
      <c r="V75" s="2">
        <f t="shared" si="15"/>
        <v>24577</v>
      </c>
    </row>
    <row r="76" spans="1:22" x14ac:dyDescent="0.25">
      <c r="A76" s="1">
        <v>44.4</v>
      </c>
      <c r="B76" s="1">
        <v>45</v>
      </c>
      <c r="C76" s="1">
        <v>50</v>
      </c>
      <c r="D76" s="1" t="s">
        <v>18</v>
      </c>
      <c r="E76" s="1" t="s">
        <v>3</v>
      </c>
      <c r="F76" s="1" cm="1">
        <f t="array" ref="F76">_xlfn.XLOOKUP(D76,'TABELA AUXILIAR'!$A$2:$A$5,IF('SPT-06'!A76&lt;3,'TABELA AUXILIAR'!$B$2:$B$5,'TABELA AUXILIAR'!$C$2:$C$5),"",0,1)</f>
        <v>8.5</v>
      </c>
      <c r="G76" s="6">
        <f t="shared" ref="G76:G77" si="17">C76 / MIN(2, SQRT(101.3/J76))</f>
        <v>104.30633939652031</v>
      </c>
      <c r="H76" s="2">
        <f t="shared" ref="H76:H77" si="18">27.5+9.2*LOG10(C76)</f>
        <v>43.13052403989137</v>
      </c>
      <c r="I76" s="2">
        <f t="shared" ref="I76:I77" si="19">IF(D76="Areias",101.3*0.47*(G76)^0.8,101.3*0.15*(G76))</f>
        <v>1960.4504346736815</v>
      </c>
      <c r="J76" s="1">
        <f t="shared" ref="J76:J77" si="20">J75+(B75-A75)/2*F75+(B76-A76)/2*F76</f>
        <v>440.85000000000059</v>
      </c>
      <c r="K76" s="1">
        <f t="shared" ref="K76:K77" si="21">(1-SIN(RADIANS(H76)))*(I76/J76)^SIN(RADIANS(H76))*TAN(RADIANS(H76))</f>
        <v>0.82195380314126676</v>
      </c>
      <c r="L76" s="1">
        <f t="shared" ref="L76:L77" si="22">K76*J76</f>
        <v>362.35833411482793</v>
      </c>
      <c r="M76" s="1">
        <f t="shared" ref="M76:M77" si="23">0.59*(G76*101.3/J76)^0.8*J76</f>
        <v>3302.5264177455037</v>
      </c>
      <c r="N76" s="1">
        <f>$L76*'TABELA AUXILIAR'!$I$3*(B76-A76)</f>
        <v>817.48040176305369</v>
      </c>
      <c r="O76" s="1">
        <f>$L76*'TABELA AUXILIAR'!$I$4*(B76-A76)</f>
        <v>887.05320191310079</v>
      </c>
      <c r="P76" s="1">
        <f>$L76*'TABELA AUXILIAR'!$I$5*(B76-A76)</f>
        <v>1024.024652208506</v>
      </c>
      <c r="Q76" s="1">
        <f>$M76*'TABELA AUXILIAR'!$J$3+SUM(N$2:N76)</f>
        <v>39182.765045004402</v>
      </c>
      <c r="R76" s="1">
        <f>$M76*'TABELA AUXILIAR'!$J$4+SUM(O$2:O76)</f>
        <v>42827.343804201744</v>
      </c>
      <c r="S76" s="1">
        <f>$M76*'TABELA AUXILIAR'!$J$5+SUM(P$2:P76)</f>
        <v>50220.368572041611</v>
      </c>
    </row>
    <row r="77" spans="1:22" x14ac:dyDescent="0.25">
      <c r="A77" s="1">
        <v>45</v>
      </c>
      <c r="B77" s="1">
        <v>45.4</v>
      </c>
      <c r="C77" s="1">
        <v>50</v>
      </c>
      <c r="D77" s="1" t="s">
        <v>18</v>
      </c>
      <c r="E77" s="1" t="s">
        <v>3</v>
      </c>
      <c r="F77" s="1" cm="1">
        <f t="array" ref="F77">_xlfn.XLOOKUP(D77,'TABELA AUXILIAR'!$A$2:$A$5,IF('SPT-06'!A77&lt;3,'TABELA AUXILIAR'!$B$2:$B$5,'TABELA AUXILIAR'!$C$2:$C$5),"",0,1)</f>
        <v>8.5</v>
      </c>
      <c r="G77" s="6">
        <f t="shared" si="17"/>
        <v>104.80791436774467</v>
      </c>
      <c r="H77" s="2">
        <f t="shared" si="18"/>
        <v>43.13052403989137</v>
      </c>
      <c r="I77" s="2">
        <f t="shared" si="19"/>
        <v>1967.988545513278</v>
      </c>
      <c r="J77" s="1">
        <f t="shared" si="20"/>
        <v>445.10000000000059</v>
      </c>
      <c r="K77" s="1">
        <f t="shared" si="21"/>
        <v>0.81872531456383379</v>
      </c>
      <c r="L77" s="1">
        <f t="shared" si="22"/>
        <v>364.4146375123629</v>
      </c>
      <c r="M77" s="1">
        <f t="shared" si="23"/>
        <v>3321.592489351297</v>
      </c>
      <c r="N77" s="1">
        <f>$L77*'TABELA AUXILIAR'!$I$3*(B77-A77)</f>
        <v>548.07961481859184</v>
      </c>
      <c r="O77" s="1">
        <f>$L77*'TABELA AUXILIAR'!$I$4*(B77-A77)</f>
        <v>594.72468842017418</v>
      </c>
      <c r="P77" s="1">
        <f>$L77*'TABELA AUXILIAR'!$I$5*(B77-A77)</f>
        <v>686.55717707328927</v>
      </c>
      <c r="Q77" s="1">
        <f>$M77*'TABELA AUXILIAR'!$J$3+SUM(N$2:N77)</f>
        <v>39752.389320737537</v>
      </c>
      <c r="R77" s="1">
        <f>$M77*'TABELA AUXILIAR'!$J$4+SUM(O$2:O77)</f>
        <v>43447.235707141568</v>
      </c>
      <c r="S77" s="1">
        <f>$M77*'TABELA AUXILIAR'!$J$5+SUM(P$2:P77)</f>
        <v>50940.482035141096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5DC0-34F3-4C43-9610-56C2A820292A}">
  <dimension ref="A1:AK81"/>
  <sheetViews>
    <sheetView workbookViewId="0">
      <selection activeCell="C2" sqref="C2:C75"/>
    </sheetView>
  </sheetViews>
  <sheetFormatPr defaultRowHeight="15" x14ac:dyDescent="0.25"/>
  <cols>
    <col min="1" max="1" width="13.7109375" style="1" bestFit="1" customWidth="1"/>
    <col min="2" max="2" width="12.42578125" style="1" bestFit="1" customWidth="1"/>
    <col min="3" max="3" width="6.28515625" style="1" bestFit="1" customWidth="1"/>
    <col min="4" max="4" width="11.140625" style="1" bestFit="1" customWidth="1"/>
    <col min="5" max="5" width="12.140625" style="1" bestFit="1" customWidth="1"/>
    <col min="6" max="6" width="5.28515625" style="1" bestFit="1" customWidth="1"/>
    <col min="7" max="8" width="5.5703125" style="1" bestFit="1" customWidth="1"/>
    <col min="9" max="9" width="9.28515625" style="1" bestFit="1" customWidth="1"/>
    <col min="10" max="10" width="9" style="1" bestFit="1" customWidth="1"/>
    <col min="11" max="13" width="12" style="1" bestFit="1" customWidth="1"/>
    <col min="14" max="16" width="12.42578125" style="1" bestFit="1" customWidth="1"/>
    <col min="17" max="19" width="12.5703125" style="1" bestFit="1" customWidth="1"/>
    <col min="20" max="22" width="15.5703125" style="1" bestFit="1" customWidth="1"/>
    <col min="23" max="25" width="9.140625" style="1"/>
    <col min="26" max="31" width="7.140625" style="1" bestFit="1" customWidth="1"/>
    <col min="32" max="32" width="7.5703125" style="1" bestFit="1" customWidth="1"/>
    <col min="33" max="33" width="7" style="1" bestFit="1" customWidth="1"/>
    <col min="34" max="37" width="7.5703125" style="1" bestFit="1" customWidth="1"/>
    <col min="38" max="16384" width="9.140625" style="1"/>
  </cols>
  <sheetData>
    <row r="1" spans="1:37" ht="16.5" x14ac:dyDescent="0.25">
      <c r="A1" s="1" t="s">
        <v>21</v>
      </c>
      <c r="B1" s="1" t="s">
        <v>22</v>
      </c>
      <c r="C1" s="1" t="s">
        <v>1</v>
      </c>
      <c r="D1" s="1" t="s">
        <v>16</v>
      </c>
      <c r="E1" s="1" t="s">
        <v>0</v>
      </c>
      <c r="F1" s="1" t="s">
        <v>23</v>
      </c>
      <c r="G1" s="1" t="s">
        <v>25</v>
      </c>
      <c r="H1" s="1" t="s">
        <v>12</v>
      </c>
      <c r="I1" s="4" t="s">
        <v>13</v>
      </c>
      <c r="J1" s="4" t="s">
        <v>14</v>
      </c>
      <c r="K1" s="5" t="s">
        <v>15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37" x14ac:dyDescent="0.25">
      <c r="A2" s="1">
        <v>0</v>
      </c>
      <c r="B2" s="1">
        <v>0.6</v>
      </c>
      <c r="C2" s="1">
        <f>ROUNDDOWN(_xlfn.PERCENTILE.INC('SPT-01:SPT-06'!C2, 0.15),0)</f>
        <v>35</v>
      </c>
      <c r="D2" s="1" t="str" cm="1">
        <f t="array" ref="D2">_xlfn.LET(_xlpm.linha, Z2:AE2, _xlpm.contagens, IF(_xlpm.linha="", 0, COUNTIF(_xlpm.linha, _xlpm.linha)), INDEX(_xlpm.linha, MATCH(MAX(_xlpm.contagens), _xlpm.contagens, 0)))</f>
        <v>Areias</v>
      </c>
      <c r="E2" s="1" t="str" cm="1">
        <f t="array" ref="E2">_xlfn.LET(_xlpm.linha, AF2:AK2, _xlpm.contagens, IF(_xlpm.linha="", 0, COUNTIF(_xlpm.linha, _xlpm.linha)), INDEX(_xlpm.linha, MATCH(MAX(_xlpm.contagens), _xlpm.contagens, 0)))</f>
        <v>SM</v>
      </c>
      <c r="F2" s="1" cm="1">
        <f t="array" ref="F2">_xlfn.XLOOKUP(D2,'TABELA AUXILIAR'!$A$2:$A$5,IF('SPT médio'!A2&lt;3,'TABELA AUXILIAR'!$B$2:$B$5,'TABELA AUXILIAR'!$C$2:$C$5),"",0,1)</f>
        <v>18.5</v>
      </c>
      <c r="G2" s="6">
        <f>C2 / MIN(2, SQRT(101.3/J2))</f>
        <v>17.5</v>
      </c>
      <c r="H2" s="2">
        <f>27.5+9.2*LOG10(C2)</f>
        <v>41.705426008022535</v>
      </c>
      <c r="I2" s="2">
        <f>IF(D2="Areias",101.3*0.47*(G2)^0.8,101.3*0.15*(G2))</f>
        <v>470.04316537961495</v>
      </c>
      <c r="J2" s="1">
        <f>(B2-A2)/2*F2</f>
        <v>5.55</v>
      </c>
      <c r="K2" s="1">
        <f>(1-SIN(RADIANS(H2)))*(I2/J2)^SIN(RADIANS(H2))*TAN(RADIANS(H2))</f>
        <v>5.7173682503889447</v>
      </c>
      <c r="L2" s="1">
        <f>K2*J2</f>
        <v>31.731393789658643</v>
      </c>
      <c r="M2" s="1">
        <f>0.59*(G2*101.3/J2)^0.8*J2</f>
        <v>330.0871390123333</v>
      </c>
      <c r="N2" s="1">
        <f>$L2*'TABELA AUXILIAR'!$I$3*(B2-A2)</f>
        <v>71.586024389469884</v>
      </c>
      <c r="O2" s="1">
        <f>$L2*'TABELA AUXILIAR'!$I$4*(B2-A2)</f>
        <v>77.678451997084366</v>
      </c>
      <c r="P2" s="1">
        <f>$L2*'TABELA AUXILIAR'!$I$5*(B2-A2)</f>
        <v>89.672918849575311</v>
      </c>
      <c r="Q2" s="1">
        <f>$M2*'TABELA AUXILIAR'!$J$3+SUM(N$2:N2)</f>
        <v>444.5844914734065</v>
      </c>
      <c r="R2" s="1">
        <f>$M2*'TABELA AUXILIAR'!$J$4+SUM(O$2:O2)</f>
        <v>513.39347549336435</v>
      </c>
      <c r="S2" s="1">
        <f>$M2*'TABELA AUXILIAR'!$J$5+SUM(P$2:P2)</f>
        <v>670.62628351128194</v>
      </c>
      <c r="T2" s="2">
        <f>ROUNDDOWN(Q2/2,2)</f>
        <v>222.29</v>
      </c>
      <c r="U2" s="2">
        <f t="shared" ref="U2:V17" si="0">ROUNDDOWN(R2/2,2)</f>
        <v>256.69</v>
      </c>
      <c r="V2" s="2">
        <f t="shared" si="0"/>
        <v>335.31</v>
      </c>
      <c r="Z2" s="1" t="str">
        <f>IF('SPT-01'!$D2="","",'SPT-01'!$D2)</f>
        <v>Areias</v>
      </c>
      <c r="AA2" s="1" t="str">
        <f>IF('SPT-02'!$D2="","",'SPT-02'!$D2)</f>
        <v>Areias</v>
      </c>
      <c r="AB2" s="1" t="str">
        <f>IF('SPT-03'!$D2="","",'SPT-03'!$D2)</f>
        <v>Areias</v>
      </c>
      <c r="AC2" s="1" t="str">
        <f>IF('SPT-04'!$D2="","",'SPT-04'!$D2)</f>
        <v>Finos</v>
      </c>
      <c r="AD2" s="1" t="str">
        <f>IF('SPT-05'!$D2="","",'SPT-05'!$D2)</f>
        <v>Areias</v>
      </c>
      <c r="AE2" s="1" t="str">
        <f>IF('SPT-06'!$D2="","",'SPT-06'!$D2)</f>
        <v>Finos</v>
      </c>
      <c r="AF2" s="1" t="str">
        <f>IF('SPT-01'!$E2="","",'SPT-01'!$E2)</f>
        <v>SP-SM</v>
      </c>
      <c r="AG2" s="1" t="str">
        <f>IF('SPT-02'!$E2="","",'SPT-02'!$E2)</f>
        <v>SW-SM</v>
      </c>
      <c r="AH2" s="1" t="str">
        <f>IF('SPT-03'!$E2="","",'SPT-03'!$E2)</f>
        <v>SM</v>
      </c>
      <c r="AI2" s="1" t="str">
        <f>IF('SPT-04'!$E2="","",'SPT-04'!$E2)</f>
        <v>CL</v>
      </c>
      <c r="AJ2" s="1" t="str">
        <f>IF('SPT-05'!$E2="","",'SPT-05'!$E2)</f>
        <v>SM</v>
      </c>
      <c r="AK2" s="1" t="str">
        <f>IF('SPT-06'!$E2="","",'SPT-06'!$E2)</f>
        <v>ML</v>
      </c>
    </row>
    <row r="3" spans="1:37" x14ac:dyDescent="0.25">
      <c r="A3" s="1">
        <v>0.6</v>
      </c>
      <c r="B3" s="1">
        <v>1.2</v>
      </c>
      <c r="C3" s="1">
        <f>ROUNDDOWN(_xlfn.PERCENTILE.INC('SPT-01:SPT-06'!C3, 0.15),0)</f>
        <v>22</v>
      </c>
      <c r="D3" s="1" t="str" cm="1">
        <f t="array" ref="D3">_xlfn.LET(_xlpm.linha, Z3:AE3, _xlpm.contagens, IF(_xlpm.linha="", 0, COUNTIF(_xlpm.linha, _xlpm.linha)), INDEX(_xlpm.linha, MATCH(MAX(_xlpm.contagens), _xlpm.contagens, 0)))</f>
        <v>Areias</v>
      </c>
      <c r="E3" s="1" t="str" cm="1">
        <f t="array" ref="E3">_xlfn.LET(_xlpm.linha, AF3:AK3, _xlpm.contagens, IF(_xlpm.linha="", 0, COUNTIF(_xlpm.linha, _xlpm.linha)), INDEX(_xlpm.linha, MATCH(MAX(_xlpm.contagens), _xlpm.contagens, 0)))</f>
        <v>SM</v>
      </c>
      <c r="F3" s="1" cm="1">
        <f t="array" ref="F3">_xlfn.XLOOKUP(D3,'TABELA AUXILIAR'!$A$2:$A$5,IF('SPT médio'!A3&lt;3,'TABELA AUXILIAR'!$B$2:$B$5,'TABELA AUXILIAR'!$C$2:$C$5),"",0,1)</f>
        <v>18.5</v>
      </c>
      <c r="G3" s="6">
        <f t="shared" ref="G3:G66" si="1">C3 / MIN(2, SQRT(101.3/J3))</f>
        <v>11</v>
      </c>
      <c r="H3" s="2">
        <f t="shared" ref="H3:H66" si="2">27.5+9.2*LOG10(C3)</f>
        <v>39.850288663564299</v>
      </c>
      <c r="I3" s="2">
        <f t="shared" ref="I3:I66" si="3">IF(D3="Areias",101.3*0.47*(G3)^0.8,101.3*0.15*(G3))</f>
        <v>324.20630118446434</v>
      </c>
      <c r="J3" s="1">
        <f>J2+(B2-A2)/2*F2+(B3-A3)/2*F3</f>
        <v>16.649999999999999</v>
      </c>
      <c r="K3" s="1">
        <f t="shared" ref="K3:K66" si="4">(1-SIN(RADIANS(H3)))*(I3/J3)^SIN(RADIANS(H3))*TAN(RADIANS(H3))</f>
        <v>2.0095324671407324</v>
      </c>
      <c r="L3" s="1">
        <f t="shared" ref="L3:L66" si="5">K3*J3</f>
        <v>33.458715577893194</v>
      </c>
      <c r="M3" s="1">
        <f t="shared" ref="M3:M66" si="6">0.59*(G3*101.3/J3)^0.8*J3</f>
        <v>283.61981122602975</v>
      </c>
      <c r="N3" s="1">
        <f>$L3*'TABELA AUXILIAR'!$I$3*(B3-A3)</f>
        <v>75.482862343727035</v>
      </c>
      <c r="O3" s="1">
        <f>$L3*'TABELA AUXILIAR'!$I$4*(B3-A3)</f>
        <v>81.906935734682548</v>
      </c>
      <c r="P3" s="1">
        <f>$L3*'TABELA AUXILIAR'!$I$5*(B3-A3)</f>
        <v>94.554330223126172</v>
      </c>
      <c r="Q3" s="1">
        <f>$M3*'TABELA AUXILIAR'!$J$3+SUM(N$2:N3)</f>
        <v>467.55927341861047</v>
      </c>
      <c r="R3" s="1">
        <f>$M3*'TABELA AUXILIAR'!$J$4+SUM(O$2:O3)</f>
        <v>533.96353855012626</v>
      </c>
      <c r="S3" s="1">
        <f>$M3*'TABELA AUXILIAR'!$J$5+SUM(P$2:P3)</f>
        <v>683.3981168305138</v>
      </c>
      <c r="T3" s="2">
        <f t="shared" ref="T3:V66" si="7">ROUNDDOWN(Q3/2,2)</f>
        <v>233.77</v>
      </c>
      <c r="U3" s="2">
        <f t="shared" si="0"/>
        <v>266.98</v>
      </c>
      <c r="V3" s="2">
        <f t="shared" si="0"/>
        <v>341.69</v>
      </c>
      <c r="Z3" s="1" t="str">
        <f>IF('SPT-01'!$D3="","",'SPT-01'!$D3)</f>
        <v>Areias</v>
      </c>
      <c r="AA3" s="1" t="str">
        <f>IF('SPT-02'!$D3="","",'SPT-02'!$D3)</f>
        <v>Areias</v>
      </c>
      <c r="AB3" s="1" t="str">
        <f>IF('SPT-03'!$D3="","",'SPT-03'!$D3)</f>
        <v>Areias</v>
      </c>
      <c r="AC3" s="1" t="str">
        <f>IF('SPT-04'!$D3="","",'SPT-04'!$D3)</f>
        <v>Finos</v>
      </c>
      <c r="AD3" s="1" t="str">
        <f>IF('SPT-05'!$D3="","",'SPT-05'!$D3)</f>
        <v>Areias</v>
      </c>
      <c r="AE3" s="1" t="str">
        <f>IF('SPT-06'!$D3="","",'SPT-06'!$D3)</f>
        <v>Finos</v>
      </c>
      <c r="AF3" s="1" t="str">
        <f>IF('SPT-01'!$E3="","",'SPT-01'!$E3)</f>
        <v>SP-SM</v>
      </c>
      <c r="AG3" s="1" t="str">
        <f>IF('SPT-02'!$E3="","",'SPT-02'!$E3)</f>
        <v>SW-SM</v>
      </c>
      <c r="AH3" s="1" t="str">
        <f>IF('SPT-03'!$E3="","",'SPT-03'!$E3)</f>
        <v>SM</v>
      </c>
      <c r="AI3" s="1" t="str">
        <f>IF('SPT-04'!$E3="","",'SPT-04'!$E3)</f>
        <v>CL</v>
      </c>
      <c r="AJ3" s="1" t="str">
        <f>IF('SPT-05'!$E3="","",'SPT-05'!$E3)</f>
        <v>SM</v>
      </c>
      <c r="AK3" s="1" t="str">
        <f>IF('SPT-06'!$E3="","",'SPT-06'!$E3)</f>
        <v>ML</v>
      </c>
    </row>
    <row r="4" spans="1:37" x14ac:dyDescent="0.25">
      <c r="A4" s="1">
        <v>1.2</v>
      </c>
      <c r="B4" s="1">
        <v>1.8</v>
      </c>
      <c r="C4" s="1">
        <f>ROUNDDOWN(_xlfn.PERCENTILE.INC('SPT-01:SPT-06'!C4, 0.15),0)</f>
        <v>15</v>
      </c>
      <c r="D4" s="1" t="str" cm="1">
        <f t="array" ref="D4">_xlfn.LET(_xlpm.linha, Z4:AE4, _xlpm.contagens, IF(_xlpm.linha="", 0, COUNTIF(_xlpm.linha, _xlpm.linha)), INDEX(_xlpm.linha, MATCH(MAX(_xlpm.contagens), _xlpm.contagens, 0)))</f>
        <v>Areias</v>
      </c>
      <c r="E4" s="1" t="str" cm="1">
        <f t="array" ref="E4">_xlfn.LET(_xlpm.linha, AF4:AK4, _xlpm.contagens, IF(_xlpm.linha="", 0, COUNTIF(_xlpm.linha, _xlpm.linha)), INDEX(_xlpm.linha, MATCH(MAX(_xlpm.contagens), _xlpm.contagens, 0)))</f>
        <v>CL</v>
      </c>
      <c r="F4" s="1" cm="1">
        <f t="array" ref="F4">_xlfn.XLOOKUP(D4,'TABELA AUXILIAR'!$A$2:$A$5,IF('SPT médio'!A4&lt;3,'TABELA AUXILIAR'!$B$2:$B$5,'TABELA AUXILIAR'!$C$2:$C$5),"",0,1)</f>
        <v>18.5</v>
      </c>
      <c r="G4" s="6">
        <f t="shared" si="1"/>
        <v>7.850874411344563</v>
      </c>
      <c r="H4" s="2">
        <f t="shared" si="2"/>
        <v>38.320039583312266</v>
      </c>
      <c r="I4" s="2">
        <f t="shared" si="3"/>
        <v>247.53791431636026</v>
      </c>
      <c r="J4" s="1">
        <f t="shared" ref="J4:J67" si="8">J3+(B3-A3)/2*F3+(B4-A4)/2*F4</f>
        <v>27.75</v>
      </c>
      <c r="K4" s="1">
        <f t="shared" si="4"/>
        <v>1.16630288285438</v>
      </c>
      <c r="L4" s="1">
        <f t="shared" si="5"/>
        <v>32.364904999209045</v>
      </c>
      <c r="M4" s="1">
        <f t="shared" si="6"/>
        <v>239.84274691822353</v>
      </c>
      <c r="N4" s="1">
        <f>$L4*'TABELA AUXILIAR'!$I$3*(B4-A4)</f>
        <v>73.015225678215614</v>
      </c>
      <c r="O4" s="1">
        <f>$L4*'TABELA AUXILIAR'!$I$4*(B4-A4)</f>
        <v>79.229287438063764</v>
      </c>
      <c r="P4" s="1">
        <f>$L4*'TABELA AUXILIAR'!$I$5*(B4-A4)</f>
        <v>91.463221527764787</v>
      </c>
      <c r="Q4" s="1">
        <f>$M4*'TABELA AUXILIAR'!$J$3+SUM(N$2:N4)</f>
        <v>491.10641642900509</v>
      </c>
      <c r="R4" s="1">
        <f>$M4*'TABELA AUXILIAR'!$J$4+SUM(O$2:O4)</f>
        <v>555.4071011018857</v>
      </c>
      <c r="S4" s="1">
        <f>$M4*'TABELA AUXILIAR'!$J$5+SUM(P$2:P4)</f>
        <v>697.81370517653966</v>
      </c>
      <c r="T4" s="2">
        <f t="shared" si="7"/>
        <v>245.55</v>
      </c>
      <c r="U4" s="2">
        <f t="shared" si="0"/>
        <v>277.7</v>
      </c>
      <c r="V4" s="2">
        <f t="shared" si="0"/>
        <v>348.9</v>
      </c>
      <c r="Z4" s="1" t="str">
        <f>IF('SPT-01'!$D4="","",'SPT-01'!$D4)</f>
        <v>Areias</v>
      </c>
      <c r="AA4" s="1" t="str">
        <f>IF('SPT-02'!$D4="","",'SPT-02'!$D4)</f>
        <v>Areias</v>
      </c>
      <c r="AB4" s="1" t="str">
        <f>IF('SPT-03'!$D4="","",'SPT-03'!$D4)</f>
        <v>Finos</v>
      </c>
      <c r="AC4" s="1" t="str">
        <f>IF('SPT-04'!$D4="","",'SPT-04'!$D4)</f>
        <v>Finos</v>
      </c>
      <c r="AD4" s="1" t="str">
        <f>IF('SPT-05'!$D4="","",'SPT-05'!$D4)</f>
        <v>Areias</v>
      </c>
      <c r="AE4" s="1" t="str">
        <f>IF('SPT-06'!$D4="","",'SPT-06'!$D4)</f>
        <v>Finos</v>
      </c>
      <c r="AF4" s="1" t="str">
        <f>IF('SPT-01'!$E4="","",'SPT-01'!$E4)</f>
        <v>SP-SM</v>
      </c>
      <c r="AG4" s="1" t="str">
        <f>IF('SPT-02'!$E4="","",'SPT-02'!$E4)</f>
        <v>SW-SM</v>
      </c>
      <c r="AH4" s="1" t="str">
        <f>IF('SPT-03'!$E4="","",'SPT-03'!$E4)</f>
        <v>CL</v>
      </c>
      <c r="AI4" s="1" t="str">
        <f>IF('SPT-04'!$E4="","",'SPT-04'!$E4)</f>
        <v>CL</v>
      </c>
      <c r="AJ4" s="1" t="str">
        <f>IF('SPT-05'!$E4="","",'SPT-05'!$E4)</f>
        <v>SM</v>
      </c>
      <c r="AK4" s="1" t="str">
        <f>IF('SPT-06'!$E4="","",'SPT-06'!$E4)</f>
        <v>ML</v>
      </c>
    </row>
    <row r="5" spans="1:37" x14ac:dyDescent="0.25">
      <c r="A5" s="1">
        <v>1.8</v>
      </c>
      <c r="B5" s="1">
        <v>2.4</v>
      </c>
      <c r="C5" s="1">
        <f>ROUNDDOWN(_xlfn.PERCENTILE.INC('SPT-01:SPT-06'!C5, 0.15),0)</f>
        <v>21</v>
      </c>
      <c r="D5" s="1" t="str" cm="1">
        <f t="array" ref="D5">_xlfn.LET(_xlpm.linha, Z5:AE5, _xlpm.contagens, IF(_xlpm.linha="", 0, COUNTIF(_xlpm.linha, _xlpm.linha)), INDEX(_xlpm.linha, MATCH(MAX(_xlpm.contagens), _xlpm.contagens, 0)))</f>
        <v>Areias</v>
      </c>
      <c r="E5" s="1" t="str" cm="1">
        <f t="array" ref="E5">_xlfn.LET(_xlpm.linha, AF5:AK5, _xlpm.contagens, IF(_xlpm.linha="", 0, COUNTIF(_xlpm.linha, _xlpm.linha)), INDEX(_xlpm.linha, MATCH(MAX(_xlpm.contagens), _xlpm.contagens, 0)))</f>
        <v>SM</v>
      </c>
      <c r="F5" s="1" cm="1">
        <f t="array" ref="F5">_xlfn.XLOOKUP(D5,'TABELA AUXILIAR'!$A$2:$A$5,IF('SPT médio'!A5&lt;3,'TABELA AUXILIAR'!$B$2:$B$5,'TABELA AUXILIAR'!$C$2:$C$5),"",0,1)</f>
        <v>18.5</v>
      </c>
      <c r="G5" s="6">
        <f t="shared" si="1"/>
        <v>13.004991827690707</v>
      </c>
      <c r="H5" s="2">
        <f t="shared" si="2"/>
        <v>39.66441751155206</v>
      </c>
      <c r="I5" s="2">
        <f t="shared" si="3"/>
        <v>370.6767701533708</v>
      </c>
      <c r="J5" s="1">
        <f t="shared" si="8"/>
        <v>38.849999999999994</v>
      </c>
      <c r="K5" s="1">
        <f t="shared" si="4"/>
        <v>1.2655358402250703</v>
      </c>
      <c r="L5" s="1">
        <f t="shared" si="5"/>
        <v>49.166067392743976</v>
      </c>
      <c r="M5" s="1">
        <f t="shared" si="6"/>
        <v>384.15442442422892</v>
      </c>
      <c r="N5" s="1">
        <f>$L5*'TABELA AUXILIAR'!$I$3*(B5-A5)</f>
        <v>110.91864803803038</v>
      </c>
      <c r="O5" s="1">
        <f>$L5*'TABELA AUXILIAR'!$I$4*(B5-A5)</f>
        <v>120.35853297743724</v>
      </c>
      <c r="P5" s="1">
        <f>$L5*'TABELA AUXILIAR'!$I$5*(B5-A5)</f>
        <v>138.94330645189444</v>
      </c>
      <c r="Q5" s="1">
        <f>$M5*'TABELA AUXILIAR'!$J$3+SUM(N$2:N5)</f>
        <v>765.09726004882157</v>
      </c>
      <c r="R5" s="1">
        <f>$M5*'TABELA AUXILIAR'!$J$4+SUM(O$2:O5)</f>
        <v>866.25704838725005</v>
      </c>
      <c r="S5" s="1">
        <f>$M5*'TABELA AUXILIAR'!$J$5+SUM(P$2:P5)</f>
        <v>1090.7455640390035</v>
      </c>
      <c r="T5" s="2">
        <f t="shared" si="7"/>
        <v>382.54</v>
      </c>
      <c r="U5" s="2">
        <f t="shared" si="0"/>
        <v>433.12</v>
      </c>
      <c r="V5" s="2">
        <f t="shared" si="0"/>
        <v>545.37</v>
      </c>
      <c r="Z5" s="1" t="str">
        <f>IF('SPT-01'!$D5="","",'SPT-01'!$D5)</f>
        <v>Areias</v>
      </c>
      <c r="AA5" s="1" t="str">
        <f>IF('SPT-02'!$D5="","",'SPT-02'!$D5)</f>
        <v>Areias</v>
      </c>
      <c r="AB5" s="1" t="str">
        <f>IF('SPT-03'!$D5="","",'SPT-03'!$D5)</f>
        <v>Finos</v>
      </c>
      <c r="AC5" s="1" t="str">
        <f>IF('SPT-04'!$D5="","",'SPT-04'!$D5)</f>
        <v>Finos</v>
      </c>
      <c r="AD5" s="1" t="str">
        <f>IF('SPT-05'!$D5="","",'SPT-05'!$D5)</f>
        <v>Areias</v>
      </c>
      <c r="AE5" s="1" t="str">
        <f>IF('SPT-06'!$D5="","",'SPT-06'!$D5)</f>
        <v>Finos</v>
      </c>
      <c r="AF5" s="1" t="str">
        <f>IF('SPT-01'!$E5="","",'SPT-01'!$E5)</f>
        <v>SM</v>
      </c>
      <c r="AG5" s="1" t="str">
        <f>IF('SPT-02'!$E5="","",'SPT-02'!$E5)</f>
        <v>SW-SM</v>
      </c>
      <c r="AH5" s="1" t="str">
        <f>IF('SPT-03'!$E5="","",'SPT-03'!$E5)</f>
        <v>CL</v>
      </c>
      <c r="AI5" s="1" t="str">
        <f>IF('SPT-04'!$E5="","",'SPT-04'!$E5)</f>
        <v>CL</v>
      </c>
      <c r="AJ5" s="1" t="str">
        <f>IF('SPT-05'!$E5="","",'SPT-05'!$E5)</f>
        <v>SM</v>
      </c>
      <c r="AK5" s="1" t="str">
        <f>IF('SPT-06'!$E5="","",'SPT-06'!$E5)</f>
        <v>ML</v>
      </c>
    </row>
    <row r="6" spans="1:37" x14ac:dyDescent="0.25">
      <c r="A6" s="1">
        <v>2.4</v>
      </c>
      <c r="B6" s="1">
        <v>3</v>
      </c>
      <c r="C6" s="1">
        <f>ROUNDDOWN(_xlfn.PERCENTILE.INC('SPT-01:SPT-06'!C6, 0.15),0)</f>
        <v>20</v>
      </c>
      <c r="D6" s="1" t="str" cm="1">
        <f t="array" ref="D6">_xlfn.LET(_xlpm.linha, Z6:AE6, _xlpm.contagens, IF(_xlpm.linha="", 0, COUNTIF(_xlpm.linha, _xlpm.linha)), INDEX(_xlpm.linha, MATCH(MAX(_xlpm.contagens), _xlpm.contagens, 0)))</f>
        <v>Areias</v>
      </c>
      <c r="E6" s="1" t="str" cm="1">
        <f t="array" ref="E6">_xlfn.LET(_xlpm.linha, AF6:AK6, _xlpm.contagens, IF(_xlpm.linha="", 0, COUNTIF(_xlpm.linha, _xlpm.linha)), INDEX(_xlpm.linha, MATCH(MAX(_xlpm.contagens), _xlpm.contagens, 0)))</f>
        <v>SM</v>
      </c>
      <c r="F6" s="1" cm="1">
        <f t="array" ref="F6">_xlfn.XLOOKUP(D6,'TABELA AUXILIAR'!$A$2:$A$5,IF('SPT médio'!A6&lt;3,'TABELA AUXILIAR'!$B$2:$B$5,'TABELA AUXILIAR'!$C$2:$C$5),"",0,1)</f>
        <v>18.5</v>
      </c>
      <c r="G6" s="6">
        <f t="shared" si="1"/>
        <v>14.044071093264071</v>
      </c>
      <c r="H6" s="2">
        <f t="shared" si="2"/>
        <v>39.469475960108625</v>
      </c>
      <c r="I6" s="2">
        <f t="shared" si="3"/>
        <v>394.18647469280091</v>
      </c>
      <c r="J6" s="1">
        <f t="shared" si="8"/>
        <v>49.949999999999989</v>
      </c>
      <c r="K6" s="1">
        <f t="shared" si="4"/>
        <v>1.1153995936618286</v>
      </c>
      <c r="L6" s="1">
        <f t="shared" si="5"/>
        <v>55.714209703408329</v>
      </c>
      <c r="M6" s="1">
        <f t="shared" si="6"/>
        <v>429.57706045567465</v>
      </c>
      <c r="N6" s="1">
        <f>$L6*'TABELA AUXILIAR'!$I$3*(B6-A6)</f>
        <v>125.69125709088921</v>
      </c>
      <c r="O6" s="1">
        <f>$L6*'TABELA AUXILIAR'!$I$4*(B6-A6)</f>
        <v>136.38838535394362</v>
      </c>
      <c r="P6" s="1">
        <f>$L6*'TABELA AUXILIAR'!$I$5*(B6-A6)</f>
        <v>157.44835662183195</v>
      </c>
      <c r="Q6" s="1">
        <f>$M6*'TABELA AUXILIAR'!$J$3+SUM(N$2:N6)</f>
        <v>942.11609585524445</v>
      </c>
      <c r="R6" s="1">
        <f>$M6*'TABELA AUXILIAR'!$J$4+SUM(O$2:O6)</f>
        <v>1062.6033133027022</v>
      </c>
      <c r="S6" s="1">
        <f>$M6*'TABELA AUXILIAR'!$J$5+SUM(P$2:P6)</f>
        <v>1328.13776007618</v>
      </c>
      <c r="T6" s="2">
        <f t="shared" si="7"/>
        <v>471.05</v>
      </c>
      <c r="U6" s="2">
        <f t="shared" si="0"/>
        <v>531.29999999999995</v>
      </c>
      <c r="V6" s="2">
        <f t="shared" si="0"/>
        <v>664.06</v>
      </c>
      <c r="Z6" s="1" t="str">
        <f>IF('SPT-01'!$D6="","",'SPT-01'!$D6)</f>
        <v>Areias</v>
      </c>
      <c r="AA6" s="1" t="str">
        <f>IF('SPT-02'!$D6="","",'SPT-02'!$D6)</f>
        <v>Areias</v>
      </c>
      <c r="AB6" s="1" t="str">
        <f>IF('SPT-03'!$D6="","",'SPT-03'!$D6)</f>
        <v>Finos</v>
      </c>
      <c r="AC6" s="1" t="str">
        <f>IF('SPT-04'!$D6="","",'SPT-04'!$D6)</f>
        <v>Finos</v>
      </c>
      <c r="AD6" s="1" t="str">
        <f>IF('SPT-05'!$D6="","",'SPT-05'!$D6)</f>
        <v>Areias</v>
      </c>
      <c r="AE6" s="1" t="str">
        <f>IF('SPT-06'!$D6="","",'SPT-06'!$D6)</f>
        <v>Finos</v>
      </c>
      <c r="AF6" s="1" t="str">
        <f>IF('SPT-01'!$E6="","",'SPT-01'!$E6)</f>
        <v>SM</v>
      </c>
      <c r="AG6" s="1" t="str">
        <f>IF('SPT-02'!$E6="","",'SPT-02'!$E6)</f>
        <v>SM</v>
      </c>
      <c r="AH6" s="1" t="str">
        <f>IF('SPT-03'!$E6="","",'SPT-03'!$E6)</f>
        <v>CL</v>
      </c>
      <c r="AI6" s="1" t="str">
        <f>IF('SPT-04'!$E6="","",'SPT-04'!$E6)</f>
        <v>CL</v>
      </c>
      <c r="AJ6" s="1" t="str">
        <f>IF('SPT-05'!$E6="","",'SPT-05'!$E6)</f>
        <v>SM</v>
      </c>
      <c r="AK6" s="1" t="str">
        <f>IF('SPT-06'!$E6="","",'SPT-06'!$E6)</f>
        <v>ML</v>
      </c>
    </row>
    <row r="7" spans="1:37" x14ac:dyDescent="0.25">
      <c r="A7" s="1">
        <v>3</v>
      </c>
      <c r="B7" s="1">
        <v>3.6</v>
      </c>
      <c r="C7" s="1">
        <f>ROUNDDOWN(_xlfn.PERCENTILE.INC('SPT-01:SPT-06'!C7, 0.15),0)</f>
        <v>20</v>
      </c>
      <c r="D7" s="1" t="str" cm="1">
        <f t="array" ref="D7">_xlfn.LET(_xlpm.linha, Z7:AE7, _xlpm.contagens, IF(_xlpm.linha="", 0, COUNTIF(_xlpm.linha, _xlpm.linha)), INDEX(_xlpm.linha, MATCH(MAX(_xlpm.contagens), _xlpm.contagens, 0)))</f>
        <v>Areias</v>
      </c>
      <c r="E7" s="1" t="str" cm="1">
        <f t="array" ref="E7">_xlfn.LET(_xlpm.linha, AF7:AK7, _xlpm.contagens, IF(_xlpm.linha="", 0, COUNTIF(_xlpm.linha, _xlpm.linha)), INDEX(_xlpm.linha, MATCH(MAX(_xlpm.contagens), _xlpm.contagens, 0)))</f>
        <v>SM</v>
      </c>
      <c r="F7" s="1" cm="1">
        <f t="array" ref="F7">_xlfn.XLOOKUP(D7,'TABELA AUXILIAR'!$A$2:$A$5,IF('SPT médio'!A7&lt;3,'TABELA AUXILIAR'!$B$2:$B$5,'TABELA AUXILIAR'!$C$2:$C$5),"",0,1)</f>
        <v>8.5</v>
      </c>
      <c r="G7" s="6">
        <f t="shared" si="1"/>
        <v>15.140017774208731</v>
      </c>
      <c r="H7" s="2">
        <f t="shared" si="2"/>
        <v>39.469475960108625</v>
      </c>
      <c r="I7" s="2">
        <f t="shared" si="3"/>
        <v>418.60885539398987</v>
      </c>
      <c r="J7" s="1">
        <f t="shared" si="8"/>
        <v>58.049999999999983</v>
      </c>
      <c r="K7" s="1">
        <f t="shared" si="4"/>
        <v>1.0532652005182628</v>
      </c>
      <c r="L7" s="1">
        <f t="shared" si="5"/>
        <v>61.142044890085138</v>
      </c>
      <c r="M7" s="1">
        <f t="shared" si="6"/>
        <v>470.1117658659478</v>
      </c>
      <c r="N7" s="1">
        <f>$L7*'TABELA AUXILIAR'!$I$3*(B7-A7)</f>
        <v>137.93645327203208</v>
      </c>
      <c r="O7" s="1">
        <f>$L7*'TABELA AUXILIAR'!$I$4*(B7-A7)</f>
        <v>149.67572589092845</v>
      </c>
      <c r="P7" s="1">
        <f>$L7*'TABELA AUXILIAR'!$I$5*(B7-A7)</f>
        <v>172.78741885938061</v>
      </c>
      <c r="Q7" s="1">
        <f>$M7*'TABELA AUXILIAR'!$J$3+SUM(N$2:N7)</f>
        <v>1125.8567662408852</v>
      </c>
      <c r="R7" s="1">
        <f>$M7*'TABELA AUXILIAR'!$J$4+SUM(O$2:O7)</f>
        <v>1265.7848503351911</v>
      </c>
      <c r="S7" s="1">
        <f>$M7*'TABELA AUXILIAR'!$J$5+SUM(P$2:P7)</f>
        <v>1572.2662604576412</v>
      </c>
      <c r="T7" s="2">
        <f t="shared" si="7"/>
        <v>562.91999999999996</v>
      </c>
      <c r="U7" s="2">
        <f t="shared" si="0"/>
        <v>632.89</v>
      </c>
      <c r="V7" s="2">
        <f t="shared" si="0"/>
        <v>786.13</v>
      </c>
      <c r="Z7" s="1" t="str">
        <f>IF('SPT-01'!$D7="","",'SPT-01'!$D7)</f>
        <v>Areias</v>
      </c>
      <c r="AA7" s="1" t="str">
        <f>IF('SPT-02'!$D7="","",'SPT-02'!$D7)</f>
        <v>Areias</v>
      </c>
      <c r="AB7" s="1" t="str">
        <f>IF('SPT-03'!$D7="","",'SPT-03'!$D7)</f>
        <v>Areias</v>
      </c>
      <c r="AC7" s="1" t="str">
        <f>IF('SPT-04'!$D7="","",'SPT-04'!$D7)</f>
        <v>Areias</v>
      </c>
      <c r="AD7" s="1" t="str">
        <f>IF('SPT-05'!$D7="","",'SPT-05'!$D7)</f>
        <v>Areias</v>
      </c>
      <c r="AE7" s="1" t="str">
        <f>IF('SPT-06'!$D7="","",'SPT-06'!$D7)</f>
        <v>Finos</v>
      </c>
      <c r="AF7" s="1" t="str">
        <f>IF('SPT-01'!$E7="","",'SPT-01'!$E7)</f>
        <v>SM</v>
      </c>
      <c r="AG7" s="1" t="str">
        <f>IF('SPT-02'!$E7="","",'SPT-02'!$E7)</f>
        <v>SM</v>
      </c>
      <c r="AH7" s="1" t="str">
        <f>IF('SPT-03'!$E7="","",'SPT-03'!$E7)</f>
        <v>SM</v>
      </c>
      <c r="AI7" s="1" t="str">
        <f>IF('SPT-04'!$E7="","",'SPT-04'!$E7)</f>
        <v>SP-SM</v>
      </c>
      <c r="AJ7" s="1" t="str">
        <f>IF('SPT-05'!$E7="","",'SPT-05'!$E7)</f>
        <v>SM</v>
      </c>
      <c r="AK7" s="1" t="str">
        <f>IF('SPT-06'!$E7="","",'SPT-06'!$E7)</f>
        <v>ML</v>
      </c>
    </row>
    <row r="8" spans="1:37" x14ac:dyDescent="0.25">
      <c r="A8" s="1">
        <v>3.6</v>
      </c>
      <c r="B8" s="1">
        <v>4.2</v>
      </c>
      <c r="C8" s="1">
        <f>ROUNDDOWN(_xlfn.PERCENTILE.INC('SPT-01:SPT-06'!C8, 0.15),0)</f>
        <v>26</v>
      </c>
      <c r="D8" s="1" t="str" cm="1">
        <f t="array" ref="D8">_xlfn.LET(_xlpm.linha, Z8:AE8, _xlpm.contagens, IF(_xlpm.linha="", 0, COUNTIF(_xlpm.linha, _xlpm.linha)), INDEX(_xlpm.linha, MATCH(MAX(_xlpm.contagens), _xlpm.contagens, 0)))</f>
        <v>Finos</v>
      </c>
      <c r="E8" s="1" t="str" cm="1">
        <f t="array" ref="E8">_xlfn.LET(_xlpm.linha, AF8:AK8, _xlpm.contagens, IF(_xlpm.linha="", 0, COUNTIF(_xlpm.linha, _xlpm.linha)), INDEX(_xlpm.linha, MATCH(MAX(_xlpm.contagens), _xlpm.contagens, 0)))</f>
        <v>ML</v>
      </c>
      <c r="F8" s="1" cm="1">
        <f t="array" ref="F8">_xlfn.XLOOKUP(D8,'TABELA AUXILIAR'!$A$2:$A$5,IF('SPT médio'!A8&lt;3,'TABELA AUXILIAR'!$B$2:$B$5,'TABELA AUXILIAR'!$C$2:$C$5),"",0,1)</f>
        <v>11</v>
      </c>
      <c r="G8" s="6">
        <f t="shared" si="1"/>
        <v>20.649952374523497</v>
      </c>
      <c r="H8" s="2">
        <f t="shared" si="2"/>
        <v>40.51775480133152</v>
      </c>
      <c r="I8" s="2">
        <f t="shared" si="3"/>
        <v>313.77602633088452</v>
      </c>
      <c r="J8" s="1">
        <f t="shared" si="8"/>
        <v>63.899999999999977</v>
      </c>
      <c r="K8" s="1">
        <f t="shared" si="4"/>
        <v>0.84186112784520228</v>
      </c>
      <c r="L8" s="1">
        <f t="shared" si="5"/>
        <v>53.79492606930841</v>
      </c>
      <c r="M8" s="1">
        <f t="shared" si="6"/>
        <v>614.29217478737451</v>
      </c>
      <c r="N8" s="1">
        <f>$L8*'TABELA AUXILIAR'!$I$3*(B8-A8)</f>
        <v>121.36135321235977</v>
      </c>
      <c r="O8" s="1">
        <f>$L8*'TABELA AUXILIAR'!$I$4*(B8-A8)</f>
        <v>131.68997901766701</v>
      </c>
      <c r="P8" s="1">
        <f>$L8*'TABELA AUXILIAR'!$I$5*(B8-A8)</f>
        <v>152.0244610718656</v>
      </c>
      <c r="Q8" s="1">
        <f>$M8*'TABELA AUXILIAR'!$J$3+SUM(N$2:N8)</f>
        <v>1410.141981534457</v>
      </c>
      <c r="R8" s="1">
        <f>$M8*'TABELA AUXILIAR'!$J$4+SUM(O$2:O8)</f>
        <v>1587.7929691291415</v>
      </c>
      <c r="S8" s="1">
        <f>$M8*'TABELA AUXILIAR'!$J$5+SUM(P$2:P8)</f>
        <v>1978.0482412312181</v>
      </c>
      <c r="T8" s="2">
        <f t="shared" si="7"/>
        <v>705.07</v>
      </c>
      <c r="U8" s="2">
        <f t="shared" si="0"/>
        <v>793.89</v>
      </c>
      <c r="V8" s="2">
        <f t="shared" si="0"/>
        <v>989.02</v>
      </c>
      <c r="Z8" s="1" t="str">
        <f>IF('SPT-01'!$D8="","",'SPT-01'!$D8)</f>
        <v>Gravas</v>
      </c>
      <c r="AA8" s="1" t="str">
        <f>IF('SPT-02'!$D8="","",'SPT-02'!$D8)</f>
        <v>Finos</v>
      </c>
      <c r="AB8" s="1" t="str">
        <f>IF('SPT-03'!$D8="","",'SPT-03'!$D8)</f>
        <v>Areias</v>
      </c>
      <c r="AC8" s="1" t="str">
        <f>IF('SPT-04'!$D8="","",'SPT-04'!$D8)</f>
        <v>Areias</v>
      </c>
      <c r="AD8" s="1" t="str">
        <f>IF('SPT-05'!$D8="","",'SPT-05'!$D8)</f>
        <v>Finos</v>
      </c>
      <c r="AE8" s="1" t="str">
        <f>IF('SPT-06'!$D8="","",'SPT-06'!$D8)</f>
        <v>Finos</v>
      </c>
      <c r="AF8" s="1" t="str">
        <f>IF('SPT-01'!$E8="","",'SPT-01'!$E8)</f>
        <v>GP</v>
      </c>
      <c r="AG8" s="1" t="str">
        <f>IF('SPT-02'!$E8="","",'SPT-02'!$E8)</f>
        <v>ML</v>
      </c>
      <c r="AH8" s="1" t="str">
        <f>IF('SPT-03'!$E8="","",'SPT-03'!$E8)</f>
        <v>SM</v>
      </c>
      <c r="AI8" s="1" t="str">
        <f>IF('SPT-04'!$E8="","",'SPT-04'!$E8)</f>
        <v>SP-SM</v>
      </c>
      <c r="AJ8" s="1" t="str">
        <f>IF('SPT-05'!$E8="","",'SPT-05'!$E8)</f>
        <v>CL</v>
      </c>
      <c r="AK8" s="1" t="str">
        <f>IF('SPT-06'!$E8="","",'SPT-06'!$E8)</f>
        <v>ML</v>
      </c>
    </row>
    <row r="9" spans="1:37" x14ac:dyDescent="0.25">
      <c r="A9" s="1">
        <v>4.2</v>
      </c>
      <c r="B9" s="1">
        <v>4.8</v>
      </c>
      <c r="C9" s="1">
        <f>ROUNDDOWN(_xlfn.PERCENTILE.INC('SPT-01:SPT-06'!C9, 0.15),0)</f>
        <v>16</v>
      </c>
      <c r="D9" s="1" t="str" cm="1">
        <f t="array" ref="D9">_xlfn.LET(_xlpm.linha, Z9:AE9, _xlpm.contagens, IF(_xlpm.linha="", 0, COUNTIF(_xlpm.linha, _xlpm.linha)), INDEX(_xlpm.linha, MATCH(MAX(_xlpm.contagens), _xlpm.contagens, 0)))</f>
        <v>Finos</v>
      </c>
      <c r="E9" s="1" t="str" cm="1">
        <f t="array" ref="E9">_xlfn.LET(_xlpm.linha, AF9:AK9, _xlpm.contagens, IF(_xlpm.linha="", 0, COUNTIF(_xlpm.linha, _xlpm.linha)), INDEX(_xlpm.linha, MATCH(MAX(_xlpm.contagens), _xlpm.contagens, 0)))</f>
        <v>ML</v>
      </c>
      <c r="F9" s="1" cm="1">
        <f t="array" ref="F9">_xlfn.XLOOKUP(D9,'TABELA AUXILIAR'!$A$2:$A$5,IF('SPT médio'!A9&lt;3,'TABELA AUXILIAR'!$B$2:$B$5,'TABELA AUXILIAR'!$C$2:$C$5),"",0,1)</f>
        <v>11</v>
      </c>
      <c r="G9" s="6">
        <f t="shared" si="1"/>
        <v>13.347803927761984</v>
      </c>
      <c r="H9" s="2">
        <f t="shared" si="2"/>
        <v>38.577903840434509</v>
      </c>
      <c r="I9" s="2">
        <f t="shared" si="3"/>
        <v>202.81988068234332</v>
      </c>
      <c r="J9" s="1">
        <f t="shared" si="8"/>
        <v>70.499999999999972</v>
      </c>
      <c r="K9" s="1">
        <f t="shared" si="4"/>
        <v>0.58031669752917325</v>
      </c>
      <c r="L9" s="1">
        <f t="shared" si="5"/>
        <v>40.912327175806695</v>
      </c>
      <c r="M9" s="1">
        <f t="shared" si="6"/>
        <v>441.88091650344859</v>
      </c>
      <c r="N9" s="1">
        <f>$L9*'TABELA AUXILIAR'!$I$3*(B9-A9)</f>
        <v>92.298210108619841</v>
      </c>
      <c r="O9" s="1">
        <f>$L9*'TABELA AUXILIAR'!$I$4*(B9-A9)</f>
        <v>100.15337692637472</v>
      </c>
      <c r="P9" s="1">
        <f>$L9*'TABELA AUXILIAR'!$I$5*(B9-A9)</f>
        <v>115.61823659882964</v>
      </c>
      <c r="Q9" s="1">
        <f>$M9*'TABELA AUXILIAR'!$J$3+SUM(N$2:N9)</f>
        <v>1307.6154697822408</v>
      </c>
      <c r="R9" s="1">
        <f>$M9*'TABELA AUXILIAR'!$J$4+SUM(O$2:O9)</f>
        <v>1460.3634851207339</v>
      </c>
      <c r="S9" s="1">
        <f>$M9*'TABELA AUXILIAR'!$J$5+SUM(P$2:P9)</f>
        <v>1790.222663250338</v>
      </c>
      <c r="T9" s="2">
        <f t="shared" si="7"/>
        <v>653.79999999999995</v>
      </c>
      <c r="U9" s="2">
        <f t="shared" si="0"/>
        <v>730.18</v>
      </c>
      <c r="V9" s="2">
        <f t="shared" si="0"/>
        <v>895.11</v>
      </c>
      <c r="Z9" s="1" t="str">
        <f>IF('SPT-01'!$D9="","",'SPT-01'!$D9)</f>
        <v>Gravas</v>
      </c>
      <c r="AA9" s="1" t="str">
        <f>IF('SPT-02'!$D9="","",'SPT-02'!$D9)</f>
        <v>Finos</v>
      </c>
      <c r="AB9" s="1" t="str">
        <f>IF('SPT-03'!$D9="","",'SPT-03'!$D9)</f>
        <v>Areias</v>
      </c>
      <c r="AC9" s="1" t="str">
        <f>IF('SPT-04'!$D9="","",'SPT-04'!$D9)</f>
        <v>Areias</v>
      </c>
      <c r="AD9" s="1" t="str">
        <f>IF('SPT-05'!$D9="","",'SPT-05'!$D9)</f>
        <v>Finos</v>
      </c>
      <c r="AE9" s="1" t="str">
        <f>IF('SPT-06'!$D9="","",'SPT-06'!$D9)</f>
        <v>Finos</v>
      </c>
      <c r="AF9" s="1" t="str">
        <f>IF('SPT-01'!$E9="","",'SPT-01'!$E9)</f>
        <v>GP</v>
      </c>
      <c r="AG9" s="1" t="str">
        <f>IF('SPT-02'!$E9="","",'SPT-02'!$E9)</f>
        <v>ML</v>
      </c>
      <c r="AH9" s="1" t="str">
        <f>IF('SPT-03'!$E9="","",'SPT-03'!$E9)</f>
        <v>SM</v>
      </c>
      <c r="AI9" s="1" t="str">
        <f>IF('SPT-04'!$E9="","",'SPT-04'!$E9)</f>
        <v>SP-SM</v>
      </c>
      <c r="AJ9" s="1" t="str">
        <f>IF('SPT-05'!$E9="","",'SPT-05'!$E9)</f>
        <v>CL</v>
      </c>
      <c r="AK9" s="1" t="str">
        <f>IF('SPT-06'!$E9="","",'SPT-06'!$E9)</f>
        <v>ML</v>
      </c>
    </row>
    <row r="10" spans="1:37" x14ac:dyDescent="0.25">
      <c r="A10" s="1">
        <v>4.8</v>
      </c>
      <c r="B10" s="1">
        <v>5.4</v>
      </c>
      <c r="C10" s="1">
        <f>ROUNDDOWN(_xlfn.PERCENTILE.INC('SPT-01:SPT-06'!C10, 0.15),0)</f>
        <v>16</v>
      </c>
      <c r="D10" s="1" t="str" cm="1">
        <f t="array" ref="D10">_xlfn.LET(_xlpm.linha, Z10:AE10, _xlpm.contagens, IF(_xlpm.linha="", 0, COUNTIF(_xlpm.linha, _xlpm.linha)), INDEX(_xlpm.linha, MATCH(MAX(_xlpm.contagens), _xlpm.contagens, 0)))</f>
        <v>Areias</v>
      </c>
      <c r="E10" s="1" t="str" cm="1">
        <f t="array" ref="E10">_xlfn.LET(_xlpm.linha, AF10:AK10, _xlpm.contagens, IF(_xlpm.linha="", 0, COUNTIF(_xlpm.linha, _xlpm.linha)), INDEX(_xlpm.linha, MATCH(MAX(_xlpm.contagens), _xlpm.contagens, 0)))</f>
        <v>SM</v>
      </c>
      <c r="F10" s="1" cm="1">
        <f t="array" ref="F10">_xlfn.XLOOKUP(D10,'TABELA AUXILIAR'!$A$2:$A$5,IF('SPT médio'!A10&lt;3,'TABELA AUXILIAR'!$B$2:$B$5,'TABELA AUXILIAR'!$C$2:$C$5),"",0,1)</f>
        <v>8.5</v>
      </c>
      <c r="G10" s="6">
        <f t="shared" si="1"/>
        <v>13.89056082949665</v>
      </c>
      <c r="H10" s="2">
        <f t="shared" si="2"/>
        <v>38.577903840434509</v>
      </c>
      <c r="I10" s="2">
        <f t="shared" si="3"/>
        <v>390.73573148927147</v>
      </c>
      <c r="J10" s="1">
        <f t="shared" si="8"/>
        <v>76.349999999999966</v>
      </c>
      <c r="K10" s="1">
        <f t="shared" si="4"/>
        <v>0.83110293136590996</v>
      </c>
      <c r="L10" s="1">
        <f t="shared" si="5"/>
        <v>63.454708809787199</v>
      </c>
      <c r="M10" s="1">
        <f t="shared" si="6"/>
        <v>463.52930998032576</v>
      </c>
      <c r="N10" s="1">
        <f>$L10*'TABELA AUXILIAR'!$I$3*(B10-A10)</f>
        <v>143.15382307488002</v>
      </c>
      <c r="O10" s="1">
        <f>$L10*'TABELA AUXILIAR'!$I$4*(B10-A10)</f>
        <v>155.33712716635921</v>
      </c>
      <c r="P10" s="1">
        <f>$L10*'TABELA AUXILIAR'!$I$5*(B10-A10)</f>
        <v>179.32300709645878</v>
      </c>
      <c r="Q10" s="1">
        <f>$M10*'TABELA AUXILIAR'!$J$3+SUM(N$2:N10)</f>
        <v>1475.231977485992</v>
      </c>
      <c r="R10" s="1">
        <f>$M10*'TABELA AUXILIAR'!$J$4+SUM(O$2:O10)</f>
        <v>1644.2764916765709</v>
      </c>
      <c r="S10" s="1">
        <f>$M10*'TABELA AUXILIAR'!$J$5+SUM(P$2:P10)</f>
        <v>2007.6468428661005</v>
      </c>
      <c r="T10" s="2">
        <f t="shared" si="7"/>
        <v>737.61</v>
      </c>
      <c r="U10" s="2">
        <f t="shared" si="0"/>
        <v>822.13</v>
      </c>
      <c r="V10" s="2">
        <f t="shared" si="0"/>
        <v>1003.82</v>
      </c>
      <c r="Z10" s="1" t="str">
        <f>IF('SPT-01'!$D10="","",'SPT-01'!$D10)</f>
        <v>Gravas</v>
      </c>
      <c r="AA10" s="1" t="str">
        <f>IF('SPT-02'!$D10="","",'SPT-02'!$D10)</f>
        <v>Areias</v>
      </c>
      <c r="AB10" s="1" t="str">
        <f>IF('SPT-03'!$D10="","",'SPT-03'!$D10)</f>
        <v>Areias</v>
      </c>
      <c r="AC10" s="1" t="str">
        <f>IF('SPT-04'!$D10="","",'SPT-04'!$D10)</f>
        <v>Areias</v>
      </c>
      <c r="AD10" s="1" t="str">
        <f>IF('SPT-05'!$D10="","",'SPT-05'!$D10)</f>
        <v>Finos</v>
      </c>
      <c r="AE10" s="1" t="str">
        <f>IF('SPT-06'!$D10="","",'SPT-06'!$D10)</f>
        <v>Finos</v>
      </c>
      <c r="AF10" s="1" t="str">
        <f>IF('SPT-01'!$E10="","",'SPT-01'!$E10)</f>
        <v>GP</v>
      </c>
      <c r="AG10" s="1" t="str">
        <f>IF('SPT-02'!$E10="","",'SPT-02'!$E10)</f>
        <v>SM</v>
      </c>
      <c r="AH10" s="1" t="str">
        <f>IF('SPT-03'!$E10="","",'SPT-03'!$E10)</f>
        <v>SM</v>
      </c>
      <c r="AI10" s="1" t="str">
        <f>IF('SPT-04'!$E10="","",'SPT-04'!$E10)</f>
        <v>SP-SM</v>
      </c>
      <c r="AJ10" s="1" t="str">
        <f>IF('SPT-05'!$E10="","",'SPT-05'!$E10)</f>
        <v>CL</v>
      </c>
      <c r="AK10" s="1" t="str">
        <f>IF('SPT-06'!$E10="","",'SPT-06'!$E10)</f>
        <v>ML</v>
      </c>
    </row>
    <row r="11" spans="1:37" x14ac:dyDescent="0.25">
      <c r="A11" s="1">
        <v>5.4</v>
      </c>
      <c r="B11" s="1">
        <v>6</v>
      </c>
      <c r="C11" s="1">
        <f>ROUNDDOWN(_xlfn.PERCENTILE.INC('SPT-01:SPT-06'!C11, 0.15),0)</f>
        <v>29</v>
      </c>
      <c r="D11" s="1" t="str" cm="1">
        <f t="array" ref="D11">_xlfn.LET(_xlpm.linha, Z11:AE11, _xlpm.contagens, IF(_xlpm.linha="", 0, COUNTIF(_xlpm.linha, _xlpm.linha)), INDEX(_xlpm.linha, MATCH(MAX(_xlpm.contagens), _xlpm.contagens, 0)))</f>
        <v>Areias</v>
      </c>
      <c r="E11" s="1" t="str" cm="1">
        <f t="array" ref="E11">_xlfn.LET(_xlpm.linha, AF11:AK11, _xlpm.contagens, IF(_xlpm.linha="", 0, COUNTIF(_xlpm.linha, _xlpm.linha)), INDEX(_xlpm.linha, MATCH(MAX(_xlpm.contagens), _xlpm.contagens, 0)))</f>
        <v>SM</v>
      </c>
      <c r="F11" s="1" cm="1">
        <f t="array" ref="F11">_xlfn.XLOOKUP(D11,'TABELA AUXILIAR'!$A$2:$A$5,IF('SPT médio'!A11&lt;3,'TABELA AUXILIAR'!$B$2:$B$5,'TABELA AUXILIAR'!$C$2:$C$5),"",0,1)</f>
        <v>8.5</v>
      </c>
      <c r="G11" s="6">
        <f t="shared" si="1"/>
        <v>26.003919895866492</v>
      </c>
      <c r="H11" s="2">
        <f t="shared" si="2"/>
        <v>40.954061580670398</v>
      </c>
      <c r="I11" s="2">
        <f t="shared" si="3"/>
        <v>645.26537125401228</v>
      </c>
      <c r="J11" s="1">
        <f t="shared" si="8"/>
        <v>81.44999999999996</v>
      </c>
      <c r="K11" s="1">
        <f t="shared" si="4"/>
        <v>1.161074459776164</v>
      </c>
      <c r="L11" s="1">
        <f t="shared" si="5"/>
        <v>94.569514748768512</v>
      </c>
      <c r="M11" s="1">
        <f t="shared" si="6"/>
        <v>775.44114552202257</v>
      </c>
      <c r="N11" s="1">
        <f>$L11*'TABELA AUXILIAR'!$I$3*(B11-A11)</f>
        <v>213.34882527322162</v>
      </c>
      <c r="O11" s="1">
        <f>$L11*'TABELA AUXILIAR'!$I$4*(B11-A11)</f>
        <v>231.50617210498518</v>
      </c>
      <c r="P11" s="1">
        <f>$L11*'TABELA AUXILIAR'!$I$5*(B11-A11)</f>
        <v>267.25344868001969</v>
      </c>
      <c r="Q11" s="1">
        <f>$M11*'TABELA AUXILIAR'!$J$3+SUM(N$2:N11)</f>
        <v>2041.041176921331</v>
      </c>
      <c r="R11" s="1">
        <f>$M11*'TABELA AUXILIAR'!$J$4+SUM(O$2:O11)</f>
        <v>2287.5062866965959</v>
      </c>
      <c r="S11" s="1">
        <f>$M11*'TABELA AUXILIAR'!$J$5+SUM(P$2:P11)</f>
        <v>2823.8651220995066</v>
      </c>
      <c r="T11" s="2">
        <f t="shared" si="7"/>
        <v>1020.52</v>
      </c>
      <c r="U11" s="2">
        <f t="shared" si="0"/>
        <v>1143.75</v>
      </c>
      <c r="V11" s="2">
        <f t="shared" si="0"/>
        <v>1411.93</v>
      </c>
      <c r="Z11" s="1" t="str">
        <f>IF('SPT-01'!$D11="","",'SPT-01'!$D11)</f>
        <v>Gravas</v>
      </c>
      <c r="AA11" s="1" t="str">
        <f>IF('SPT-02'!$D11="","",'SPT-02'!$D11)</f>
        <v>Areias</v>
      </c>
      <c r="AB11" s="1" t="str">
        <f>IF('SPT-03'!$D11="","",'SPT-03'!$D11)</f>
        <v>Areias</v>
      </c>
      <c r="AC11" s="1" t="str">
        <f>IF('SPT-04'!$D11="","",'SPT-04'!$D11)</f>
        <v>Areias</v>
      </c>
      <c r="AD11" s="1" t="str">
        <f>IF('SPT-05'!$D11="","",'SPT-05'!$D11)</f>
        <v>Finos</v>
      </c>
      <c r="AE11" s="1" t="str">
        <f>IF('SPT-06'!$D11="","",'SPT-06'!$D11)</f>
        <v>Areias</v>
      </c>
      <c r="AF11" s="1" t="str">
        <f>IF('SPT-01'!$E11="","",'SPT-01'!$E11)</f>
        <v>GP</v>
      </c>
      <c r="AG11" s="1" t="str">
        <f>IF('SPT-02'!$E11="","",'SPT-02'!$E11)</f>
        <v>SM</v>
      </c>
      <c r="AH11" s="1" t="str">
        <f>IF('SPT-03'!$E11="","",'SPT-03'!$E11)</f>
        <v>SM</v>
      </c>
      <c r="AI11" s="1" t="str">
        <f>IF('SPT-04'!$E11="","",'SPT-04'!$E11)</f>
        <v>SP-SM</v>
      </c>
      <c r="AJ11" s="1" t="str">
        <f>IF('SPT-05'!$E11="","",'SPT-05'!$E11)</f>
        <v>CL</v>
      </c>
      <c r="AK11" s="1" t="str">
        <f>IF('SPT-06'!$E11="","",'SPT-06'!$E11)</f>
        <v>SM</v>
      </c>
    </row>
    <row r="12" spans="1:37" x14ac:dyDescent="0.25">
      <c r="A12" s="1">
        <v>6</v>
      </c>
      <c r="B12" s="1">
        <v>6.6</v>
      </c>
      <c r="C12" s="1">
        <f>ROUNDDOWN(_xlfn.PERCENTILE.INC('SPT-01:SPT-06'!C12, 0.15),0)</f>
        <v>33</v>
      </c>
      <c r="D12" s="1" t="str" cm="1">
        <f t="array" ref="D12">_xlfn.LET(_xlpm.linha, Z12:AE12, _xlpm.contagens, IF(_xlpm.linha="", 0, COUNTIF(_xlpm.linha, _xlpm.linha)), INDEX(_xlpm.linha, MATCH(MAX(_xlpm.contagens), _xlpm.contagens, 0)))</f>
        <v>Areias</v>
      </c>
      <c r="E12" s="1" t="str" cm="1">
        <f t="array" ref="E12">_xlfn.LET(_xlpm.linha, AF12:AK12, _xlpm.contagens, IF(_xlpm.linha="", 0, COUNTIF(_xlpm.linha, _xlpm.linha)), INDEX(_xlpm.linha, MATCH(MAX(_xlpm.contagens), _xlpm.contagens, 0)))</f>
        <v>SM</v>
      </c>
      <c r="F12" s="1" cm="1">
        <f t="array" ref="F12">_xlfn.XLOOKUP(D12,'TABELA AUXILIAR'!$A$2:$A$5,IF('SPT médio'!A12&lt;3,'TABELA AUXILIAR'!$B$2:$B$5,'TABELA AUXILIAR'!$C$2:$C$5),"",0,1)</f>
        <v>8.5</v>
      </c>
      <c r="G12" s="6">
        <f t="shared" si="1"/>
        <v>30.503013946531738</v>
      </c>
      <c r="H12" s="2">
        <f t="shared" si="2"/>
        <v>41.470328246876562</v>
      </c>
      <c r="I12" s="2">
        <f t="shared" si="3"/>
        <v>733.13086860779663</v>
      </c>
      <c r="J12" s="1">
        <f t="shared" si="8"/>
        <v>86.549999999999955</v>
      </c>
      <c r="K12" s="1">
        <f t="shared" si="4"/>
        <v>1.2287635075427359</v>
      </c>
      <c r="L12" s="1">
        <f t="shared" si="5"/>
        <v>106.34948157782374</v>
      </c>
      <c r="M12" s="1">
        <f t="shared" si="6"/>
        <v>891.79941887889345</v>
      </c>
      <c r="N12" s="1">
        <f>$L12*'TABELA AUXILIAR'!$I$3*(B12-A12)</f>
        <v>239.92443043957019</v>
      </c>
      <c r="O12" s="1">
        <f>$L12*'TABELA AUXILIAR'!$I$4*(B12-A12)</f>
        <v>260.34353090251238</v>
      </c>
      <c r="P12" s="1">
        <f>$L12*'TABELA AUXILIAR'!$I$5*(B12-A12)</f>
        <v>300.5436349389297</v>
      </c>
      <c r="Q12" s="1">
        <f>$M12*'TABELA AUXILIAR'!$J$3+SUM(N$2:N12)</f>
        <v>2412.4504562541651</v>
      </c>
      <c r="R12" s="1">
        <f>$M12*'TABELA AUXILIAR'!$J$4+SUM(O$2:O12)</f>
        <v>2701.442738430178</v>
      </c>
      <c r="S12" s="1">
        <f>$M12*'TABELA AUXILIAR'!$J$5+SUM(P$2:P12)</f>
        <v>3329.1993181465291</v>
      </c>
      <c r="T12" s="2">
        <f t="shared" si="7"/>
        <v>1206.22</v>
      </c>
      <c r="U12" s="2">
        <f t="shared" si="0"/>
        <v>1350.72</v>
      </c>
      <c r="V12" s="2">
        <f t="shared" si="0"/>
        <v>1664.59</v>
      </c>
      <c r="Z12" s="1" t="str">
        <f>IF('SPT-01'!$D12="","",'SPT-01'!$D12)</f>
        <v>Gravas</v>
      </c>
      <c r="AA12" s="1" t="str">
        <f>IF('SPT-02'!$D12="","",'SPT-02'!$D12)</f>
        <v>Areias</v>
      </c>
      <c r="AB12" s="1" t="str">
        <f>IF('SPT-03'!$D12="","",'SPT-03'!$D12)</f>
        <v>Areias</v>
      </c>
      <c r="AC12" s="1" t="str">
        <f>IF('SPT-04'!$D12="","",'SPT-04'!$D12)</f>
        <v>Gravas</v>
      </c>
      <c r="AD12" s="1" t="str">
        <f>IF('SPT-05'!$D12="","",'SPT-05'!$D12)</f>
        <v>Finos</v>
      </c>
      <c r="AE12" s="1" t="str">
        <f>IF('SPT-06'!$D12="","",'SPT-06'!$D12)</f>
        <v>Areias</v>
      </c>
      <c r="AF12" s="1" t="str">
        <f>IF('SPT-01'!$E12="","",'SPT-01'!$E12)</f>
        <v>GP</v>
      </c>
      <c r="AG12" s="1" t="str">
        <f>IF('SPT-02'!$E12="","",'SPT-02'!$E12)</f>
        <v>SM</v>
      </c>
      <c r="AH12" s="1" t="str">
        <f>IF('SPT-03'!$E12="","",'SPT-03'!$E12)</f>
        <v>SM</v>
      </c>
      <c r="AI12" s="1" t="str">
        <f>IF('SPT-04'!$E12="","",'SPT-04'!$E12)</f>
        <v>GP</v>
      </c>
      <c r="AJ12" s="1" t="str">
        <f>IF('SPT-05'!$E12="","",'SPT-05'!$E12)</f>
        <v>CL</v>
      </c>
      <c r="AK12" s="1" t="str">
        <f>IF('SPT-06'!$E12="","",'SPT-06'!$E12)</f>
        <v>SM</v>
      </c>
    </row>
    <row r="13" spans="1:37" x14ac:dyDescent="0.25">
      <c r="A13" s="1">
        <v>6.6</v>
      </c>
      <c r="B13" s="1">
        <v>7.2</v>
      </c>
      <c r="C13" s="1">
        <f>ROUNDDOWN(_xlfn.PERCENTILE.INC('SPT-01:SPT-06'!C13, 0.15),0)</f>
        <v>31</v>
      </c>
      <c r="D13" s="1" t="str" cm="1">
        <f t="array" ref="D13">_xlfn.LET(_xlpm.linha, Z13:AE13, _xlpm.contagens, IF(_xlpm.linha="", 0, COUNTIF(_xlpm.linha, _xlpm.linha)), INDEX(_xlpm.linha, MATCH(MAX(_xlpm.contagens), _xlpm.contagens, 0)))</f>
        <v>Areias</v>
      </c>
      <c r="E13" s="1" t="str" cm="1">
        <f t="array" ref="E13">_xlfn.LET(_xlpm.linha, AF13:AK13, _xlpm.contagens, IF(_xlpm.linha="", 0, COUNTIF(_xlpm.linha, _xlpm.linha)), INDEX(_xlpm.linha, MATCH(MAX(_xlpm.contagens), _xlpm.contagens, 0)))</f>
        <v>SM</v>
      </c>
      <c r="F13" s="1" cm="1">
        <f t="array" ref="F13">_xlfn.XLOOKUP(D13,'TABELA AUXILIAR'!$A$2:$A$5,IF('SPT médio'!A13&lt;3,'TABELA AUXILIAR'!$B$2:$B$5,'TABELA AUXILIAR'!$C$2:$C$5),"",0,1)</f>
        <v>8.5</v>
      </c>
      <c r="G13" s="6">
        <f t="shared" si="1"/>
        <v>29.486498658859677</v>
      </c>
      <c r="H13" s="2">
        <f t="shared" si="2"/>
        <v>41.220527583275306</v>
      </c>
      <c r="I13" s="2">
        <f t="shared" si="3"/>
        <v>713.51953508421957</v>
      </c>
      <c r="J13" s="1">
        <f t="shared" si="8"/>
        <v>91.649999999999949</v>
      </c>
      <c r="K13" s="1">
        <f t="shared" si="4"/>
        <v>1.1551981440597221</v>
      </c>
      <c r="L13" s="1">
        <f t="shared" si="5"/>
        <v>105.87390990307347</v>
      </c>
      <c r="M13" s="1">
        <f t="shared" si="6"/>
        <v>877.93957543607985</v>
      </c>
      <c r="N13" s="1">
        <f>$L13*'TABELA AUXILIAR'!$I$3*(B13-A13)</f>
        <v>238.85154074133393</v>
      </c>
      <c r="O13" s="1">
        <f>$L13*'TABELA AUXILIAR'!$I$4*(B13-A13)</f>
        <v>259.17933144272411</v>
      </c>
      <c r="P13" s="1">
        <f>$L13*'TABELA AUXILIAR'!$I$5*(B13-A13)</f>
        <v>299.19966938608587</v>
      </c>
      <c r="Q13" s="1">
        <f>$M13*'TABELA AUXILIAR'!$J$3+SUM(N$2:N13)</f>
        <v>2635.6403739051198</v>
      </c>
      <c r="R13" s="1">
        <f>$M13*'TABELA AUXILIAR'!$J$4+SUM(O$2:O13)</f>
        <v>2942.3270765283878</v>
      </c>
      <c r="S13" s="1">
        <f>$M13*'TABELA AUXILIAR'!$J$5+SUM(P$2:P13)</f>
        <v>3604.0056630732633</v>
      </c>
      <c r="T13" s="2">
        <f t="shared" si="7"/>
        <v>1317.82</v>
      </c>
      <c r="U13" s="2">
        <f t="shared" si="0"/>
        <v>1471.16</v>
      </c>
      <c r="V13" s="2">
        <f t="shared" si="0"/>
        <v>1802</v>
      </c>
      <c r="Z13" s="1" t="str">
        <f>IF('SPT-01'!$D13="","",'SPT-01'!$D13)</f>
        <v>Gravas</v>
      </c>
      <c r="AA13" s="1" t="str">
        <f>IF('SPT-02'!$D13="","",'SPT-02'!$D13)</f>
        <v>Areias</v>
      </c>
      <c r="AB13" s="1" t="str">
        <f>IF('SPT-03'!$D13="","",'SPT-03'!$D13)</f>
        <v>Areias</v>
      </c>
      <c r="AC13" s="1" t="str">
        <f>IF('SPT-04'!$D13="","",'SPT-04'!$D13)</f>
        <v>Gravas</v>
      </c>
      <c r="AD13" s="1" t="str">
        <f>IF('SPT-05'!$D13="","",'SPT-05'!$D13)</f>
        <v>Areias</v>
      </c>
      <c r="AE13" s="1" t="str">
        <f>IF('SPT-06'!$D13="","",'SPT-06'!$D13)</f>
        <v>Areias</v>
      </c>
      <c r="AF13" s="1" t="str">
        <f>IF('SPT-01'!$E13="","",'SPT-01'!$E13)</f>
        <v>GP</v>
      </c>
      <c r="AG13" s="1" t="str">
        <f>IF('SPT-02'!$E13="","",'SPT-02'!$E13)</f>
        <v>SM</v>
      </c>
      <c r="AH13" s="1" t="str">
        <f>IF('SPT-03'!$E13="","",'SPT-03'!$E13)</f>
        <v>SM</v>
      </c>
      <c r="AI13" s="1" t="str">
        <f>IF('SPT-04'!$E13="","",'SPT-04'!$E13)</f>
        <v>GP</v>
      </c>
      <c r="AJ13" s="1" t="str">
        <f>IF('SPT-05'!$E13="","",'SPT-05'!$E13)</f>
        <v>SM</v>
      </c>
      <c r="AK13" s="1" t="str">
        <f>IF('SPT-06'!$E13="","",'SPT-06'!$E13)</f>
        <v>SM</v>
      </c>
    </row>
    <row r="14" spans="1:37" x14ac:dyDescent="0.25">
      <c r="A14" s="1">
        <v>7.2</v>
      </c>
      <c r="B14" s="1">
        <v>7.8</v>
      </c>
      <c r="C14" s="1">
        <f>ROUNDDOWN(_xlfn.PERCENTILE.INC('SPT-01:SPT-06'!C14, 0.15),0)</f>
        <v>27</v>
      </c>
      <c r="D14" s="1" t="str" cm="1">
        <f t="array" ref="D14">_xlfn.LET(_xlpm.linha, Z14:AE14, _xlpm.contagens, IF(_xlpm.linha="", 0, COUNTIF(_xlpm.linha, _xlpm.linha)), INDEX(_xlpm.linha, MATCH(MAX(_xlpm.contagens), _xlpm.contagens, 0)))</f>
        <v>Gravas</v>
      </c>
      <c r="E14" s="1" t="str" cm="1">
        <f t="array" ref="E14">_xlfn.LET(_xlpm.linha, AF14:AK14, _xlpm.contagens, IF(_xlpm.linha="", 0, COUNTIF(_xlpm.linha, _xlpm.linha)), INDEX(_xlpm.linha, MATCH(MAX(_xlpm.contagens), _xlpm.contagens, 0)))</f>
        <v>SM</v>
      </c>
      <c r="F14" s="1" cm="1">
        <f t="array" ref="F14">_xlfn.XLOOKUP(D14,'TABELA AUXILIAR'!$A$2:$A$5,IF('SPT médio'!A14&lt;3,'TABELA AUXILIAR'!$B$2:$B$5,'TABELA AUXILIAR'!$C$2:$C$5),"",0,1)</f>
        <v>10.5</v>
      </c>
      <c r="G14" s="6">
        <f t="shared" si="1"/>
        <v>26.468359176804658</v>
      </c>
      <c r="H14" s="2">
        <f t="shared" si="2"/>
        <v>40.668546630262682</v>
      </c>
      <c r="I14" s="2">
        <f t="shared" si="3"/>
        <v>402.18671769154673</v>
      </c>
      <c r="J14" s="1">
        <f t="shared" si="8"/>
        <v>97.349999999999937</v>
      </c>
      <c r="K14" s="1">
        <f t="shared" si="4"/>
        <v>0.75432142585681761</v>
      </c>
      <c r="L14" s="1">
        <f t="shared" si="5"/>
        <v>73.433190807161154</v>
      </c>
      <c r="M14" s="1">
        <f t="shared" si="6"/>
        <v>815.0577375195719</v>
      </c>
      <c r="N14" s="1">
        <f>$L14*'TABELA AUXILIAR'!$I$3*(B14-A14)</f>
        <v>165.66527846095545</v>
      </c>
      <c r="O14" s="1">
        <f>$L14*'TABELA AUXILIAR'!$I$4*(B14-A14)</f>
        <v>179.76445109593038</v>
      </c>
      <c r="P14" s="1">
        <f>$L14*'TABELA AUXILIAR'!$I$5*(B14-A14)</f>
        <v>207.52219722103729</v>
      </c>
      <c r="Q14" s="1">
        <f>$M14*'TABELA AUXILIAR'!$J$3+SUM(N$2:N14)</f>
        <v>2730.2491755204214</v>
      </c>
      <c r="R14" s="1">
        <f>$M14*'TABELA AUXILIAR'!$J$4+SUM(O$2:O14)</f>
        <v>3039.0875015745278</v>
      </c>
      <c r="S14" s="1">
        <f>$M14*'TABELA AUXILIAR'!$J$5+SUM(P$2:P14)</f>
        <v>3700.855825561247</v>
      </c>
      <c r="T14" s="2">
        <f t="shared" si="7"/>
        <v>1365.12</v>
      </c>
      <c r="U14" s="2">
        <f t="shared" si="0"/>
        <v>1519.54</v>
      </c>
      <c r="V14" s="2">
        <f t="shared" si="0"/>
        <v>1850.42</v>
      </c>
      <c r="Z14" s="1" t="str">
        <f>IF('SPT-01'!$D14="","",'SPT-01'!$D14)</f>
        <v>Gravas</v>
      </c>
      <c r="AA14" s="1" t="str">
        <f>IF('SPT-02'!$D14="","",'SPT-02'!$D14)</f>
        <v>Areias</v>
      </c>
      <c r="AB14" s="1" t="str">
        <f>IF('SPT-03'!$D14="","",'SPT-03'!$D14)</f>
        <v>Gravas</v>
      </c>
      <c r="AC14" s="1" t="str">
        <f>IF('SPT-04'!$D14="","",'SPT-04'!$D14)</f>
        <v>Gravas</v>
      </c>
      <c r="AD14" s="1" t="str">
        <f>IF('SPT-05'!$D14="","",'SPT-05'!$D14)</f>
        <v>Areias</v>
      </c>
      <c r="AE14" s="1" t="str">
        <f>IF('SPT-06'!$D14="","",'SPT-06'!$D14)</f>
        <v>Areias</v>
      </c>
      <c r="AF14" s="1" t="str">
        <f>IF('SPT-01'!$E14="","",'SPT-01'!$E14)</f>
        <v>GP</v>
      </c>
      <c r="AG14" s="1" t="str">
        <f>IF('SPT-02'!$E14="","",'SPT-02'!$E14)</f>
        <v>SM</v>
      </c>
      <c r="AH14" s="1" t="str">
        <f>IF('SPT-03'!$E14="","",'SPT-03'!$E14)</f>
        <v>GW</v>
      </c>
      <c r="AI14" s="1" t="str">
        <f>IF('SPT-04'!$E14="","",'SPT-04'!$E14)</f>
        <v>GP</v>
      </c>
      <c r="AJ14" s="1" t="str">
        <f>IF('SPT-05'!$E14="","",'SPT-05'!$E14)</f>
        <v>SM</v>
      </c>
      <c r="AK14" s="1" t="str">
        <f>IF('SPT-06'!$E14="","",'SPT-06'!$E14)</f>
        <v>SM</v>
      </c>
    </row>
    <row r="15" spans="1:37" x14ac:dyDescent="0.25">
      <c r="A15" s="1">
        <v>7.8</v>
      </c>
      <c r="B15" s="1">
        <v>8.4</v>
      </c>
      <c r="C15" s="1">
        <f>ROUNDDOWN(_xlfn.PERCENTILE.INC('SPT-01:SPT-06'!C15, 0.15),0)</f>
        <v>32</v>
      </c>
      <c r="D15" s="1" t="str" cm="1">
        <f t="array" ref="D15">_xlfn.LET(_xlpm.linha, Z15:AE15, _xlpm.contagens, IF(_xlpm.linha="", 0, COUNTIF(_xlpm.linha, _xlpm.linha)), INDEX(_xlpm.linha, MATCH(MAX(_xlpm.contagens), _xlpm.contagens, 0)))</f>
        <v>Gravas</v>
      </c>
      <c r="E15" s="1" t="str" cm="1">
        <f t="array" ref="E15">_xlfn.LET(_xlpm.linha, AF15:AK15, _xlpm.contagens, IF(_xlpm.linha="", 0, COUNTIF(_xlpm.linha, _xlpm.linha)), INDEX(_xlpm.linha, MATCH(MAX(_xlpm.contagens), _xlpm.contagens, 0)))</f>
        <v>GP</v>
      </c>
      <c r="F15" s="1" cm="1">
        <f t="array" ref="F15">_xlfn.XLOOKUP(D15,'TABELA AUXILIAR'!$A$2:$A$5,IF('SPT médio'!A15&lt;3,'TABELA AUXILIAR'!$B$2:$B$5,'TABELA AUXILIAR'!$C$2:$C$5),"",0,1)</f>
        <v>10.5</v>
      </c>
      <c r="G15" s="6">
        <f t="shared" si="1"/>
        <v>32.369046674652978</v>
      </c>
      <c r="H15" s="2">
        <f t="shared" si="2"/>
        <v>41.347379800543138</v>
      </c>
      <c r="I15" s="2">
        <f t="shared" si="3"/>
        <v>491.84766422135198</v>
      </c>
      <c r="J15" s="1">
        <f t="shared" si="8"/>
        <v>103.64999999999993</v>
      </c>
      <c r="K15" s="1">
        <f t="shared" si="4"/>
        <v>0.83543557774521482</v>
      </c>
      <c r="L15" s="1">
        <f t="shared" si="5"/>
        <v>86.592897633291457</v>
      </c>
      <c r="M15" s="1">
        <f t="shared" si="6"/>
        <v>969.52130335386073</v>
      </c>
      <c r="N15" s="1">
        <f>$L15*'TABELA AUXILIAR'!$I$3*(B15-A15)</f>
        <v>195.3535770607057</v>
      </c>
      <c r="O15" s="1">
        <f>$L15*'TABELA AUXILIAR'!$I$4*(B15-A15)</f>
        <v>211.97941340629768</v>
      </c>
      <c r="P15" s="1">
        <f>$L15*'TABELA AUXILIAR'!$I$5*(B15-A15)</f>
        <v>244.71152871168189</v>
      </c>
      <c r="Q15" s="1">
        <f>$M15*'TABELA AUXILIAR'!$J$3+SUM(N$2:N15)</f>
        <v>3100.1465819738733</v>
      </c>
      <c r="R15" s="1">
        <f>$M15*'TABELA AUXILIAR'!$J$4+SUM(O$2:O15)</f>
        <v>3454.9588218820868</v>
      </c>
      <c r="S15" s="1">
        <f>$M15*'TABELA AUXILIAR'!$J$5+SUM(P$2:P15)</f>
        <v>4217.4232301412767</v>
      </c>
      <c r="T15" s="2">
        <f t="shared" si="7"/>
        <v>1550.07</v>
      </c>
      <c r="U15" s="2">
        <f t="shared" si="0"/>
        <v>1727.47</v>
      </c>
      <c r="V15" s="2">
        <f t="shared" si="0"/>
        <v>2108.71</v>
      </c>
      <c r="Z15" s="1" t="str">
        <f>IF('SPT-01'!$D15="","",'SPT-01'!$D15)</f>
        <v>Gravas</v>
      </c>
      <c r="AA15" s="1" t="str">
        <f>IF('SPT-02'!$D15="","",'SPT-02'!$D15)</f>
        <v>Areias</v>
      </c>
      <c r="AB15" s="1" t="str">
        <f>IF('SPT-03'!$D15="","",'SPT-03'!$D15)</f>
        <v>Gravas</v>
      </c>
      <c r="AC15" s="1" t="str">
        <f>IF('SPT-04'!$D15="","",'SPT-04'!$D15)</f>
        <v>Gravas</v>
      </c>
      <c r="AD15" s="1" t="str">
        <f>IF('SPT-05'!$D15="","",'SPT-05'!$D15)</f>
        <v>Areias</v>
      </c>
      <c r="AE15" s="1" t="str">
        <f>IF('SPT-06'!$D15="","",'SPT-06'!$D15)</f>
        <v>Gravas</v>
      </c>
      <c r="AF15" s="1" t="str">
        <f>IF('SPT-01'!$E15="","",'SPT-01'!$E15)</f>
        <v>GP</v>
      </c>
      <c r="AG15" s="1" t="str">
        <f>IF('SPT-02'!$E15="","",'SPT-02'!$E15)</f>
        <v>SM</v>
      </c>
      <c r="AH15" s="1" t="str">
        <f>IF('SPT-03'!$E15="","",'SPT-03'!$E15)</f>
        <v>GW</v>
      </c>
      <c r="AI15" s="1" t="str">
        <f>IF('SPT-04'!$E15="","",'SPT-04'!$E15)</f>
        <v>GP</v>
      </c>
      <c r="AJ15" s="1" t="str">
        <f>IF('SPT-05'!$E15="","",'SPT-05'!$E15)</f>
        <v>SM</v>
      </c>
      <c r="AK15" s="1" t="str">
        <f>IF('SPT-06'!$E15="","",'SPT-06'!$E15)</f>
        <v>GP-GM</v>
      </c>
    </row>
    <row r="16" spans="1:37" x14ac:dyDescent="0.25">
      <c r="A16" s="1">
        <v>8.4</v>
      </c>
      <c r="B16" s="1">
        <v>9</v>
      </c>
      <c r="C16" s="1">
        <f>ROUNDDOWN(_xlfn.PERCENTILE.INC('SPT-01:SPT-06'!C16, 0.15),0)</f>
        <v>27</v>
      </c>
      <c r="D16" s="1" t="str" cm="1">
        <f t="array" ref="D16">_xlfn.LET(_xlpm.linha, Z16:AE16, _xlpm.contagens, IF(_xlpm.linha="", 0, COUNTIF(_xlpm.linha, _xlpm.linha)), INDEX(_xlpm.linha, MATCH(MAX(_xlpm.contagens), _xlpm.contagens, 0)))</f>
        <v>Gravas</v>
      </c>
      <c r="E16" s="1" t="str" cm="1">
        <f t="array" ref="E16">_xlfn.LET(_xlpm.linha, AF16:AK16, _xlpm.contagens, IF(_xlpm.linha="", 0, COUNTIF(_xlpm.linha, _xlpm.linha)), INDEX(_xlpm.linha, MATCH(MAX(_xlpm.contagens), _xlpm.contagens, 0)))</f>
        <v>SM</v>
      </c>
      <c r="F16" s="1" cm="1">
        <f t="array" ref="F16">_xlfn.XLOOKUP(D16,'TABELA AUXILIAR'!$A$2:$A$5,IF('SPT médio'!A16&lt;3,'TABELA AUXILIAR'!$B$2:$B$5,'TABELA AUXILIAR'!$C$2:$C$5),"",0,1)</f>
        <v>10.5</v>
      </c>
      <c r="G16" s="6">
        <f t="shared" si="1"/>
        <v>28.12915319779243</v>
      </c>
      <c r="H16" s="2">
        <f t="shared" si="2"/>
        <v>40.668546630262682</v>
      </c>
      <c r="I16" s="2">
        <f t="shared" si="3"/>
        <v>427.42248284045593</v>
      </c>
      <c r="J16" s="1">
        <f t="shared" si="8"/>
        <v>109.94999999999993</v>
      </c>
      <c r="K16" s="1">
        <f t="shared" si="4"/>
        <v>0.72499117583368899</v>
      </c>
      <c r="L16" s="1">
        <f t="shared" si="5"/>
        <v>79.712779782914055</v>
      </c>
      <c r="M16" s="1">
        <f t="shared" si="6"/>
        <v>876.80686469543605</v>
      </c>
      <c r="N16" s="1">
        <f>$L16*'TABELA AUXILIAR'!$I$3*(B16-A16)</f>
        <v>179.83203119025399</v>
      </c>
      <c r="O16" s="1">
        <f>$L16*'TABELA AUXILIAR'!$I$4*(B16-A16)</f>
        <v>195.13688490857351</v>
      </c>
      <c r="P16" s="1">
        <f>$L16*'TABELA AUXILIAR'!$I$5*(B16-A16)</f>
        <v>225.26831566651498</v>
      </c>
      <c r="Q16" s="1">
        <f>$M16*'TABELA AUXILIAR'!$J$3+SUM(N$2:N16)</f>
        <v>3175.2112974801075</v>
      </c>
      <c r="R16" s="1">
        <f>$M16*'TABELA AUXILIAR'!$J$4+SUM(O$2:O16)</f>
        <v>3527.7126477615398</v>
      </c>
      <c r="S16" s="1">
        <f>$M16*'TABELA AUXILIAR'!$J$5+SUM(P$2:P16)</f>
        <v>4279.5141337689638</v>
      </c>
      <c r="T16" s="2">
        <f t="shared" si="7"/>
        <v>1587.6</v>
      </c>
      <c r="U16" s="2">
        <f t="shared" si="0"/>
        <v>1763.85</v>
      </c>
      <c r="V16" s="2">
        <f t="shared" si="0"/>
        <v>2139.75</v>
      </c>
      <c r="Z16" s="1" t="str">
        <f>IF('SPT-01'!$D16="","",'SPT-01'!$D16)</f>
        <v>Gravas</v>
      </c>
      <c r="AA16" s="1" t="str">
        <f>IF('SPT-02'!$D16="","",'SPT-02'!$D16)</f>
        <v>Areias</v>
      </c>
      <c r="AB16" s="1" t="str">
        <f>IF('SPT-03'!$D16="","",'SPT-03'!$D16)</f>
        <v>Gravas</v>
      </c>
      <c r="AC16" s="1" t="str">
        <f>IF('SPT-04'!$D16="","",'SPT-04'!$D16)</f>
        <v>Gravas</v>
      </c>
      <c r="AD16" s="1" t="str">
        <f>IF('SPT-05'!$D16="","",'SPT-05'!$D16)</f>
        <v>Areias</v>
      </c>
      <c r="AE16" s="1" t="str">
        <f>IF('SPT-06'!$D16="","",'SPT-06'!$D16)</f>
        <v>Gravas</v>
      </c>
      <c r="AF16" s="1" t="str">
        <f>IF('SPT-01'!$E16="","",'SPT-01'!$E16)</f>
        <v>GW-GM</v>
      </c>
      <c r="AG16" s="1" t="str">
        <f>IF('SPT-02'!$E16="","",'SPT-02'!$E16)</f>
        <v>SM</v>
      </c>
      <c r="AH16" s="1" t="str">
        <f>IF('SPT-03'!$E16="","",'SPT-03'!$E16)</f>
        <v>GW</v>
      </c>
      <c r="AI16" s="1" t="str">
        <f>IF('SPT-04'!$E16="","",'SPT-04'!$E16)</f>
        <v>GP</v>
      </c>
      <c r="AJ16" s="1" t="str">
        <f>IF('SPT-05'!$E16="","",'SPT-05'!$E16)</f>
        <v>SM</v>
      </c>
      <c r="AK16" s="1" t="str">
        <f>IF('SPT-06'!$E16="","",'SPT-06'!$E16)</f>
        <v>GP-GM</v>
      </c>
    </row>
    <row r="17" spans="1:37" x14ac:dyDescent="0.25">
      <c r="A17" s="1">
        <v>9</v>
      </c>
      <c r="B17" s="1">
        <v>9.6</v>
      </c>
      <c r="C17" s="1">
        <f>ROUNDDOWN(_xlfn.PERCENTILE.INC('SPT-01:SPT-06'!C17, 0.15),0)</f>
        <v>19</v>
      </c>
      <c r="D17" s="1" t="str" cm="1">
        <f t="array" ref="D17">_xlfn.LET(_xlpm.linha, Z17:AE17, _xlpm.contagens, IF(_xlpm.linha="", 0, COUNTIF(_xlpm.linha, _xlpm.linha)), INDEX(_xlpm.linha, MATCH(MAX(_xlpm.contagens), _xlpm.contagens, 0)))</f>
        <v>Gravas</v>
      </c>
      <c r="E17" s="1" t="str" cm="1">
        <f t="array" ref="E17">_xlfn.LET(_xlpm.linha, AF17:AK17, _xlpm.contagens, IF(_xlpm.linha="", 0, COUNTIF(_xlpm.linha, _xlpm.linha)), INDEX(_xlpm.linha, MATCH(MAX(_xlpm.contagens), _xlpm.contagens, 0)))</f>
        <v>GW-GM</v>
      </c>
      <c r="F17" s="1" cm="1">
        <f t="array" ref="F17">_xlfn.XLOOKUP(D17,'TABELA AUXILIAR'!$A$2:$A$5,IF('SPT médio'!A17&lt;3,'TABELA AUXILIAR'!$B$2:$B$5,'TABELA AUXILIAR'!$C$2:$C$5),"",0,1)</f>
        <v>10.5</v>
      </c>
      <c r="G17" s="6">
        <f t="shared" si="1"/>
        <v>20.353793265535291</v>
      </c>
      <c r="H17" s="2">
        <f t="shared" si="2"/>
        <v>39.264533128766026</v>
      </c>
      <c r="I17" s="2">
        <f t="shared" si="3"/>
        <v>309.27588866980869</v>
      </c>
      <c r="J17" s="1">
        <f t="shared" si="8"/>
        <v>116.24999999999991</v>
      </c>
      <c r="K17" s="1">
        <f t="shared" si="4"/>
        <v>0.55744366188039751</v>
      </c>
      <c r="L17" s="1">
        <f t="shared" si="5"/>
        <v>64.802825693596162</v>
      </c>
      <c r="M17" s="1">
        <f t="shared" si="6"/>
        <v>684.43852624439705</v>
      </c>
      <c r="N17" s="1">
        <f>$L17*'TABELA AUXILIAR'!$I$3*(B17-A17)</f>
        <v>146.19517476475284</v>
      </c>
      <c r="O17" s="1">
        <f>$L17*'TABELA AUXILIAR'!$I$4*(B17-A17)</f>
        <v>158.63731729792329</v>
      </c>
      <c r="P17" s="1">
        <f>$L17*'TABELA AUXILIAR'!$I$5*(B17-A17)</f>
        <v>183.13278541010266</v>
      </c>
      <c r="Q17" s="1">
        <f>$M17*'TABELA AUXILIAR'!$J$3+SUM(N$2:N17)</f>
        <v>3104.0302497951861</v>
      </c>
      <c r="R17" s="1">
        <f>$M17*'TABELA AUXILIAR'!$J$4+SUM(O$2:O17)</f>
        <v>3432.4237583040913</v>
      </c>
      <c r="S17" s="1">
        <f>$M17*'TABELA AUXILIAR'!$J$5+SUM(P$2:P17)</f>
        <v>4124.0786435052378</v>
      </c>
      <c r="T17" s="2">
        <f t="shared" si="7"/>
        <v>1552.01</v>
      </c>
      <c r="U17" s="2">
        <f t="shared" si="0"/>
        <v>1716.21</v>
      </c>
      <c r="V17" s="2">
        <f t="shared" si="0"/>
        <v>2062.0300000000002</v>
      </c>
      <c r="Z17" s="1" t="str">
        <f>IF('SPT-01'!$D17="","",'SPT-01'!$D17)</f>
        <v>Gravas</v>
      </c>
      <c r="AA17" s="1" t="str">
        <f>IF('SPT-02'!$D17="","",'SPT-02'!$D17)</f>
        <v>Areias</v>
      </c>
      <c r="AB17" s="1" t="str">
        <f>IF('SPT-03'!$D17="","",'SPT-03'!$D17)</f>
        <v>Gravas</v>
      </c>
      <c r="AC17" s="1" t="str">
        <f>IF('SPT-04'!$D17="","",'SPT-04'!$D17)</f>
        <v>Gravas</v>
      </c>
      <c r="AD17" s="1" t="str">
        <f>IF('SPT-05'!$D17="","",'SPT-05'!$D17)</f>
        <v>Areias</v>
      </c>
      <c r="AE17" s="1" t="str">
        <f>IF('SPT-06'!$D17="","",'SPT-06'!$D17)</f>
        <v>Gravas</v>
      </c>
      <c r="AF17" s="1" t="str">
        <f>IF('SPT-01'!$E17="","",'SPT-01'!$E17)</f>
        <v>GW-GM</v>
      </c>
      <c r="AG17" s="1" t="str">
        <f>IF('SPT-02'!$E17="","",'SPT-02'!$E17)</f>
        <v>SM</v>
      </c>
      <c r="AH17" s="1" t="str">
        <f>IF('SPT-03'!$E17="","",'SPT-03'!$E17)</f>
        <v>GW</v>
      </c>
      <c r="AI17" s="1" t="str">
        <f>IF('SPT-04'!$E17="","",'SPT-04'!$E17)</f>
        <v>GP</v>
      </c>
      <c r="AJ17" s="1" t="str">
        <f>IF('SPT-05'!$E17="","",'SPT-05'!$E17)</f>
        <v>SP-SM</v>
      </c>
      <c r="AK17" s="1" t="str">
        <f>IF('SPT-06'!$E17="","",'SPT-06'!$E17)</f>
        <v>GP-GM</v>
      </c>
    </row>
    <row r="18" spans="1:37" x14ac:dyDescent="0.25">
      <c r="A18" s="1">
        <v>9.6</v>
      </c>
      <c r="B18" s="1">
        <v>10.199999999999999</v>
      </c>
      <c r="C18" s="1">
        <f>ROUNDDOWN(_xlfn.PERCENTILE.INC('SPT-01:SPT-06'!C18, 0.15),0)</f>
        <v>33</v>
      </c>
      <c r="D18" s="1" t="str" cm="1">
        <f t="array" ref="D18">_xlfn.LET(_xlpm.linha, Z18:AE18, _xlpm.contagens, IF(_xlpm.linha="", 0, COUNTIF(_xlpm.linha, _xlpm.linha)), INDEX(_xlpm.linha, MATCH(MAX(_xlpm.contagens), _xlpm.contagens, 0)))</f>
        <v>Gravas</v>
      </c>
      <c r="E18" s="1" t="str" cm="1">
        <f t="array" ref="E18">_xlfn.LET(_xlpm.linha, AF18:AK18, _xlpm.contagens, IF(_xlpm.linha="", 0, COUNTIF(_xlpm.linha, _xlpm.linha)), INDEX(_xlpm.linha, MATCH(MAX(_xlpm.contagens), _xlpm.contagens, 0)))</f>
        <v>GW-GM</v>
      </c>
      <c r="F18" s="1" cm="1">
        <f t="array" ref="F18">_xlfn.XLOOKUP(D18,'TABELA AUXILIAR'!$A$2:$A$5,IF('SPT médio'!A18&lt;3,'TABELA AUXILIAR'!$B$2:$B$5,'TABELA AUXILIAR'!$C$2:$C$5),"",0,1)</f>
        <v>10.5</v>
      </c>
      <c r="G18" s="6">
        <f t="shared" si="1"/>
        <v>36.296594114651995</v>
      </c>
      <c r="H18" s="2">
        <f t="shared" si="2"/>
        <v>41.470328246876562</v>
      </c>
      <c r="I18" s="2">
        <f t="shared" si="3"/>
        <v>551.52674757213697</v>
      </c>
      <c r="J18" s="1">
        <f t="shared" si="8"/>
        <v>122.5499999999999</v>
      </c>
      <c r="K18" s="1">
        <f t="shared" si="4"/>
        <v>0.80831169468344244</v>
      </c>
      <c r="L18" s="1">
        <f t="shared" si="5"/>
        <v>99.058598183455786</v>
      </c>
      <c r="M18" s="1">
        <f t="shared" si="6"/>
        <v>1098.7399888704142</v>
      </c>
      <c r="N18" s="1">
        <f>$L18*'TABELA AUXILIAR'!$I$3*(B18-A18)</f>
        <v>223.4761975018761</v>
      </c>
      <c r="O18" s="1">
        <f>$L18*'TABELA AUXILIAR'!$I$4*(B18-A18)</f>
        <v>242.49544835309962</v>
      </c>
      <c r="P18" s="1">
        <f>$L18*'TABELA AUXILIAR'!$I$5*(B18-A18)</f>
        <v>279.93959846644589</v>
      </c>
      <c r="Q18" s="1">
        <f>$M18*'TABELA AUXILIAR'!$J$3+SUM(N$2:N18)</f>
        <v>3795.6671000644619</v>
      </c>
      <c r="R18" s="1">
        <f>$M18*'TABELA AUXILIAR'!$J$4+SUM(O$2:O18)</f>
        <v>4221.7971373235341</v>
      </c>
      <c r="S18" s="1">
        <f>$M18*'TABELA AUXILIAR'!$J$5+SUM(P$2:P18)</f>
        <v>5133.1888161934739</v>
      </c>
      <c r="T18" s="2">
        <f t="shared" si="7"/>
        <v>1897.83</v>
      </c>
      <c r="U18" s="2">
        <f t="shared" si="7"/>
        <v>2110.89</v>
      </c>
      <c r="V18" s="2">
        <f t="shared" si="7"/>
        <v>2566.59</v>
      </c>
      <c r="Z18" s="1" t="str">
        <f>IF('SPT-01'!$D18="","",'SPT-01'!$D18)</f>
        <v>Gravas</v>
      </c>
      <c r="AA18" s="1" t="str">
        <f>IF('SPT-02'!$D18="","",'SPT-02'!$D18)</f>
        <v>Areias</v>
      </c>
      <c r="AB18" s="1" t="str">
        <f>IF('SPT-03'!$D18="","",'SPT-03'!$D18)</f>
        <v>Gravas</v>
      </c>
      <c r="AC18" s="1" t="str">
        <f>IF('SPT-04'!$D18="","",'SPT-04'!$D18)</f>
        <v>Gravas</v>
      </c>
      <c r="AD18" s="1" t="str">
        <f>IF('SPT-05'!$D18="","",'SPT-05'!$D18)</f>
        <v>Areias</v>
      </c>
      <c r="AE18" s="1" t="str">
        <f>IF('SPT-06'!$D18="","",'SPT-06'!$D18)</f>
        <v>Gravas</v>
      </c>
      <c r="AF18" s="1" t="str">
        <f>IF('SPT-01'!$E18="","",'SPT-01'!$E18)</f>
        <v>GW-GM</v>
      </c>
      <c r="AG18" s="1" t="str">
        <f>IF('SPT-02'!$E18="","",'SPT-02'!$E18)</f>
        <v>SM</v>
      </c>
      <c r="AH18" s="1" t="str">
        <f>IF('SPT-03'!$E18="","",'SPT-03'!$E18)</f>
        <v>GW</v>
      </c>
      <c r="AI18" s="1" t="str">
        <f>IF('SPT-04'!$E18="","",'SPT-04'!$E18)</f>
        <v>GP</v>
      </c>
      <c r="AJ18" s="1" t="str">
        <f>IF('SPT-05'!$E18="","",'SPT-05'!$E18)</f>
        <v>SP-SM</v>
      </c>
      <c r="AK18" s="1" t="str">
        <f>IF('SPT-06'!$E18="","",'SPT-06'!$E18)</f>
        <v>GP-GM</v>
      </c>
    </row>
    <row r="19" spans="1:37" x14ac:dyDescent="0.25">
      <c r="A19" s="1">
        <v>10.199999999999999</v>
      </c>
      <c r="B19" s="1">
        <v>10.8</v>
      </c>
      <c r="C19" s="1">
        <f>ROUNDDOWN(_xlfn.PERCENTILE.INC('SPT-01:SPT-06'!C19, 0.15),0)</f>
        <v>32</v>
      </c>
      <c r="D19" s="1" t="str" cm="1">
        <f t="array" ref="D19">_xlfn.LET(_xlpm.linha, Z19:AE19, _xlpm.contagens, IF(_xlpm.linha="", 0, COUNTIF(_xlpm.linha, _xlpm.linha)), INDEX(_xlpm.linha, MATCH(MAX(_xlpm.contagens), _xlpm.contagens, 0)))</f>
        <v>Gravas</v>
      </c>
      <c r="E19" s="1" t="str" cm="1">
        <f t="array" ref="E19">_xlfn.LET(_xlpm.linha, AF19:AK19, _xlpm.contagens, IF(_xlpm.linha="", 0, COUNTIF(_xlpm.linha, _xlpm.linha)), INDEX(_xlpm.linha, MATCH(MAX(_xlpm.contagens), _xlpm.contagens, 0)))</f>
        <v>SP-SM</v>
      </c>
      <c r="F19" s="1" cm="1">
        <f t="array" ref="F19">_xlfn.XLOOKUP(D19,'TABELA AUXILIAR'!$A$2:$A$5,IF('SPT médio'!A19&lt;3,'TABELA AUXILIAR'!$B$2:$B$5,'TABELA AUXILIAR'!$C$2:$C$5),"",0,1)</f>
        <v>10.5</v>
      </c>
      <c r="G19" s="6">
        <f t="shared" si="1"/>
        <v>36.090048615677063</v>
      </c>
      <c r="H19" s="2">
        <f t="shared" si="2"/>
        <v>41.347379800543138</v>
      </c>
      <c r="I19" s="2">
        <f t="shared" si="3"/>
        <v>548.38828871521287</v>
      </c>
      <c r="J19" s="1">
        <f t="shared" si="8"/>
        <v>128.84999999999991</v>
      </c>
      <c r="K19" s="1">
        <f t="shared" si="4"/>
        <v>0.77748774271927612</v>
      </c>
      <c r="L19" s="1">
        <f t="shared" si="5"/>
        <v>100.17929564937866</v>
      </c>
      <c r="M19" s="1">
        <f t="shared" si="6"/>
        <v>1104.7561456390868</v>
      </c>
      <c r="N19" s="1">
        <f>$L19*'TABELA AUXILIAR'!$I$3*(B19-A19)</f>
        <v>226.00449098499877</v>
      </c>
      <c r="O19" s="1">
        <f>$L19*'TABELA AUXILIAR'!$I$4*(B19-A19)</f>
        <v>245.23891574967953</v>
      </c>
      <c r="P19" s="1">
        <f>$L19*'TABELA AUXILIAR'!$I$5*(B19-A19)</f>
        <v>283.10668950514474</v>
      </c>
      <c r="Q19" s="1">
        <f>$M19*'TABELA AUXILIAR'!$J$3+SUM(N$2:N19)</f>
        <v>4028.4698481980604</v>
      </c>
      <c r="R19" s="1">
        <f>$M19*'TABELA AUXILIAR'!$J$4+SUM(O$2:O19)</f>
        <v>4474.977380007861</v>
      </c>
      <c r="S19" s="1">
        <f>$M19*'TABELA AUXILIAR'!$J$5+SUM(P$2:P19)</f>
        <v>5426.8839416114824</v>
      </c>
      <c r="T19" s="2">
        <f t="shared" si="7"/>
        <v>2014.23</v>
      </c>
      <c r="U19" s="2">
        <f t="shared" si="7"/>
        <v>2237.48</v>
      </c>
      <c r="V19" s="2">
        <f t="shared" si="7"/>
        <v>2713.44</v>
      </c>
      <c r="Z19" s="1" t="str">
        <f>IF('SPT-01'!$D19="","",'SPT-01'!$D19)</f>
        <v>Gravas</v>
      </c>
      <c r="AA19" s="1" t="str">
        <f>IF('SPT-02'!$D19="","",'SPT-02'!$D19)</f>
        <v>Areias</v>
      </c>
      <c r="AB19" s="1" t="str">
        <f>IF('SPT-03'!$D19="","",'SPT-03'!$D19)</f>
        <v>Gravas</v>
      </c>
      <c r="AC19" s="1" t="str">
        <f>IF('SPT-04'!$D19="","",'SPT-04'!$D19)</f>
        <v>Areias</v>
      </c>
      <c r="AD19" s="1" t="str">
        <f>IF('SPT-05'!$D19="","",'SPT-05'!$D19)</f>
        <v>Areias</v>
      </c>
      <c r="AE19" s="1" t="str">
        <f>IF('SPT-06'!$D19="","",'SPT-06'!$D19)</f>
        <v>Gravas</v>
      </c>
      <c r="AF19" s="1" t="str">
        <f>IF('SPT-01'!$E19="","",'SPT-01'!$E19)</f>
        <v>GW-GM</v>
      </c>
      <c r="AG19" s="1" t="str">
        <f>IF('SPT-02'!$E19="","",'SPT-02'!$E19)</f>
        <v>SP-SM</v>
      </c>
      <c r="AH19" s="1" t="str">
        <f>IF('SPT-03'!$E19="","",'SPT-03'!$E19)</f>
        <v>GW</v>
      </c>
      <c r="AI19" s="1" t="str">
        <f>IF('SPT-04'!$E19="","",'SPT-04'!$E19)</f>
        <v>SM</v>
      </c>
      <c r="AJ19" s="1" t="str">
        <f>IF('SPT-05'!$E19="","",'SPT-05'!$E19)</f>
        <v>SP-SM</v>
      </c>
      <c r="AK19" s="1" t="str">
        <f>IF('SPT-06'!$E19="","",'SPT-06'!$E19)</f>
        <v>GP-GM</v>
      </c>
    </row>
    <row r="20" spans="1:37" x14ac:dyDescent="0.25">
      <c r="A20" s="1">
        <v>10.8</v>
      </c>
      <c r="B20" s="1">
        <v>11.4</v>
      </c>
      <c r="C20" s="1">
        <f>ROUNDDOWN(_xlfn.PERCENTILE.INC('SPT-01:SPT-06'!C20, 0.15),0)</f>
        <v>31</v>
      </c>
      <c r="D20" s="1" t="str" cm="1">
        <f t="array" ref="D20">_xlfn.LET(_xlpm.linha, Z20:AE20, _xlpm.contagens, IF(_xlpm.linha="", 0, COUNTIF(_xlpm.linha, _xlpm.linha)), INDEX(_xlpm.linha, MATCH(MAX(_xlpm.contagens), _xlpm.contagens, 0)))</f>
        <v>Gravas</v>
      </c>
      <c r="E20" s="1" t="str" cm="1">
        <f t="array" ref="E20">_xlfn.LET(_xlpm.linha, AF20:AK20, _xlpm.contagens, IF(_xlpm.linha="", 0, COUNTIF(_xlpm.linha, _xlpm.linha)), INDEX(_xlpm.linha, MATCH(MAX(_xlpm.contagens), _xlpm.contagens, 0)))</f>
        <v>SP-SM</v>
      </c>
      <c r="F20" s="1" cm="1">
        <f t="array" ref="F20">_xlfn.XLOOKUP(D20,'TABELA AUXILIAR'!$A$2:$A$5,IF('SPT médio'!A20&lt;3,'TABELA AUXILIAR'!$B$2:$B$5,'TABELA AUXILIAR'!$C$2:$C$5),"",0,1)</f>
        <v>10.5</v>
      </c>
      <c r="G20" s="6">
        <f t="shared" si="1"/>
        <v>35.806757594584212</v>
      </c>
      <c r="H20" s="2">
        <f t="shared" si="2"/>
        <v>41.220527583275306</v>
      </c>
      <c r="I20" s="2">
        <f t="shared" si="3"/>
        <v>544.08368164970705</v>
      </c>
      <c r="J20" s="1">
        <f t="shared" si="8"/>
        <v>135.14999999999992</v>
      </c>
      <c r="K20" s="1">
        <f t="shared" si="4"/>
        <v>0.74802304743530168</v>
      </c>
      <c r="L20" s="1">
        <f t="shared" si="5"/>
        <v>101.09531486088096</v>
      </c>
      <c r="M20" s="1">
        <f t="shared" si="6"/>
        <v>1108.3445111743445</v>
      </c>
      <c r="N20" s="1">
        <f>$L20*'TABELA AUXILIAR'!$I$3*(B20-A20)</f>
        <v>228.07103032614731</v>
      </c>
      <c r="O20" s="1">
        <f>$L20*'TABELA AUXILIAR'!$I$4*(B20-A20)</f>
        <v>247.48133077943646</v>
      </c>
      <c r="P20" s="1">
        <f>$L20*'TABELA AUXILIAR'!$I$5*(B20-A20)</f>
        <v>285.6953597968494</v>
      </c>
      <c r="Q20" s="1">
        <f>$M20*'TABELA AUXILIAR'!$J$3+SUM(N$2:N20)</f>
        <v>4260.5957315790492</v>
      </c>
      <c r="R20" s="1">
        <f>$M20*'TABELA AUXILIAR'!$J$4+SUM(O$2:O20)</f>
        <v>4727.1953532938378</v>
      </c>
      <c r="S20" s="1">
        <f>$M20*'TABELA AUXILIAR'!$J$5+SUM(P$2:P20)</f>
        <v>5718.8948247503859</v>
      </c>
      <c r="T20" s="2">
        <f t="shared" si="7"/>
        <v>2130.29</v>
      </c>
      <c r="U20" s="2">
        <f t="shared" si="7"/>
        <v>2363.59</v>
      </c>
      <c r="V20" s="2">
        <f t="shared" si="7"/>
        <v>2859.44</v>
      </c>
      <c r="Z20" s="1" t="str">
        <f>IF('SPT-01'!$D20="","",'SPT-01'!$D20)</f>
        <v>Gravas</v>
      </c>
      <c r="AA20" s="1" t="str">
        <f>IF('SPT-02'!$D20="","",'SPT-02'!$D20)</f>
        <v>Areias</v>
      </c>
      <c r="AB20" s="1" t="str">
        <f>IF('SPT-03'!$D20="","",'SPT-03'!$D20)</f>
        <v>Gravas</v>
      </c>
      <c r="AC20" s="1" t="str">
        <f>IF('SPT-04'!$D20="","",'SPT-04'!$D20)</f>
        <v>Areias</v>
      </c>
      <c r="AD20" s="1" t="str">
        <f>IF('SPT-05'!$D20="","",'SPT-05'!$D20)</f>
        <v>Areias</v>
      </c>
      <c r="AE20" s="1" t="str">
        <f>IF('SPT-06'!$D20="","",'SPT-06'!$D20)</f>
        <v>Gravas</v>
      </c>
      <c r="AF20" s="1" t="str">
        <f>IF('SPT-01'!$E20="","",'SPT-01'!$E20)</f>
        <v>GW-GM</v>
      </c>
      <c r="AG20" s="1" t="str">
        <f>IF('SPT-02'!$E20="","",'SPT-02'!$E20)</f>
        <v>SP-SM</v>
      </c>
      <c r="AH20" s="1" t="str">
        <f>IF('SPT-03'!$E20="","",'SPT-03'!$E20)</f>
        <v>GP-GM</v>
      </c>
      <c r="AI20" s="1" t="str">
        <f>IF('SPT-04'!$E20="","",'SPT-04'!$E20)</f>
        <v>SM</v>
      </c>
      <c r="AJ20" s="1" t="str">
        <f>IF('SPT-05'!$E20="","",'SPT-05'!$E20)</f>
        <v>SP-SM</v>
      </c>
      <c r="AK20" s="1" t="str">
        <f>IF('SPT-06'!$E20="","",'SPT-06'!$E20)</f>
        <v>GP-GM</v>
      </c>
    </row>
    <row r="21" spans="1:37" x14ac:dyDescent="0.25">
      <c r="A21" s="1">
        <v>11.4</v>
      </c>
      <c r="B21" s="1">
        <v>12</v>
      </c>
      <c r="C21" s="1">
        <f>ROUNDDOWN(_xlfn.PERCENTILE.INC('SPT-01:SPT-06'!C21, 0.15),0)</f>
        <v>43</v>
      </c>
      <c r="D21" s="1" t="str" cm="1">
        <f t="array" ref="D21">_xlfn.LET(_xlpm.linha, Z21:AE21, _xlpm.contagens, IF(_xlpm.linha="", 0, COUNTIF(_xlpm.linha, _xlpm.linha)), INDEX(_xlpm.linha, MATCH(MAX(_xlpm.contagens), _xlpm.contagens, 0)))</f>
        <v>Gravas</v>
      </c>
      <c r="E21" s="1" t="str" cm="1">
        <f t="array" ref="E21">_xlfn.LET(_xlpm.linha, AF21:AK21, _xlpm.contagens, IF(_xlpm.linha="", 0, COUNTIF(_xlpm.linha, _xlpm.linha)), INDEX(_xlpm.linha, MATCH(MAX(_xlpm.contagens), _xlpm.contagens, 0)))</f>
        <v>GW-GM</v>
      </c>
      <c r="F21" s="1" cm="1">
        <f t="array" ref="F21">_xlfn.XLOOKUP(D21,'TABELA AUXILIAR'!$A$2:$A$5,IF('SPT médio'!A21&lt;3,'TABELA AUXILIAR'!$B$2:$B$5,'TABELA AUXILIAR'!$C$2:$C$5),"",0,1)</f>
        <v>10.5</v>
      </c>
      <c r="G21" s="6">
        <f t="shared" si="1"/>
        <v>50.811873568662556</v>
      </c>
      <c r="H21" s="2">
        <f t="shared" si="2"/>
        <v>42.527909791332192</v>
      </c>
      <c r="I21" s="2">
        <f t="shared" si="3"/>
        <v>772.08641887582746</v>
      </c>
      <c r="J21" s="1">
        <f t="shared" si="8"/>
        <v>141.44999999999993</v>
      </c>
      <c r="K21" s="1">
        <f t="shared" si="4"/>
        <v>0.93606787487303222</v>
      </c>
      <c r="L21" s="1">
        <f t="shared" si="5"/>
        <v>132.40680090079036</v>
      </c>
      <c r="M21" s="1">
        <f t="shared" si="6"/>
        <v>1479.8998471486495</v>
      </c>
      <c r="N21" s="1">
        <f>$L21*'TABELA AUXILIAR'!$I$3*(B21-A21)</f>
        <v>298.70974283218283</v>
      </c>
      <c r="O21" s="1">
        <f>$L21*'TABELA AUXILIAR'!$I$4*(B21-A21)</f>
        <v>324.13184860513462</v>
      </c>
      <c r="P21" s="1">
        <f>$L21*'TABELA AUXILIAR'!$I$5*(B21-A21)</f>
        <v>374.18161934563329</v>
      </c>
      <c r="Q21" s="1">
        <f>$M21*'TABELA AUXILIAR'!$J$3+SUM(N$2:N21)</f>
        <v>4979.1630040621967</v>
      </c>
      <c r="R21" s="1">
        <f>$M21*'TABELA AUXILIAR'!$J$4+SUM(O$2:O21)</f>
        <v>5541.7802453850554</v>
      </c>
      <c r="S21" s="1">
        <f>$M21*'TABELA AUXILIAR'!$J$5+SUM(P$2:P21)</f>
        <v>6747.0138354107958</v>
      </c>
      <c r="T21" s="2">
        <f t="shared" si="7"/>
        <v>2489.58</v>
      </c>
      <c r="U21" s="2">
        <f t="shared" si="7"/>
        <v>2770.89</v>
      </c>
      <c r="V21" s="2">
        <f t="shared" si="7"/>
        <v>3373.5</v>
      </c>
      <c r="Z21" s="1" t="str">
        <f>IF('SPT-01'!$D21="","",'SPT-01'!$D21)</f>
        <v>Gravas</v>
      </c>
      <c r="AA21" s="1" t="str">
        <f>IF('SPT-02'!$D21="","",'SPT-02'!$D21)</f>
        <v>Areias</v>
      </c>
      <c r="AB21" s="1" t="str">
        <f>IF('SPT-03'!$D21="","",'SPT-03'!$D21)</f>
        <v>Gravas</v>
      </c>
      <c r="AC21" s="1" t="str">
        <f>IF('SPT-04'!$D21="","",'SPT-04'!$D21)</f>
        <v>Areias</v>
      </c>
      <c r="AD21" s="1" t="str">
        <f>IF('SPT-05'!$D21="","",'SPT-05'!$D21)</f>
        <v>Areias</v>
      </c>
      <c r="AE21" s="1" t="str">
        <f>IF('SPT-06'!$D21="","",'SPT-06'!$D21)</f>
        <v>Gravas</v>
      </c>
      <c r="AF21" s="1" t="str">
        <f>IF('SPT-01'!$E21="","",'SPT-01'!$E21)</f>
        <v>GW-GM</v>
      </c>
      <c r="AG21" s="1" t="str">
        <f>IF('SPT-02'!$E21="","",'SPT-02'!$E21)</f>
        <v>SP-SM</v>
      </c>
      <c r="AH21" s="1" t="str">
        <f>IF('SPT-03'!$E21="","",'SPT-03'!$E21)</f>
        <v>GP-GM</v>
      </c>
      <c r="AI21" s="1" t="str">
        <f>IF('SPT-04'!$E21="","",'SPT-04'!$E21)</f>
        <v>SM</v>
      </c>
      <c r="AJ21" s="1" t="str">
        <f>IF('SPT-05'!$E21="","",'SPT-05'!$E21)</f>
        <v>SP-SM</v>
      </c>
      <c r="AK21" s="1" t="str">
        <f>IF('SPT-06'!$E21="","",'SPT-06'!$E21)</f>
        <v>GW-GM</v>
      </c>
    </row>
    <row r="22" spans="1:37" x14ac:dyDescent="0.25">
      <c r="A22" s="1">
        <v>12</v>
      </c>
      <c r="B22" s="1">
        <v>12.6</v>
      </c>
      <c r="C22" s="1">
        <f>ROUNDDOWN(_xlfn.PERCENTILE.INC('SPT-01:SPT-06'!C22, 0.15),0)</f>
        <v>39</v>
      </c>
      <c r="D22" s="1" t="str" cm="1">
        <f t="array" ref="D22">_xlfn.LET(_xlpm.linha, Z22:AE22, _xlpm.contagens, IF(_xlpm.linha="", 0, COUNTIF(_xlpm.linha, _xlpm.linha)), INDEX(_xlpm.linha, MATCH(MAX(_xlpm.contagens), _xlpm.contagens, 0)))</f>
        <v>Gravas</v>
      </c>
      <c r="E22" s="1" t="str" cm="1">
        <f t="array" ref="E22">_xlfn.LET(_xlpm.linha, AF22:AK22, _xlpm.contagens, IF(_xlpm.linha="", 0, COUNTIF(_xlpm.linha, _xlpm.linha)), INDEX(_xlpm.linha, MATCH(MAX(_xlpm.contagens), _xlpm.contagens, 0)))</f>
        <v>GW-GM</v>
      </c>
      <c r="F22" s="1" cm="1">
        <f t="array" ref="F22">_xlfn.XLOOKUP(D22,'TABELA AUXILIAR'!$A$2:$A$5,IF('SPT médio'!A22&lt;3,'TABELA AUXILIAR'!$B$2:$B$5,'TABELA AUXILIAR'!$C$2:$C$5),"",0,1)</f>
        <v>10.5</v>
      </c>
      <c r="G22" s="6">
        <f t="shared" si="1"/>
        <v>47.100295205971207</v>
      </c>
      <c r="H22" s="2">
        <f t="shared" si="2"/>
        <v>42.13779438464379</v>
      </c>
      <c r="I22" s="2">
        <f t="shared" si="3"/>
        <v>715.68898565473239</v>
      </c>
      <c r="J22" s="1">
        <f t="shared" si="8"/>
        <v>147.74999999999994</v>
      </c>
      <c r="K22" s="1">
        <f t="shared" si="4"/>
        <v>0.85813121404273063</v>
      </c>
      <c r="L22" s="1">
        <f t="shared" si="5"/>
        <v>126.7888868748134</v>
      </c>
      <c r="M22" s="1">
        <f t="shared" si="6"/>
        <v>1404.9600301830922</v>
      </c>
      <c r="N22" s="1">
        <f>$L22*'TABELA AUXILIAR'!$I$3*(B22-A22)</f>
        <v>286.03572878957885</v>
      </c>
      <c r="O22" s="1">
        <f>$L22*'TABELA AUXILIAR'!$I$4*(B22-A22)</f>
        <v>310.37919506954302</v>
      </c>
      <c r="P22" s="1">
        <f>$L22*'TABELA AUXILIAR'!$I$5*(B22-A22)</f>
        <v>358.30539430822245</v>
      </c>
      <c r="Q22" s="1">
        <f>$M22*'TABELA AUXILIAR'!$J$3+SUM(N$2:N22)</f>
        <v>5180.5167396806955</v>
      </c>
      <c r="R22" s="1">
        <f>$M22*'TABELA AUXILIAR'!$J$4+SUM(O$2:O22)</f>
        <v>5753.2388820600627</v>
      </c>
      <c r="S22" s="1">
        <f>$M22*'TABELA AUXILIAR'!$J$5+SUM(P$2:P22)</f>
        <v>6973.4251518596375</v>
      </c>
      <c r="T22" s="2">
        <f t="shared" si="7"/>
        <v>2590.25</v>
      </c>
      <c r="U22" s="2">
        <f t="shared" si="7"/>
        <v>2876.61</v>
      </c>
      <c r="V22" s="2">
        <f t="shared" si="7"/>
        <v>3486.71</v>
      </c>
      <c r="Z22" s="1" t="str">
        <f>IF('SPT-01'!$D22="","",'SPT-01'!$D22)</f>
        <v>Gravas</v>
      </c>
      <c r="AA22" s="1" t="str">
        <f>IF('SPT-02'!$D22="","",'SPT-02'!$D22)</f>
        <v>Areias</v>
      </c>
      <c r="AB22" s="1" t="str">
        <f>IF('SPT-03'!$D22="","",'SPT-03'!$D22)</f>
        <v>Gravas</v>
      </c>
      <c r="AC22" s="1" t="str">
        <f>IF('SPT-04'!$D22="","",'SPT-04'!$D22)</f>
        <v>Gravas</v>
      </c>
      <c r="AD22" s="1" t="str">
        <f>IF('SPT-05'!$D22="","",'SPT-05'!$D22)</f>
        <v>Areias</v>
      </c>
      <c r="AE22" s="1" t="str">
        <f>IF('SPT-06'!$D22="","",'SPT-06'!$D22)</f>
        <v>Gravas</v>
      </c>
      <c r="AF22" s="1" t="str">
        <f>IF('SPT-01'!$E22="","",'SPT-01'!$E22)</f>
        <v>GW-GM</v>
      </c>
      <c r="AG22" s="1" t="str">
        <f>IF('SPT-02'!$E22="","",'SPT-02'!$E22)</f>
        <v>SP-SM</v>
      </c>
      <c r="AH22" s="1" t="str">
        <f>IF('SPT-03'!$E22="","",'SPT-03'!$E22)</f>
        <v>GP-GM</v>
      </c>
      <c r="AI22" s="1" t="str">
        <f>IF('SPT-04'!$E22="","",'SPT-04'!$E22)</f>
        <v>GP</v>
      </c>
      <c r="AJ22" s="1" t="str">
        <f>IF('SPT-05'!$E22="","",'SPT-05'!$E22)</f>
        <v>SP-SM</v>
      </c>
      <c r="AK22" s="1" t="str">
        <f>IF('SPT-06'!$E22="","",'SPT-06'!$E22)</f>
        <v>GW-GM</v>
      </c>
    </row>
    <row r="23" spans="1:37" x14ac:dyDescent="0.25">
      <c r="A23" s="1">
        <v>12.6</v>
      </c>
      <c r="B23" s="1">
        <v>13.2</v>
      </c>
      <c r="C23" s="1">
        <f>ROUNDDOWN(_xlfn.PERCENTILE.INC('SPT-01:SPT-06'!C23, 0.15),0)</f>
        <v>24</v>
      </c>
      <c r="D23" s="1" t="str" cm="1">
        <f t="array" ref="D23">_xlfn.LET(_xlpm.linha, Z23:AE23, _xlpm.contagens, IF(_xlpm.linha="", 0, COUNTIF(_xlpm.linha, _xlpm.linha)), INDEX(_xlpm.linha, MATCH(MAX(_xlpm.contagens), _xlpm.contagens, 0)))</f>
        <v>Gravas</v>
      </c>
      <c r="E23" s="1" t="str" cm="1">
        <f t="array" ref="E23">_xlfn.LET(_xlpm.linha, AF23:AK23, _xlpm.contagens, IF(_xlpm.linha="", 0, COUNTIF(_xlpm.linha, _xlpm.linha)), INDEX(_xlpm.linha, MATCH(MAX(_xlpm.contagens), _xlpm.contagens, 0)))</f>
        <v>GW-GM</v>
      </c>
      <c r="F23" s="1" cm="1">
        <f t="array" ref="F23">_xlfn.XLOOKUP(D23,'TABELA AUXILIAR'!$A$2:$A$5,IF('SPT médio'!A23&lt;3,'TABELA AUXILIAR'!$B$2:$B$5,'TABELA AUXILIAR'!$C$2:$C$5),"",0,1)</f>
        <v>10.5</v>
      </c>
      <c r="G23" s="6">
        <f t="shared" si="1"/>
        <v>29.596296558693421</v>
      </c>
      <c r="H23" s="2">
        <f t="shared" si="2"/>
        <v>40.197943423746771</v>
      </c>
      <c r="I23" s="2">
        <f t="shared" si="3"/>
        <v>449.71572620934649</v>
      </c>
      <c r="J23" s="1">
        <f t="shared" si="8"/>
        <v>154.04999999999995</v>
      </c>
      <c r="K23" s="1">
        <f t="shared" si="4"/>
        <v>0.59822405412262769</v>
      </c>
      <c r="L23" s="1">
        <f t="shared" si="5"/>
        <v>92.156415537590775</v>
      </c>
      <c r="M23" s="1">
        <f t="shared" si="6"/>
        <v>976.92630735737248</v>
      </c>
      <c r="N23" s="1">
        <f>$L23*'TABELA AUXILIAR'!$I$3*(B23-A23)</f>
        <v>207.90487345280465</v>
      </c>
      <c r="O23" s="1">
        <f>$L23*'TABELA AUXILIAR'!$I$4*(B23-A23)</f>
        <v>225.59890523602209</v>
      </c>
      <c r="P23" s="1">
        <f>$L23*'TABELA AUXILIAR'!$I$5*(B23-A23)</f>
        <v>260.43403030923133</v>
      </c>
      <c r="Q23" s="1">
        <f>$M23*'TABELA AUXILIAR'!$J$3+SUM(N$2:N23)</f>
        <v>4904.7435063404373</v>
      </c>
      <c r="R23" s="1">
        <f>$M23*'TABELA AUXILIAR'!$J$4+SUM(O$2:O23)</f>
        <v>5413.8332731661349</v>
      </c>
      <c r="S23" s="1">
        <f>$M23*'TABELA AUXILIAR'!$J$5+SUM(P$2:P23)</f>
        <v>6480.5198299956019</v>
      </c>
      <c r="T23" s="2">
        <f t="shared" si="7"/>
        <v>2452.37</v>
      </c>
      <c r="U23" s="2">
        <f t="shared" si="7"/>
        <v>2706.91</v>
      </c>
      <c r="V23" s="2">
        <f t="shared" si="7"/>
        <v>3240.25</v>
      </c>
      <c r="Z23" s="1" t="str">
        <f>IF('SPT-01'!$D23="","",'SPT-01'!$D23)</f>
        <v>Gravas</v>
      </c>
      <c r="AA23" s="1" t="str">
        <f>IF('SPT-02'!$D23="","",'SPT-02'!$D23)</f>
        <v>Areias</v>
      </c>
      <c r="AB23" s="1" t="str">
        <f>IF('SPT-03'!$D23="","",'SPT-03'!$D23)</f>
        <v>Gravas</v>
      </c>
      <c r="AC23" s="1" t="str">
        <f>IF('SPT-04'!$D23="","",'SPT-04'!$D23)</f>
        <v>Gravas</v>
      </c>
      <c r="AD23" s="1" t="str">
        <f>IF('SPT-05'!$D23="","",'SPT-05'!$D23)</f>
        <v>Areias</v>
      </c>
      <c r="AE23" s="1" t="str">
        <f>IF('SPT-06'!$D23="","",'SPT-06'!$D23)</f>
        <v>Gravas</v>
      </c>
      <c r="AF23" s="1" t="str">
        <f>IF('SPT-01'!$E23="","",'SPT-01'!$E23)</f>
        <v>GW-GM</v>
      </c>
      <c r="AG23" s="1" t="str">
        <f>IF('SPT-02'!$E23="","",'SPT-02'!$E23)</f>
        <v>SP-SM</v>
      </c>
      <c r="AH23" s="1" t="str">
        <f>IF('SPT-03'!$E23="","",'SPT-03'!$E23)</f>
        <v>GP-GM</v>
      </c>
      <c r="AI23" s="1" t="str">
        <f>IF('SPT-04'!$E23="","",'SPT-04'!$E23)</f>
        <v>GP</v>
      </c>
      <c r="AJ23" s="1" t="str">
        <f>IF('SPT-05'!$E23="","",'SPT-05'!$E23)</f>
        <v>SP-SM</v>
      </c>
      <c r="AK23" s="1" t="str">
        <f>IF('SPT-06'!$E23="","",'SPT-06'!$E23)</f>
        <v>GW-GM</v>
      </c>
    </row>
    <row r="24" spans="1:37" x14ac:dyDescent="0.25">
      <c r="A24" s="1">
        <v>13.2</v>
      </c>
      <c r="B24" s="1">
        <v>13.8</v>
      </c>
      <c r="C24" s="1">
        <f>ROUNDDOWN(_xlfn.PERCENTILE.INC('SPT-01:SPT-06'!C24, 0.15),0)</f>
        <v>44</v>
      </c>
      <c r="D24" s="1" t="str" cm="1">
        <f t="array" ref="D24">_xlfn.LET(_xlpm.linha, Z24:AE24, _xlpm.contagens, IF(_xlpm.linha="", 0, COUNTIF(_xlpm.linha, _xlpm.linha)), INDEX(_xlpm.linha, MATCH(MAX(_xlpm.contagens), _xlpm.contagens, 0)))</f>
        <v>Gravas</v>
      </c>
      <c r="E24" s="1" t="str" cm="1">
        <f t="array" ref="E24">_xlfn.LET(_xlpm.linha, AF24:AK24, _xlpm.contagens, IF(_xlpm.linha="", 0, COUNTIF(_xlpm.linha, _xlpm.linha)), INDEX(_xlpm.linha, MATCH(MAX(_xlpm.contagens), _xlpm.contagens, 0)))</f>
        <v>GW-GM</v>
      </c>
      <c r="F24" s="1" cm="1">
        <f t="array" ref="F24">_xlfn.XLOOKUP(D24,'TABELA AUXILIAR'!$A$2:$A$5,IF('SPT médio'!A24&lt;3,'TABELA AUXILIAR'!$B$2:$B$5,'TABELA AUXILIAR'!$C$2:$C$5),"",0,1)</f>
        <v>10.5</v>
      </c>
      <c r="G24" s="6">
        <f t="shared" si="1"/>
        <v>55.358260618955228</v>
      </c>
      <c r="H24" s="2">
        <f t="shared" si="2"/>
        <v>42.619764623672921</v>
      </c>
      <c r="I24" s="2">
        <f t="shared" si="3"/>
        <v>841.16877010502458</v>
      </c>
      <c r="J24" s="1">
        <f t="shared" si="8"/>
        <v>160.34999999999997</v>
      </c>
      <c r="K24" s="1">
        <f t="shared" si="4"/>
        <v>0.91266254707305716</v>
      </c>
      <c r="L24" s="1">
        <f t="shared" si="5"/>
        <v>146.34543942316469</v>
      </c>
      <c r="M24" s="1">
        <f t="shared" si="6"/>
        <v>1625.1719186133635</v>
      </c>
      <c r="N24" s="1">
        <f>$L24*'TABELA AUXILIAR'!$I$3*(B24-A24)</f>
        <v>330.15531133866034</v>
      </c>
      <c r="O24" s="1">
        <f>$L24*'TABELA AUXILIAR'!$I$4*(B24-A24)</f>
        <v>358.25363570790802</v>
      </c>
      <c r="P24" s="1">
        <f>$L24*'TABELA AUXILIAR'!$I$5*(B24-A24)</f>
        <v>413.57221180986437</v>
      </c>
      <c r="Q24" s="1">
        <f>$M24*'TABELA AUXILIAR'!$J$3+SUM(N$2:N24)</f>
        <v>5967.4163583983673</v>
      </c>
      <c r="R24" s="1">
        <f>$M24*'TABELA AUXILIAR'!$J$4+SUM(O$2:O24)</f>
        <v>6627.7711157319509</v>
      </c>
      <c r="S24" s="1">
        <f>$M24*'TABELA AUXILIAR'!$J$5+SUM(P$2:P24)</f>
        <v>8035.0043176160107</v>
      </c>
      <c r="T24" s="2">
        <f t="shared" si="7"/>
        <v>2983.7</v>
      </c>
      <c r="U24" s="2">
        <f t="shared" si="7"/>
        <v>3313.88</v>
      </c>
      <c r="V24" s="2">
        <f t="shared" si="7"/>
        <v>4017.5</v>
      </c>
      <c r="Z24" s="1" t="str">
        <f>IF('SPT-01'!$D24="","",'SPT-01'!$D24)</f>
        <v>Gravas</v>
      </c>
      <c r="AA24" s="1" t="str">
        <f>IF('SPT-02'!$D24="","",'SPT-02'!$D24)</f>
        <v>Areias</v>
      </c>
      <c r="AB24" s="1" t="str">
        <f>IF('SPT-03'!$D24="","",'SPT-03'!$D24)</f>
        <v>Gravas</v>
      </c>
      <c r="AC24" s="1" t="str">
        <f>IF('SPT-04'!$D24="","",'SPT-04'!$D24)</f>
        <v>Gravas</v>
      </c>
      <c r="AD24" s="1" t="str">
        <f>IF('SPT-05'!$D24="","",'SPT-05'!$D24)</f>
        <v>Areias</v>
      </c>
      <c r="AE24" s="1" t="str">
        <f>IF('SPT-06'!$D24="","",'SPT-06'!$D24)</f>
        <v>Gravas</v>
      </c>
      <c r="AF24" s="1" t="str">
        <f>IF('SPT-01'!$E24="","",'SPT-01'!$E24)</f>
        <v>GW-GM</v>
      </c>
      <c r="AG24" s="1" t="str">
        <f>IF('SPT-02'!$E24="","",'SPT-02'!$E24)</f>
        <v>SP-SM</v>
      </c>
      <c r="AH24" s="1" t="str">
        <f>IF('SPT-03'!$E24="","",'SPT-03'!$E24)</f>
        <v>GP-GM</v>
      </c>
      <c r="AI24" s="1" t="str">
        <f>IF('SPT-04'!$E24="","",'SPT-04'!$E24)</f>
        <v>GP</v>
      </c>
      <c r="AJ24" s="1" t="str">
        <f>IF('SPT-05'!$E24="","",'SPT-05'!$E24)</f>
        <v>SM</v>
      </c>
      <c r="AK24" s="1" t="str">
        <f>IF('SPT-06'!$E24="","",'SPT-06'!$E24)</f>
        <v>GW-GM</v>
      </c>
    </row>
    <row r="25" spans="1:37" x14ac:dyDescent="0.25">
      <c r="A25" s="1">
        <v>13.8</v>
      </c>
      <c r="B25" s="1">
        <v>14.4</v>
      </c>
      <c r="C25" s="1">
        <f>ROUNDDOWN(_xlfn.PERCENTILE.INC('SPT-01:SPT-06'!C25, 0.15),0)</f>
        <v>30</v>
      </c>
      <c r="D25" s="1" t="str" cm="1">
        <f t="array" ref="D25">_xlfn.LET(_xlpm.linha, Z25:AE25, _xlpm.contagens, IF(_xlpm.linha="", 0, COUNTIF(_xlpm.linha, _xlpm.linha)), INDEX(_xlpm.linha, MATCH(MAX(_xlpm.contagens), _xlpm.contagens, 0)))</f>
        <v>Gravas</v>
      </c>
      <c r="E25" s="1" t="str" cm="1">
        <f t="array" ref="E25">_xlfn.LET(_xlpm.linha, AF25:AK25, _xlpm.contagens, IF(_xlpm.linha="", 0, COUNTIF(_xlpm.linha, _xlpm.linha)), INDEX(_xlpm.linha, MATCH(MAX(_xlpm.contagens), _xlpm.contagens, 0)))</f>
        <v>GW-GM</v>
      </c>
      <c r="F25" s="1" cm="1">
        <f t="array" ref="F25">_xlfn.XLOOKUP(D25,'TABELA AUXILIAR'!$A$2:$A$5,IF('SPT médio'!A25&lt;3,'TABELA AUXILIAR'!$B$2:$B$5,'TABELA AUXILIAR'!$C$2:$C$5),"",0,1)</f>
        <v>10.5</v>
      </c>
      <c r="G25" s="6">
        <f t="shared" si="1"/>
        <v>38.478593682293386</v>
      </c>
      <c r="H25" s="2">
        <f t="shared" si="2"/>
        <v>41.089515543420895</v>
      </c>
      <c r="I25" s="2">
        <f t="shared" si="3"/>
        <v>584.68223100244791</v>
      </c>
      <c r="J25" s="1">
        <f t="shared" si="8"/>
        <v>166.64999999999998</v>
      </c>
      <c r="K25" s="1">
        <f t="shared" si="4"/>
        <v>0.68201869921982627</v>
      </c>
      <c r="L25" s="1">
        <f t="shared" si="5"/>
        <v>113.65841622498404</v>
      </c>
      <c r="M25" s="1">
        <f t="shared" si="6"/>
        <v>1224.266551995189</v>
      </c>
      <c r="N25" s="1">
        <f>$L25*'TABELA AUXILIAR'!$I$3*(B25-A25)</f>
        <v>256.4133870035638</v>
      </c>
      <c r="O25" s="1">
        <f>$L25*'TABELA AUXILIAR'!$I$4*(B25-A25)</f>
        <v>278.23580291876078</v>
      </c>
      <c r="P25" s="1">
        <f>$L25*'TABELA AUXILIAR'!$I$5*(B25-A25)</f>
        <v>321.19868425180471</v>
      </c>
      <c r="Q25" s="1">
        <f>$M25*'TABELA AUXILIAR'!$J$3+SUM(N$2:N25)</f>
        <v>5770.8066811233948</v>
      </c>
      <c r="R25" s="1">
        <f>$M25*'TABELA AUXILIAR'!$J$4+SUM(O$2:O25)</f>
        <v>6376.811834714721</v>
      </c>
      <c r="S25" s="1">
        <f>$M25*'TABELA AUXILIAR'!$J$5+SUM(P$2:P25)</f>
        <v>7650.6095566198273</v>
      </c>
      <c r="T25" s="2">
        <f t="shared" si="7"/>
        <v>2885.4</v>
      </c>
      <c r="U25" s="2">
        <f t="shared" si="7"/>
        <v>3188.4</v>
      </c>
      <c r="V25" s="2">
        <f t="shared" si="7"/>
        <v>3825.3</v>
      </c>
      <c r="Z25" s="1" t="str">
        <f>IF('SPT-01'!$D25="","",'SPT-01'!$D25)</f>
        <v>Gravas</v>
      </c>
      <c r="AA25" s="1" t="str">
        <f>IF('SPT-02'!$D25="","",'SPT-02'!$D25)</f>
        <v>Areias</v>
      </c>
      <c r="AB25" s="1" t="str">
        <f>IF('SPT-03'!$D25="","",'SPT-03'!$D25)</f>
        <v>Gravas</v>
      </c>
      <c r="AC25" s="1" t="str">
        <f>IF('SPT-04'!$D25="","",'SPT-04'!$D25)</f>
        <v>Gravas</v>
      </c>
      <c r="AD25" s="1" t="str">
        <f>IF('SPT-05'!$D25="","",'SPT-05'!$D25)</f>
        <v>Areias</v>
      </c>
      <c r="AE25" s="1" t="str">
        <f>IF('SPT-06'!$D25="","",'SPT-06'!$D25)</f>
        <v>Gravas</v>
      </c>
      <c r="AF25" s="1" t="str">
        <f>IF('SPT-01'!$E25="","",'SPT-01'!$E25)</f>
        <v>GW-GM</v>
      </c>
      <c r="AG25" s="1" t="str">
        <f>IF('SPT-02'!$E25="","",'SPT-02'!$E25)</f>
        <v>SM</v>
      </c>
      <c r="AH25" s="1" t="str">
        <f>IF('SPT-03'!$E25="","",'SPT-03'!$E25)</f>
        <v>GP-GM</v>
      </c>
      <c r="AI25" s="1" t="str">
        <f>IF('SPT-04'!$E25="","",'SPT-04'!$E25)</f>
        <v>GP</v>
      </c>
      <c r="AJ25" s="1" t="str">
        <f>IF('SPT-05'!$E25="","",'SPT-05'!$E25)</f>
        <v>SM</v>
      </c>
      <c r="AK25" s="1" t="str">
        <f>IF('SPT-06'!$E25="","",'SPT-06'!$E25)</f>
        <v>GW-GM</v>
      </c>
    </row>
    <row r="26" spans="1:37" x14ac:dyDescent="0.25">
      <c r="A26" s="1">
        <v>14.4</v>
      </c>
      <c r="B26" s="1">
        <v>15</v>
      </c>
      <c r="C26" s="1">
        <f>ROUNDDOWN(_xlfn.PERCENTILE.INC('SPT-01:SPT-06'!C26, 0.15),0)</f>
        <v>40</v>
      </c>
      <c r="D26" s="1" t="str" cm="1">
        <f t="array" ref="D26">_xlfn.LET(_xlpm.linha, Z26:AE26, _xlpm.contagens, IF(_xlpm.linha="", 0, COUNTIF(_xlpm.linha, _xlpm.linha)), INDEX(_xlpm.linha, MATCH(MAX(_xlpm.contagens), _xlpm.contagens, 0)))</f>
        <v>Gravas</v>
      </c>
      <c r="E26" s="1" t="str" cm="1">
        <f t="array" ref="E26">_xlfn.LET(_xlpm.linha, AF26:AK26, _xlpm.contagens, IF(_xlpm.linha="", 0, COUNTIF(_xlpm.linha, _xlpm.linha)), INDEX(_xlpm.linha, MATCH(MAX(_xlpm.contagens), _xlpm.contagens, 0)))</f>
        <v>GW-GM</v>
      </c>
      <c r="F26" s="1" cm="1">
        <f t="array" ref="F26">_xlfn.XLOOKUP(D26,'TABELA AUXILIAR'!$A$2:$A$5,IF('SPT médio'!A26&lt;3,'TABELA AUXILIAR'!$B$2:$B$5,'TABELA AUXILIAR'!$C$2:$C$5),"",0,1)</f>
        <v>10.5</v>
      </c>
      <c r="G26" s="6">
        <f t="shared" si="1"/>
        <v>52.265553238068208</v>
      </c>
      <c r="H26" s="2">
        <f t="shared" si="2"/>
        <v>42.238951920217254</v>
      </c>
      <c r="I26" s="2">
        <f t="shared" si="3"/>
        <v>794.17508145244631</v>
      </c>
      <c r="J26" s="1">
        <f t="shared" si="8"/>
        <v>172.95</v>
      </c>
      <c r="K26" s="1">
        <f t="shared" si="4"/>
        <v>0.82921048676900477</v>
      </c>
      <c r="L26" s="1">
        <f t="shared" si="5"/>
        <v>143.41195368669938</v>
      </c>
      <c r="M26" s="1">
        <f t="shared" si="6"/>
        <v>1575.7819542449297</v>
      </c>
      <c r="N26" s="1">
        <f>$L26*'TABELA AUXILIAR'!$I$3*(B26-A26)</f>
        <v>323.53736751719356</v>
      </c>
      <c r="O26" s="1">
        <f>$L26*'TABELA AUXILIAR'!$I$4*(B26-A26)</f>
        <v>351.07246262503992</v>
      </c>
      <c r="P26" s="1">
        <f>$L26*'TABELA AUXILIAR'!$I$5*(B26-A26)</f>
        <v>405.28218111861219</v>
      </c>
      <c r="Q26" s="1">
        <f>$M26*'TABELA AUXILIAR'!$J$3+SUM(N$2:N26)</f>
        <v>6491.5564531827949</v>
      </c>
      <c r="R26" s="1">
        <f>$M26*'TABELA AUXILIAR'!$J$4+SUM(O$2:O26)</f>
        <v>7191.884628309419</v>
      </c>
      <c r="S26" s="1">
        <f>$M26*'TABELA AUXILIAR'!$J$5+SUM(P$2:P26)</f>
        <v>8674.558845697984</v>
      </c>
      <c r="T26" s="2">
        <f t="shared" si="7"/>
        <v>3245.77</v>
      </c>
      <c r="U26" s="2">
        <f t="shared" si="7"/>
        <v>3595.94</v>
      </c>
      <c r="V26" s="2">
        <f t="shared" si="7"/>
        <v>4337.2700000000004</v>
      </c>
      <c r="Z26" s="1" t="str">
        <f>IF('SPT-01'!$D26="","",'SPT-01'!$D26)</f>
        <v>Gravas</v>
      </c>
      <c r="AA26" s="1" t="str">
        <f>IF('SPT-02'!$D26="","",'SPT-02'!$D26)</f>
        <v>Areias</v>
      </c>
      <c r="AB26" s="1" t="str">
        <f>IF('SPT-03'!$D26="","",'SPT-03'!$D26)</f>
        <v>Gravas</v>
      </c>
      <c r="AC26" s="1" t="str">
        <f>IF('SPT-04'!$D26="","",'SPT-04'!$D26)</f>
        <v>Gravas</v>
      </c>
      <c r="AD26" s="1" t="str">
        <f>IF('SPT-05'!$D26="","",'SPT-05'!$D26)</f>
        <v>Areias</v>
      </c>
      <c r="AE26" s="1" t="str">
        <f>IF('SPT-06'!$D26="","",'SPT-06'!$D26)</f>
        <v>Gravas</v>
      </c>
      <c r="AF26" s="1" t="str">
        <f>IF('SPT-01'!$E26="","",'SPT-01'!$E26)</f>
        <v>GW-GM</v>
      </c>
      <c r="AG26" s="1" t="str">
        <f>IF('SPT-02'!$E26="","",'SPT-02'!$E26)</f>
        <v>SM</v>
      </c>
      <c r="AH26" s="1" t="str">
        <f>IF('SPT-03'!$E26="","",'SPT-03'!$E26)</f>
        <v>GP</v>
      </c>
      <c r="AI26" s="1" t="str">
        <f>IF('SPT-04'!$E26="","",'SPT-04'!$E26)</f>
        <v>GP</v>
      </c>
      <c r="AJ26" s="1" t="str">
        <f>IF('SPT-05'!$E26="","",'SPT-05'!$E26)</f>
        <v>SM</v>
      </c>
      <c r="AK26" s="1" t="str">
        <f>IF('SPT-06'!$E26="","",'SPT-06'!$E26)</f>
        <v>GW-GM</v>
      </c>
    </row>
    <row r="27" spans="1:37" x14ac:dyDescent="0.25">
      <c r="A27" s="1">
        <v>15</v>
      </c>
      <c r="B27" s="1">
        <v>15.6</v>
      </c>
      <c r="C27" s="1">
        <f>ROUNDDOWN(_xlfn.PERCENTILE.INC('SPT-01:SPT-06'!C27, 0.15),0)</f>
        <v>28</v>
      </c>
      <c r="D27" s="1" t="str" cm="1">
        <f t="array" ref="D27">_xlfn.LET(_xlpm.linha, Z27:AE27, _xlpm.contagens, IF(_xlpm.linha="", 0, COUNTIF(_xlpm.linha, _xlpm.linha)), INDEX(_xlpm.linha, MATCH(MAX(_xlpm.contagens), _xlpm.contagens, 0)))</f>
        <v>Gravas</v>
      </c>
      <c r="E27" s="1" t="str" cm="1">
        <f t="array" ref="E27">_xlfn.LET(_xlpm.linha, AF27:AK27, _xlpm.contagens, IF(_xlpm.linha="", 0, COUNTIF(_xlpm.linha, _xlpm.linha)), INDEX(_xlpm.linha, MATCH(MAX(_xlpm.contagens), _xlpm.contagens, 0)))</f>
        <v>GW-GM</v>
      </c>
      <c r="F27" s="1" cm="1">
        <f t="array" ref="F27">_xlfn.XLOOKUP(D27,'TABELA AUXILIAR'!$A$2:$A$5,IF('SPT médio'!A27&lt;3,'TABELA AUXILIAR'!$B$2:$B$5,'TABELA AUXILIAR'!$C$2:$C$5),"",0,1)</f>
        <v>10.5</v>
      </c>
      <c r="G27" s="6">
        <f t="shared" si="1"/>
        <v>37.246278890839761</v>
      </c>
      <c r="H27" s="2">
        <f t="shared" si="2"/>
        <v>40.813853888348419</v>
      </c>
      <c r="I27" s="2">
        <f t="shared" si="3"/>
        <v>565.95720774631013</v>
      </c>
      <c r="J27" s="1">
        <f t="shared" si="8"/>
        <v>179.25</v>
      </c>
      <c r="K27" s="1">
        <f t="shared" si="4"/>
        <v>0.63422837909751717</v>
      </c>
      <c r="L27" s="1">
        <f t="shared" si="5"/>
        <v>113.68543695322995</v>
      </c>
      <c r="M27" s="1">
        <f t="shared" si="6"/>
        <v>1210.3130428717695</v>
      </c>
      <c r="N27" s="1">
        <f>$L27*'TABELA AUXILIAR'!$I$3*(B27-A27)</f>
        <v>256.47434576648658</v>
      </c>
      <c r="O27" s="1">
        <f>$L27*'TABELA AUXILIAR'!$I$4*(B27-A27)</f>
        <v>278.3019496615068</v>
      </c>
      <c r="P27" s="1">
        <f>$L27*'TABELA AUXILIAR'!$I$5*(B27-A27)</f>
        <v>321.27504482982766</v>
      </c>
      <c r="Q27" s="1">
        <f>$M27*'TABELA AUXILIAR'!$J$3+SUM(N$2:N27)</f>
        <v>6335.0509290976097</v>
      </c>
      <c r="R27" s="1">
        <f>$M27*'TABELA AUXILIAR'!$J$4+SUM(O$2:O27)</f>
        <v>6987.7676149583549</v>
      </c>
      <c r="S27" s="1">
        <f>$M27*'TABELA AUXILIAR'!$J$5+SUM(P$2:P27)</f>
        <v>8352.6086065110503</v>
      </c>
      <c r="T27" s="2">
        <f t="shared" si="7"/>
        <v>3167.52</v>
      </c>
      <c r="U27" s="2">
        <f t="shared" si="7"/>
        <v>3493.88</v>
      </c>
      <c r="V27" s="2">
        <f t="shared" si="7"/>
        <v>4176.3</v>
      </c>
      <c r="Z27" s="1" t="str">
        <f>IF('SPT-01'!$D27="","",'SPT-01'!$D27)</f>
        <v>Gravas</v>
      </c>
      <c r="AA27" s="1" t="str">
        <f>IF('SPT-02'!$D27="","",'SPT-02'!$D27)</f>
        <v>Areias</v>
      </c>
      <c r="AB27" s="1" t="str">
        <f>IF('SPT-03'!$D27="","",'SPT-03'!$D27)</f>
        <v>Gravas</v>
      </c>
      <c r="AC27" s="1" t="str">
        <f>IF('SPT-04'!$D27="","",'SPT-04'!$D27)</f>
        <v>Gravas</v>
      </c>
      <c r="AD27" s="1" t="str">
        <f>IF('SPT-05'!$D27="","",'SPT-05'!$D27)</f>
        <v>Areias</v>
      </c>
      <c r="AE27" s="1" t="str">
        <f>IF('SPT-06'!$D27="","",'SPT-06'!$D27)</f>
        <v>Gravas</v>
      </c>
      <c r="AF27" s="1" t="str">
        <f>IF('SPT-01'!$E27="","",'SPT-01'!$E27)</f>
        <v>GW-GM</v>
      </c>
      <c r="AG27" s="1" t="str">
        <f>IF('SPT-02'!$E27="","",'SPT-02'!$E27)</f>
        <v>SM</v>
      </c>
      <c r="AH27" s="1" t="str">
        <f>IF('SPT-03'!$E27="","",'SPT-03'!$E27)</f>
        <v>GP</v>
      </c>
      <c r="AI27" s="1" t="str">
        <f>IF('SPT-04'!$E27="","",'SPT-04'!$E27)</f>
        <v>GP</v>
      </c>
      <c r="AJ27" s="1" t="str">
        <f>IF('SPT-05'!$E27="","",'SPT-05'!$E27)</f>
        <v>SM</v>
      </c>
      <c r="AK27" s="1" t="str">
        <f>IF('SPT-06'!$E27="","",'SPT-06'!$E27)</f>
        <v>GW-GM</v>
      </c>
    </row>
    <row r="28" spans="1:37" x14ac:dyDescent="0.25">
      <c r="A28" s="1">
        <v>15.6</v>
      </c>
      <c r="B28" s="1">
        <v>16.2</v>
      </c>
      <c r="C28" s="1">
        <f>ROUNDDOWN(_xlfn.PERCENTILE.INC('SPT-01:SPT-06'!C28, 0.15),0)</f>
        <v>26</v>
      </c>
      <c r="D28" s="1" t="str" cm="1">
        <f t="array" ref="D28">_xlfn.LET(_xlpm.linha, Z28:AE28, _xlpm.contagens, IF(_xlpm.linha="", 0, COUNTIF(_xlpm.linha, _xlpm.linha)), INDEX(_xlpm.linha, MATCH(MAX(_xlpm.contagens), _xlpm.contagens, 0)))</f>
        <v>Gravas</v>
      </c>
      <c r="E28" s="1" t="str" cm="1">
        <f t="array" ref="E28">_xlfn.LET(_xlpm.linha, AF28:AK28, _xlpm.contagens, IF(_xlpm.linha="", 0, COUNTIF(_xlpm.linha, _xlpm.linha)), INDEX(_xlpm.linha, MATCH(MAX(_xlpm.contagens), _xlpm.contagens, 0)))</f>
        <v>GW-GM</v>
      </c>
      <c r="F28" s="1" cm="1">
        <f t="array" ref="F28">_xlfn.XLOOKUP(D28,'TABELA AUXILIAR'!$A$2:$A$5,IF('SPT médio'!A28&lt;3,'TABELA AUXILIAR'!$B$2:$B$5,'TABELA AUXILIAR'!$C$2:$C$5),"",0,1)</f>
        <v>10.5</v>
      </c>
      <c r="G28" s="6">
        <f t="shared" si="1"/>
        <v>35.188366335625581</v>
      </c>
      <c r="H28" s="2">
        <f t="shared" si="2"/>
        <v>40.51775480133152</v>
      </c>
      <c r="I28" s="2">
        <f t="shared" si="3"/>
        <v>534.68722646983065</v>
      </c>
      <c r="J28" s="1">
        <f t="shared" si="8"/>
        <v>185.55</v>
      </c>
      <c r="K28" s="1">
        <f t="shared" si="4"/>
        <v>0.59545871039863385</v>
      </c>
      <c r="L28" s="1">
        <f t="shared" si="5"/>
        <v>110.48736371446651</v>
      </c>
      <c r="M28" s="1">
        <f t="shared" si="6"/>
        <v>1164.5309714727653</v>
      </c>
      <c r="N28" s="1">
        <f>$L28*'TABELA AUXILIAR'!$I$3*(B28-A28)</f>
        <v>249.25949253983629</v>
      </c>
      <c r="O28" s="1">
        <f>$L28*'TABELA AUXILIAR'!$I$4*(B28-A28)</f>
        <v>270.47306637301386</v>
      </c>
      <c r="P28" s="1">
        <f>$L28*'TABELA AUXILIAR'!$I$5*(B28-A28)</f>
        <v>312.23728985708215</v>
      </c>
      <c r="Q28" s="1">
        <f>$M28*'TABELA AUXILIAR'!$J$3+SUM(N$2:N28)</f>
        <v>6532.5766809565712</v>
      </c>
      <c r="R28" s="1">
        <f>$M28*'TABELA AUXILIAR'!$J$4+SUM(O$2:O28)</f>
        <v>7197.8083470846832</v>
      </c>
      <c r="S28" s="1">
        <f>$M28*'TABELA AUXILIAR'!$J$5+SUM(P$2:P28)</f>
        <v>8584.2694507058841</v>
      </c>
      <c r="T28" s="2">
        <f t="shared" si="7"/>
        <v>3266.28</v>
      </c>
      <c r="U28" s="2">
        <f t="shared" si="7"/>
        <v>3598.9</v>
      </c>
      <c r="V28" s="2">
        <f t="shared" si="7"/>
        <v>4292.13</v>
      </c>
      <c r="Z28" s="1" t="str">
        <f>IF('SPT-01'!$D28="","",'SPT-01'!$D28)</f>
        <v>Gravas</v>
      </c>
      <c r="AA28" s="1" t="str">
        <f>IF('SPT-02'!$D28="","",'SPT-02'!$D28)</f>
        <v>Areias</v>
      </c>
      <c r="AB28" s="1" t="str">
        <f>IF('SPT-03'!$D28="","",'SPT-03'!$D28)</f>
        <v>Gravas</v>
      </c>
      <c r="AC28" s="1" t="str">
        <f>IF('SPT-04'!$D28="","",'SPT-04'!$D28)</f>
        <v>Gravas</v>
      </c>
      <c r="AD28" s="1" t="str">
        <f>IF('SPT-05'!$D28="","",'SPT-05'!$D28)</f>
        <v>Areias</v>
      </c>
      <c r="AE28" s="1" t="str">
        <f>IF('SPT-06'!$D28="","",'SPT-06'!$D28)</f>
        <v>Gravas</v>
      </c>
      <c r="AF28" s="1" t="str">
        <f>IF('SPT-01'!$E28="","",'SPT-01'!$E28)</f>
        <v>GW-GM</v>
      </c>
      <c r="AG28" s="1" t="str">
        <f>IF('SPT-02'!$E28="","",'SPT-02'!$E28)</f>
        <v>SM</v>
      </c>
      <c r="AH28" s="1" t="str">
        <f>IF('SPT-03'!$E28="","",'SPT-03'!$E28)</f>
        <v>GP</v>
      </c>
      <c r="AI28" s="1" t="str">
        <f>IF('SPT-04'!$E28="","",'SPT-04'!$E28)</f>
        <v>GP-GM</v>
      </c>
      <c r="AJ28" s="1" t="str">
        <f>IF('SPT-05'!$E28="","",'SPT-05'!$E28)</f>
        <v>SM</v>
      </c>
      <c r="AK28" s="1" t="str">
        <f>IF('SPT-06'!$E28="","",'SPT-06'!$E28)</f>
        <v>GW-GM</v>
      </c>
    </row>
    <row r="29" spans="1:37" x14ac:dyDescent="0.25">
      <c r="A29" s="1">
        <v>16.2</v>
      </c>
      <c r="B29" s="1">
        <v>16.8</v>
      </c>
      <c r="C29" s="1">
        <f>ROUNDDOWN(_xlfn.PERCENTILE.INC('SPT-01:SPT-06'!C29, 0.15),0)</f>
        <v>30</v>
      </c>
      <c r="D29" s="1" t="str" cm="1">
        <f t="array" ref="D29">_xlfn.LET(_xlpm.linha, Z29:AE29, _xlpm.contagens, IF(_xlpm.linha="", 0, COUNTIF(_xlpm.linha, _xlpm.linha)), INDEX(_xlpm.linha, MATCH(MAX(_xlpm.contagens), _xlpm.contagens, 0)))</f>
        <v>Areias</v>
      </c>
      <c r="E29" s="1" t="str" cm="1">
        <f t="array" ref="E29">_xlfn.LET(_xlpm.linha, AF29:AK29, _xlpm.contagens, IF(_xlpm.linha="", 0, COUNTIF(_xlpm.linha, _xlpm.linha)), INDEX(_xlpm.linha, MATCH(MAX(_xlpm.contagens), _xlpm.contagens, 0)))</f>
        <v>SM</v>
      </c>
      <c r="F29" s="1" cm="1">
        <f t="array" ref="F29">_xlfn.XLOOKUP(D29,'TABELA AUXILIAR'!$A$2:$A$5,IF('SPT médio'!A29&lt;3,'TABELA AUXILIAR'!$B$2:$B$5,'TABELA AUXILIAR'!$C$2:$C$5),"",0,1)</f>
        <v>8.5</v>
      </c>
      <c r="G29" s="6">
        <f t="shared" si="1"/>
        <v>41.22087951746645</v>
      </c>
      <c r="H29" s="2">
        <f t="shared" si="2"/>
        <v>41.089515543420895</v>
      </c>
      <c r="I29" s="2">
        <f t="shared" si="3"/>
        <v>932.8269968268155</v>
      </c>
      <c r="J29" s="1">
        <f t="shared" si="8"/>
        <v>191.25000000000003</v>
      </c>
      <c r="K29" s="1">
        <f t="shared" si="4"/>
        <v>0.84690977023397485</v>
      </c>
      <c r="L29" s="1">
        <f t="shared" si="5"/>
        <v>161.97149355724773</v>
      </c>
      <c r="M29" s="1">
        <f t="shared" si="6"/>
        <v>1329.6999727551581</v>
      </c>
      <c r="N29" s="1">
        <f>$L29*'TABELA AUXILIAR'!$I$3*(B29-A29)</f>
        <v>365.40768946515169</v>
      </c>
      <c r="O29" s="1">
        <f>$L29*'TABELA AUXILIAR'!$I$4*(B29-A29)</f>
        <v>396.50621622814339</v>
      </c>
      <c r="P29" s="1">
        <f>$L29*'TABELA AUXILIAR'!$I$5*(B29-A29)</f>
        <v>457.73144079278313</v>
      </c>
      <c r="Q29" s="1">
        <f>$M29*'TABELA AUXILIAR'!$J$3+SUM(N$2:N29)</f>
        <v>7084.6253418708266</v>
      </c>
      <c r="R29" s="1">
        <f>$M29*'TABELA AUXILIAR'!$J$4+SUM(O$2:O29)</f>
        <v>7812.3376450055857</v>
      </c>
      <c r="S29" s="1">
        <f>$M29*'TABELA AUXILIAR'!$J$5+SUM(P$2:P29)</f>
        <v>9332.6983337556776</v>
      </c>
      <c r="T29" s="2">
        <f t="shared" si="7"/>
        <v>3542.31</v>
      </c>
      <c r="U29" s="2">
        <f t="shared" si="7"/>
        <v>3906.16</v>
      </c>
      <c r="V29" s="2">
        <f t="shared" si="7"/>
        <v>4666.34</v>
      </c>
      <c r="Z29" s="1" t="str">
        <f>IF('SPT-01'!$D29="","",'SPT-01'!$D29)</f>
        <v>Areias</v>
      </c>
      <c r="AA29" s="1" t="str">
        <f>IF('SPT-02'!$D29="","",'SPT-02'!$D29)</f>
        <v>Areias</v>
      </c>
      <c r="AB29" s="1" t="str">
        <f>IF('SPT-03'!$D29="","",'SPT-03'!$D29)</f>
        <v>Gravas</v>
      </c>
      <c r="AC29" s="1" t="str">
        <f>IF('SPT-04'!$D29="","",'SPT-04'!$D29)</f>
        <v>Gravas</v>
      </c>
      <c r="AD29" s="1" t="str">
        <f>IF('SPT-05'!$D29="","",'SPT-05'!$D29)</f>
        <v>Areias</v>
      </c>
      <c r="AE29" s="1" t="str">
        <f>IF('SPT-06'!$D29="","",'SPT-06'!$D29)</f>
        <v>Gravas</v>
      </c>
      <c r="AF29" s="1" t="str">
        <f>IF('SPT-01'!$E29="","",'SPT-01'!$E29)</f>
        <v>SP-SM</v>
      </c>
      <c r="AG29" s="1" t="str">
        <f>IF('SPT-02'!$E29="","",'SPT-02'!$E29)</f>
        <v>SM</v>
      </c>
      <c r="AH29" s="1" t="str">
        <f>IF('SPT-03'!$E29="","",'SPT-03'!$E29)</f>
        <v>GP</v>
      </c>
      <c r="AI29" s="1" t="str">
        <f>IF('SPT-04'!$E29="","",'SPT-04'!$E29)</f>
        <v>GP</v>
      </c>
      <c r="AJ29" s="1" t="str">
        <f>IF('SPT-05'!$E29="","",'SPT-05'!$E29)</f>
        <v>SM</v>
      </c>
      <c r="AK29" s="1" t="str">
        <f>IF('SPT-06'!$E29="","",'SPT-06'!$E29)</f>
        <v>GW-GM</v>
      </c>
    </row>
    <row r="30" spans="1:37" x14ac:dyDescent="0.25">
      <c r="A30" s="1">
        <v>16.8</v>
      </c>
      <c r="B30" s="1">
        <v>17.399999999999999</v>
      </c>
      <c r="C30" s="1">
        <f>ROUNDDOWN(_xlfn.PERCENTILE.INC('SPT-01:SPT-06'!C30, 0.15),0)</f>
        <v>27</v>
      </c>
      <c r="D30" s="1" t="str" cm="1">
        <f t="array" ref="D30">_xlfn.LET(_xlpm.linha, Z30:AE30, _xlpm.contagens, IF(_xlpm.linha="", 0, COUNTIF(_xlpm.linha, _xlpm.linha)), INDEX(_xlpm.linha, MATCH(MAX(_xlpm.contagens), _xlpm.contagens, 0)))</f>
        <v>Areias</v>
      </c>
      <c r="E30" s="1" t="str" cm="1">
        <f t="array" ref="E30">_xlfn.LET(_xlpm.linha, AF30:AK30, _xlpm.contagens, IF(_xlpm.linha="", 0, COUNTIF(_xlpm.linha, _xlpm.linha)), INDEX(_xlpm.linha, MATCH(MAX(_xlpm.contagens), _xlpm.contagens, 0)))</f>
        <v>SM</v>
      </c>
      <c r="F30" s="1" cm="1">
        <f t="array" ref="F30">_xlfn.XLOOKUP(D30,'TABELA AUXILIAR'!$A$2:$A$5,IF('SPT médio'!A30&lt;3,'TABELA AUXILIAR'!$B$2:$B$5,'TABELA AUXILIAR'!$C$2:$C$5),"",0,1)</f>
        <v>8.5</v>
      </c>
      <c r="G30" s="6">
        <f t="shared" si="1"/>
        <v>37.590187699101769</v>
      </c>
      <c r="H30" s="2">
        <f t="shared" si="2"/>
        <v>40.668546630262682</v>
      </c>
      <c r="I30" s="2">
        <f t="shared" si="3"/>
        <v>866.4966713745099</v>
      </c>
      <c r="J30" s="1">
        <f t="shared" si="8"/>
        <v>196.35000000000002</v>
      </c>
      <c r="K30" s="1">
        <f t="shared" si="4"/>
        <v>0.78745069914403321</v>
      </c>
      <c r="L30" s="1">
        <f t="shared" si="5"/>
        <v>154.61594477693095</v>
      </c>
      <c r="M30" s="1">
        <f t="shared" si="6"/>
        <v>1241.6675876010029</v>
      </c>
      <c r="N30" s="1">
        <f>$L30*'TABELA AUXILIAR'!$I$3*(B30-A30)</f>
        <v>348.81357141675494</v>
      </c>
      <c r="O30" s="1">
        <f>$L30*'TABELA AUXILIAR'!$I$4*(B30-A30)</f>
        <v>378.49983281392565</v>
      </c>
      <c r="P30" s="1">
        <f>$L30*'TABELA AUXILIAR'!$I$5*(B30-A30)</f>
        <v>436.94465993960529</v>
      </c>
      <c r="Q30" s="1">
        <f>$M30*'TABELA AUXILIAR'!$J$3+SUM(N$2:N30)</f>
        <v>7333.9623180633862</v>
      </c>
      <c r="R30" s="1">
        <f>$M30*'TABELA AUXILIAR'!$J$4+SUM(O$2:O30)</f>
        <v>8074.6347294160269</v>
      </c>
      <c r="S30" s="1">
        <f>$M30*'TABELA AUXILIAR'!$J$5+SUM(P$2:P30)</f>
        <v>9614.7059958239697</v>
      </c>
      <c r="T30" s="2">
        <f t="shared" si="7"/>
        <v>3666.98</v>
      </c>
      <c r="U30" s="2">
        <f t="shared" si="7"/>
        <v>4037.31</v>
      </c>
      <c r="V30" s="2">
        <f t="shared" si="7"/>
        <v>4807.3500000000004</v>
      </c>
      <c r="Z30" s="1" t="str">
        <f>IF('SPT-01'!$D30="","",'SPT-01'!$D30)</f>
        <v>Areias</v>
      </c>
      <c r="AA30" s="1" t="str">
        <f>IF('SPT-02'!$D30="","",'SPT-02'!$D30)</f>
        <v>Areias</v>
      </c>
      <c r="AB30" s="1" t="str">
        <f>IF('SPT-03'!$D30="","",'SPT-03'!$D30)</f>
        <v>Gravas</v>
      </c>
      <c r="AC30" s="1" t="str">
        <f>IF('SPT-04'!$D30="","",'SPT-04'!$D30)</f>
        <v>Gravas</v>
      </c>
      <c r="AD30" s="1" t="str">
        <f>IF('SPT-05'!$D30="","",'SPT-05'!$D30)</f>
        <v>Areias</v>
      </c>
      <c r="AE30" s="1" t="str">
        <f>IF('SPT-06'!$D30="","",'SPT-06'!$D30)</f>
        <v>Gravas</v>
      </c>
      <c r="AF30" s="1" t="str">
        <f>IF('SPT-01'!$E30="","",'SPT-01'!$E30)</f>
        <v>SP-SM</v>
      </c>
      <c r="AG30" s="1" t="str">
        <f>IF('SPT-02'!$E30="","",'SPT-02'!$E30)</f>
        <v>SM</v>
      </c>
      <c r="AH30" s="1" t="str">
        <f>IF('SPT-03'!$E30="","",'SPT-03'!$E30)</f>
        <v>GP</v>
      </c>
      <c r="AI30" s="1" t="str">
        <f>IF('SPT-04'!$E30="","",'SPT-04'!$E30)</f>
        <v>GP</v>
      </c>
      <c r="AJ30" s="1" t="str">
        <f>IF('SPT-05'!$E30="","",'SPT-05'!$E30)</f>
        <v>SM</v>
      </c>
      <c r="AK30" s="1" t="str">
        <f>IF('SPT-06'!$E30="","",'SPT-06'!$E30)</f>
        <v>GW-GM</v>
      </c>
    </row>
    <row r="31" spans="1:37" x14ac:dyDescent="0.25">
      <c r="A31" s="1">
        <v>17.399999999999999</v>
      </c>
      <c r="B31" s="1">
        <v>18</v>
      </c>
      <c r="C31" s="1">
        <f>ROUNDDOWN(_xlfn.PERCENTILE.INC('SPT-01:SPT-06'!C31, 0.15),0)</f>
        <v>39</v>
      </c>
      <c r="D31" s="1" t="str" cm="1">
        <f t="array" ref="D31">_xlfn.LET(_xlpm.linha, Z31:AE31, _xlpm.contagens, IF(_xlpm.linha="", 0, COUNTIF(_xlpm.linha, _xlpm.linha)), INDEX(_xlpm.linha, MATCH(MAX(_xlpm.contagens), _xlpm.contagens, 0)))</f>
        <v>Areias</v>
      </c>
      <c r="E31" s="1" t="str" cm="1">
        <f t="array" ref="E31">_xlfn.LET(_xlpm.linha, AF31:AK31, _xlpm.contagens, IF(_xlpm.linha="", 0, COUNTIF(_xlpm.linha, _xlpm.linha)), INDEX(_xlpm.linha, MATCH(MAX(_xlpm.contagens), _xlpm.contagens, 0)))</f>
        <v>SP-SM</v>
      </c>
      <c r="F31" s="1" cm="1">
        <f t="array" ref="F31">_xlfn.XLOOKUP(D31,'TABELA AUXILIAR'!$A$2:$A$5,IF('SPT médio'!A31&lt;3,'TABELA AUXILIAR'!$B$2:$B$5,'TABELA AUXILIAR'!$C$2:$C$5),"",0,1)</f>
        <v>8.5</v>
      </c>
      <c r="G31" s="6">
        <f t="shared" si="1"/>
        <v>54.997572413445326</v>
      </c>
      <c r="H31" s="2">
        <f t="shared" si="2"/>
        <v>42.13779438464379</v>
      </c>
      <c r="I31" s="2">
        <f t="shared" si="3"/>
        <v>1174.8491836895914</v>
      </c>
      <c r="J31" s="1">
        <f t="shared" si="8"/>
        <v>201.45000000000002</v>
      </c>
      <c r="K31" s="1">
        <f t="shared" si="4"/>
        <v>0.97194480006199102</v>
      </c>
      <c r="L31" s="1">
        <f t="shared" si="5"/>
        <v>195.7982799724881</v>
      </c>
      <c r="M31" s="1">
        <f t="shared" si="6"/>
        <v>1692.1849899398758</v>
      </c>
      <c r="N31" s="1">
        <f>$L31*'TABELA AUXILIAR'!$I$3*(B31-A31)</f>
        <v>441.72091961793416</v>
      </c>
      <c r="O31" s="1">
        <f>$L31*'TABELA AUXILIAR'!$I$4*(B31-A31)</f>
        <v>479.31418937265204</v>
      </c>
      <c r="P31" s="1">
        <f>$L31*'TABELA AUXILIAR'!$I$5*(B31-A31)</f>
        <v>553.3259392022527</v>
      </c>
      <c r="Q31" s="1">
        <f>$M31*'TABELA AUXILIAR'!$J$3+SUM(N$2:N31)</f>
        <v>8284.7679023242454</v>
      </c>
      <c r="R31" s="1">
        <f>$M31*'TABELA AUXILIAR'!$J$4+SUM(O$2:O31)</f>
        <v>9148.631889875991</v>
      </c>
      <c r="S31" s="1">
        <f>$M31*'TABELA AUXILIAR'!$J$5+SUM(P$2:P31)</f>
        <v>10960.94256314264</v>
      </c>
      <c r="T31" s="2">
        <f t="shared" si="7"/>
        <v>4142.38</v>
      </c>
      <c r="U31" s="2">
        <f t="shared" si="7"/>
        <v>4574.3100000000004</v>
      </c>
      <c r="V31" s="2">
        <f t="shared" si="7"/>
        <v>5480.47</v>
      </c>
      <c r="Z31" s="1" t="str">
        <f>IF('SPT-01'!$D31="","",'SPT-01'!$D31)</f>
        <v>Areias</v>
      </c>
      <c r="AA31" s="1" t="str">
        <f>IF('SPT-02'!$D31="","",'SPT-02'!$D31)</f>
        <v>Areias</v>
      </c>
      <c r="AB31" s="1" t="str">
        <f>IF('SPT-03'!$D31="","",'SPT-03'!$D31)</f>
        <v>Gravas</v>
      </c>
      <c r="AC31" s="1" t="str">
        <f>IF('SPT-04'!$D31="","",'SPT-04'!$D31)</f>
        <v>Gravas</v>
      </c>
      <c r="AD31" s="1" t="str">
        <f>IF('SPT-05'!$D31="","",'SPT-05'!$D31)</f>
        <v>Finos</v>
      </c>
      <c r="AE31" s="1" t="str">
        <f>IF('SPT-06'!$D31="","",'SPT-06'!$D31)</f>
        <v>Areias</v>
      </c>
      <c r="AF31" s="1" t="str">
        <f>IF('SPT-01'!$E31="","",'SPT-01'!$E31)</f>
        <v>SP-SM</v>
      </c>
      <c r="AG31" s="1" t="str">
        <f>IF('SPT-02'!$E31="","",'SPT-02'!$E31)</f>
        <v>SP</v>
      </c>
      <c r="AH31" s="1" t="str">
        <f>IF('SPT-03'!$E31="","",'SPT-03'!$E31)</f>
        <v>GP</v>
      </c>
      <c r="AI31" s="1" t="str">
        <f>IF('SPT-04'!$E31="","",'SPT-04'!$E31)</f>
        <v>GP</v>
      </c>
      <c r="AJ31" s="1" t="str">
        <f>IF('SPT-05'!$E31="","",'SPT-05'!$E31)</f>
        <v>ML</v>
      </c>
      <c r="AK31" s="1" t="str">
        <f>IF('SPT-06'!$E31="","",'SPT-06'!$E31)</f>
        <v>SP-SM</v>
      </c>
    </row>
    <row r="32" spans="1:37" x14ac:dyDescent="0.25">
      <c r="A32" s="1">
        <v>18</v>
      </c>
      <c r="B32" s="1">
        <v>18.600000000000001</v>
      </c>
      <c r="C32" s="1">
        <f>ROUNDDOWN(_xlfn.PERCENTILE.INC('SPT-01:SPT-06'!C32, 0.15),0)</f>
        <v>39</v>
      </c>
      <c r="D32" s="1" t="str" cm="1">
        <f t="array" ref="D32">_xlfn.LET(_xlpm.linha, Z32:AE32, _xlpm.contagens, IF(_xlpm.linha="", 0, COUNTIF(_xlpm.linha, _xlpm.linha)), INDEX(_xlpm.linha, MATCH(MAX(_xlpm.contagens), _xlpm.contagens, 0)))</f>
        <v>Areias</v>
      </c>
      <c r="E32" s="1" t="str" cm="1">
        <f t="array" ref="E32">_xlfn.LET(_xlpm.linha, AF32:AK32, _xlpm.contagens, IF(_xlpm.linha="", 0, COUNTIF(_xlpm.linha, _xlpm.linha)), INDEX(_xlpm.linha, MATCH(MAX(_xlpm.contagens), _xlpm.contagens, 0)))</f>
        <v>SP-SM</v>
      </c>
      <c r="F32" s="1" cm="1">
        <f t="array" ref="F32">_xlfn.XLOOKUP(D32,'TABELA AUXILIAR'!$A$2:$A$5,IF('SPT médio'!A32&lt;3,'TABELA AUXILIAR'!$B$2:$B$5,'TABELA AUXILIAR'!$C$2:$C$5),"",0,1)</f>
        <v>8.5</v>
      </c>
      <c r="G32" s="6">
        <f t="shared" si="1"/>
        <v>55.689392972403184</v>
      </c>
      <c r="H32" s="2">
        <f t="shared" si="2"/>
        <v>42.13779438464379</v>
      </c>
      <c r="I32" s="2">
        <f t="shared" si="3"/>
        <v>1186.6572323927999</v>
      </c>
      <c r="J32" s="1">
        <f t="shared" si="8"/>
        <v>206.55000000000004</v>
      </c>
      <c r="K32" s="1">
        <f t="shared" si="4"/>
        <v>0.96221195128134351</v>
      </c>
      <c r="L32" s="1">
        <f t="shared" si="5"/>
        <v>198.74487853716155</v>
      </c>
      <c r="M32" s="1">
        <f t="shared" si="6"/>
        <v>1717.7604331602276</v>
      </c>
      <c r="N32" s="1">
        <f>$L32*'TABELA AUXILIAR'!$I$3*(B32-A32)</f>
        <v>448.36844597983753</v>
      </c>
      <c r="O32" s="1">
        <f>$L32*'TABELA AUXILIAR'!$I$4*(B32-A32)</f>
        <v>486.52746265897264</v>
      </c>
      <c r="P32" s="1">
        <f>$L32*'TABELA AUXILIAR'!$I$5*(B32-A32)</f>
        <v>561.65302674601992</v>
      </c>
      <c r="Q32" s="1">
        <f>$M32*'TABELA AUXILIAR'!$J$3+SUM(N$2:N32)</f>
        <v>8762.0365991430808</v>
      </c>
      <c r="R32" s="1">
        <f>$M32*'TABELA AUXILIAR'!$J$4+SUM(O$2:O32)</f>
        <v>9668.9189375858277</v>
      </c>
      <c r="S32" s="1">
        <f>$M32*'TABELA AUXILIAR'!$J$5+SUM(P$2:P32)</f>
        <v>11567.608369956479</v>
      </c>
      <c r="T32" s="2">
        <f t="shared" si="7"/>
        <v>4381.01</v>
      </c>
      <c r="U32" s="2">
        <f t="shared" si="7"/>
        <v>4834.45</v>
      </c>
      <c r="V32" s="2">
        <f t="shared" si="7"/>
        <v>5783.8</v>
      </c>
      <c r="Z32" s="1" t="str">
        <f>IF('SPT-01'!$D32="","",'SPT-01'!$D32)</f>
        <v>Areias</v>
      </c>
      <c r="AA32" s="1" t="str">
        <f>IF('SPT-02'!$D32="","",'SPT-02'!$D32)</f>
        <v>Areias</v>
      </c>
      <c r="AB32" s="1" t="str">
        <f>IF('SPT-03'!$D32="","",'SPT-03'!$D32)</f>
        <v>Areias</v>
      </c>
      <c r="AC32" s="1" t="str">
        <f>IF('SPT-04'!$D32="","",'SPT-04'!$D32)</f>
        <v>Gravas</v>
      </c>
      <c r="AD32" s="1" t="str">
        <f>IF('SPT-05'!$D32="","",'SPT-05'!$D32)</f>
        <v>Finos</v>
      </c>
      <c r="AE32" s="1" t="str">
        <f>IF('SPT-06'!$D32="","",'SPT-06'!$D32)</f>
        <v>Areias</v>
      </c>
      <c r="AF32" s="1" t="str">
        <f>IF('SPT-01'!$E32="","",'SPT-01'!$E32)</f>
        <v>SP-SM</v>
      </c>
      <c r="AG32" s="1" t="str">
        <f>IF('SPT-02'!$E32="","",'SPT-02'!$E32)</f>
        <v>SP</v>
      </c>
      <c r="AH32" s="1" t="str">
        <f>IF('SPT-03'!$E32="","",'SPT-03'!$E32)</f>
        <v>SP-SM</v>
      </c>
      <c r="AI32" s="1" t="str">
        <f>IF('SPT-04'!$E32="","",'SPT-04'!$E32)</f>
        <v>GP</v>
      </c>
      <c r="AJ32" s="1" t="str">
        <f>IF('SPT-05'!$E32="","",'SPT-05'!$E32)</f>
        <v>ML</v>
      </c>
      <c r="AK32" s="1" t="str">
        <f>IF('SPT-06'!$E32="","",'SPT-06'!$E32)</f>
        <v>SP-SM</v>
      </c>
    </row>
    <row r="33" spans="1:37" x14ac:dyDescent="0.25">
      <c r="A33" s="1">
        <v>18.600000000000001</v>
      </c>
      <c r="B33" s="1">
        <v>19.2</v>
      </c>
      <c r="C33" s="1">
        <f>ROUNDDOWN(_xlfn.PERCENTILE.INC('SPT-01:SPT-06'!C33, 0.15),0)</f>
        <v>37</v>
      </c>
      <c r="D33" s="1" t="str" cm="1">
        <f t="array" ref="D33">_xlfn.LET(_xlpm.linha, Z33:AE33, _xlpm.contagens, IF(_xlpm.linha="", 0, COUNTIF(_xlpm.linha, _xlpm.linha)), INDEX(_xlpm.linha, MATCH(MAX(_xlpm.contagens), _xlpm.contagens, 0)))</f>
        <v>Areias</v>
      </c>
      <c r="E33" s="1" t="str" cm="1">
        <f t="array" ref="E33">_xlfn.LET(_xlpm.linha, AF33:AK33, _xlpm.contagens, IF(_xlpm.linha="", 0, COUNTIF(_xlpm.linha, _xlpm.linha)), INDEX(_xlpm.linha, MATCH(MAX(_xlpm.contagens), _xlpm.contagens, 0)))</f>
        <v>SP-SM</v>
      </c>
      <c r="F33" s="1" cm="1">
        <f t="array" ref="F33">_xlfn.XLOOKUP(D33,'TABELA AUXILIAR'!$A$2:$A$5,IF('SPT médio'!A33&lt;3,'TABELA AUXILIAR'!$B$2:$B$5,'TABELA AUXILIAR'!$C$2:$C$5),"",0,1)</f>
        <v>8.5</v>
      </c>
      <c r="G33" s="6">
        <f t="shared" si="1"/>
        <v>53.481815049298987</v>
      </c>
      <c r="H33" s="2">
        <f t="shared" si="2"/>
        <v>41.927455861416355</v>
      </c>
      <c r="I33" s="2">
        <f t="shared" si="3"/>
        <v>1148.8735038194866</v>
      </c>
      <c r="J33" s="1">
        <f t="shared" si="8"/>
        <v>211.65000000000003</v>
      </c>
      <c r="K33" s="1">
        <f t="shared" si="4"/>
        <v>0.92280482480476544</v>
      </c>
      <c r="L33" s="1">
        <f t="shared" si="5"/>
        <v>195.31164116992863</v>
      </c>
      <c r="M33" s="1">
        <f t="shared" si="6"/>
        <v>1671.1988677167039</v>
      </c>
      <c r="N33" s="1">
        <f>$L33*'TABELA AUXILIAR'!$I$3*(B33-A33)</f>
        <v>440.62306247935737</v>
      </c>
      <c r="O33" s="1">
        <f>$L33*'TABELA AUXILIAR'!$I$4*(B33-A33)</f>
        <v>478.12289758398362</v>
      </c>
      <c r="P33" s="1">
        <f>$L33*'TABELA AUXILIAR'!$I$5*(B33-A33)</f>
        <v>551.95069794621634</v>
      </c>
      <c r="Q33" s="1">
        <f>$M33*'TABELA AUXILIAR'!$J$3+SUM(N$2:N33)</f>
        <v>9150.0450926712565</v>
      </c>
      <c r="R33" s="1">
        <f>$M33*'TABELA AUXILIAR'!$J$4+SUM(O$2:O33)</f>
        <v>10085.58056878436</v>
      </c>
      <c r="S33" s="1">
        <f>$M33*'TABELA AUXILIAR'!$J$5+SUM(P$2:P33)</f>
        <v>12037.610712722093</v>
      </c>
      <c r="T33" s="2">
        <f t="shared" si="7"/>
        <v>4575.0200000000004</v>
      </c>
      <c r="U33" s="2">
        <f t="shared" si="7"/>
        <v>5042.79</v>
      </c>
      <c r="V33" s="2">
        <f t="shared" si="7"/>
        <v>6018.8</v>
      </c>
      <c r="Z33" s="1" t="str">
        <f>IF('SPT-01'!$D33="","",'SPT-01'!$D33)</f>
        <v>Areias</v>
      </c>
      <c r="AA33" s="1" t="str">
        <f>IF('SPT-02'!$D33="","",'SPT-02'!$D33)</f>
        <v>Areias</v>
      </c>
      <c r="AB33" s="1" t="str">
        <f>IF('SPT-03'!$D33="","",'SPT-03'!$D33)</f>
        <v>Areias</v>
      </c>
      <c r="AC33" s="1" t="str">
        <f>IF('SPT-04'!$D33="","",'SPT-04'!$D33)</f>
        <v>Areias</v>
      </c>
      <c r="AD33" s="1" t="str">
        <f>IF('SPT-05'!$D33="","",'SPT-05'!$D33)</f>
        <v>Finos</v>
      </c>
      <c r="AE33" s="1" t="str">
        <f>IF('SPT-06'!$D33="","",'SPT-06'!$D33)</f>
        <v>Areias</v>
      </c>
      <c r="AF33" s="1" t="str">
        <f>IF('SPT-01'!$E33="","",'SPT-01'!$E33)</f>
        <v>SP-SM</v>
      </c>
      <c r="AG33" s="1" t="str">
        <f>IF('SPT-02'!$E33="","",'SPT-02'!$E33)</f>
        <v>SP</v>
      </c>
      <c r="AH33" s="1" t="str">
        <f>IF('SPT-03'!$E33="","",'SPT-03'!$E33)</f>
        <v>SP-SM</v>
      </c>
      <c r="AI33" s="1" t="str">
        <f>IF('SPT-04'!$E33="","",'SPT-04'!$E33)</f>
        <v>SP-SM</v>
      </c>
      <c r="AJ33" s="1" t="str">
        <f>IF('SPT-05'!$E33="","",'SPT-05'!$E33)</f>
        <v>ML</v>
      </c>
      <c r="AK33" s="1" t="str">
        <f>IF('SPT-06'!$E33="","",'SPT-06'!$E33)</f>
        <v>SP-SM</v>
      </c>
    </row>
    <row r="34" spans="1:37" x14ac:dyDescent="0.25">
      <c r="A34" s="1">
        <v>19.2</v>
      </c>
      <c r="B34" s="1">
        <v>19.8</v>
      </c>
      <c r="C34" s="1">
        <f>ROUNDDOWN(_xlfn.PERCENTILE.INC('SPT-01:SPT-06'!C34, 0.15),0)</f>
        <v>46</v>
      </c>
      <c r="D34" s="1" t="str" cm="1">
        <f t="array" ref="D34">_xlfn.LET(_xlpm.linha, Z34:AE34, _xlpm.contagens, IF(_xlpm.linha="", 0, COUNTIF(_xlpm.linha, _xlpm.linha)), INDEX(_xlpm.linha, MATCH(MAX(_xlpm.contagens), _xlpm.contagens, 0)))</f>
        <v>Areias</v>
      </c>
      <c r="E34" s="1" t="str" cm="1">
        <f t="array" ref="E34">_xlfn.LET(_xlpm.linha, AF34:AK34, _xlpm.contagens, IF(_xlpm.linha="", 0, COUNTIF(_xlpm.linha, _xlpm.linha)), INDEX(_xlpm.linha, MATCH(MAX(_xlpm.contagens), _xlpm.contagens, 0)))</f>
        <v>SP-SM</v>
      </c>
      <c r="F34" s="1" cm="1">
        <f t="array" ref="F34">_xlfn.XLOOKUP(D34,'TABELA AUXILIAR'!$A$2:$A$5,IF('SPT médio'!A34&lt;3,'TABELA AUXILIAR'!$B$2:$B$5,'TABELA AUXILIAR'!$C$2:$C$5),"",0,1)</f>
        <v>8.5</v>
      </c>
      <c r="G34" s="6">
        <f t="shared" si="1"/>
        <v>67.287231846727522</v>
      </c>
      <c r="H34" s="2">
        <f t="shared" si="2"/>
        <v>42.797372051470482</v>
      </c>
      <c r="I34" s="2">
        <f t="shared" si="3"/>
        <v>1380.5541091505715</v>
      </c>
      <c r="J34" s="1">
        <f t="shared" si="8"/>
        <v>216.75000000000003</v>
      </c>
      <c r="K34" s="1">
        <f t="shared" si="4"/>
        <v>1.0443276664230701</v>
      </c>
      <c r="L34" s="1">
        <f t="shared" si="5"/>
        <v>226.35802169720046</v>
      </c>
      <c r="M34" s="1">
        <f t="shared" si="6"/>
        <v>2017.7972175220466</v>
      </c>
      <c r="N34" s="1">
        <f>$L34*'TABELA AUXILIAR'!$I$3*(B34-A34)</f>
        <v>510.66369694888539</v>
      </c>
      <c r="O34" s="1">
        <f>$L34*'TABELA AUXILIAR'!$I$4*(B34-A34)</f>
        <v>554.12443711474805</v>
      </c>
      <c r="P34" s="1">
        <f>$L34*'TABELA AUXILIAR'!$I$5*(B34-A34)</f>
        <v>639.68776931628997</v>
      </c>
      <c r="Q34" s="1">
        <f>$M34*'TABELA AUXILIAR'!$J$3+SUM(N$2:N34)</f>
        <v>10052.364924900179</v>
      </c>
      <c r="R34" s="1">
        <f>$M34*'TABELA AUXILIAR'!$J$4+SUM(O$2:O34)</f>
        <v>11097.214827642161</v>
      </c>
      <c r="S34" s="1">
        <f>$M34*'TABELA AUXILIAR'!$J$5+SUM(P$2:P34)</f>
        <v>13287.311577695786</v>
      </c>
      <c r="T34" s="2">
        <f t="shared" si="7"/>
        <v>5026.18</v>
      </c>
      <c r="U34" s="2">
        <f t="shared" si="7"/>
        <v>5548.6</v>
      </c>
      <c r="V34" s="2">
        <f t="shared" si="7"/>
        <v>6643.65</v>
      </c>
      <c r="Z34" s="1" t="str">
        <f>IF('SPT-01'!$D34="","",'SPT-01'!$D34)</f>
        <v>Areias</v>
      </c>
      <c r="AA34" s="1" t="str">
        <f>IF('SPT-02'!$D34="","",'SPT-02'!$D34)</f>
        <v>Areias</v>
      </c>
      <c r="AB34" s="1" t="str">
        <f>IF('SPT-03'!$D34="","",'SPT-03'!$D34)</f>
        <v>Areias</v>
      </c>
      <c r="AC34" s="1" t="str">
        <f>IF('SPT-04'!$D34="","",'SPT-04'!$D34)</f>
        <v>Areias</v>
      </c>
      <c r="AD34" s="1" t="str">
        <f>IF('SPT-05'!$D34="","",'SPT-05'!$D34)</f>
        <v>Finos</v>
      </c>
      <c r="AE34" s="1" t="str">
        <f>IF('SPT-06'!$D34="","",'SPT-06'!$D34)</f>
        <v>Areias</v>
      </c>
      <c r="AF34" s="1" t="str">
        <f>IF('SPT-01'!$E34="","",'SPT-01'!$E34)</f>
        <v>SP-SM</v>
      </c>
      <c r="AG34" s="1" t="str">
        <f>IF('SPT-02'!$E34="","",'SPT-02'!$E34)</f>
        <v>SP</v>
      </c>
      <c r="AH34" s="1" t="str">
        <f>IF('SPT-03'!$E34="","",'SPT-03'!$E34)</f>
        <v>SP-SM</v>
      </c>
      <c r="AI34" s="1" t="str">
        <f>IF('SPT-04'!$E34="","",'SPT-04'!$E34)</f>
        <v>SP-SM</v>
      </c>
      <c r="AJ34" s="1" t="str">
        <f>IF('SPT-05'!$E34="","",'SPT-05'!$E34)</f>
        <v>ML</v>
      </c>
      <c r="AK34" s="1" t="str">
        <f>IF('SPT-06'!$E34="","",'SPT-06'!$E34)</f>
        <v>SP-SM</v>
      </c>
    </row>
    <row r="35" spans="1:37" x14ac:dyDescent="0.25">
      <c r="A35" s="1">
        <v>19.8</v>
      </c>
      <c r="B35" s="1">
        <v>20.399999999999999</v>
      </c>
      <c r="C35" s="1">
        <f>ROUNDDOWN(_xlfn.PERCENTILE.INC('SPT-01:SPT-06'!C35, 0.15),0)</f>
        <v>45</v>
      </c>
      <c r="D35" s="1" t="str" cm="1">
        <f t="array" ref="D35">_xlfn.LET(_xlpm.linha, Z35:AE35, _xlpm.contagens, IF(_xlpm.linha="", 0, COUNTIF(_xlpm.linha, _xlpm.linha)), INDEX(_xlpm.linha, MATCH(MAX(_xlpm.contagens), _xlpm.contagens, 0)))</f>
        <v>Areias</v>
      </c>
      <c r="E35" s="1" t="str" cm="1">
        <f t="array" ref="E35">_xlfn.LET(_xlpm.linha, AF35:AK35, _xlpm.contagens, IF(_xlpm.linha="", 0, COUNTIF(_xlpm.linha, _xlpm.linha)), INDEX(_xlpm.linha, MATCH(MAX(_xlpm.contagens), _xlpm.contagens, 0)))</f>
        <v>SP-SM</v>
      </c>
      <c r="F35" s="1" cm="1">
        <f t="array" ref="F35">_xlfn.XLOOKUP(D35,'TABELA AUXILIAR'!$A$2:$A$5,IF('SPT médio'!A35&lt;3,'TABELA AUXILIAR'!$B$2:$B$5,'TABELA AUXILIAR'!$C$2:$C$5),"",0,1)</f>
        <v>8.5</v>
      </c>
      <c r="G35" s="6">
        <f t="shared" si="1"/>
        <v>66.594368908977543</v>
      </c>
      <c r="H35" s="2">
        <f t="shared" si="2"/>
        <v>42.709555126733164</v>
      </c>
      <c r="I35" s="2">
        <f t="shared" si="3"/>
        <v>1369.1697940901504</v>
      </c>
      <c r="J35" s="1">
        <f t="shared" si="8"/>
        <v>221.85000000000002</v>
      </c>
      <c r="K35" s="1">
        <f t="shared" si="4"/>
        <v>1.0205359184228084</v>
      </c>
      <c r="L35" s="1">
        <f t="shared" si="5"/>
        <v>226.40589350210007</v>
      </c>
      <c r="M35" s="1">
        <f t="shared" si="6"/>
        <v>2010.4878859564494</v>
      </c>
      <c r="N35" s="1">
        <f>$L35*'TABELA AUXILIAR'!$I$3*(B35-A35)</f>
        <v>510.77169574073594</v>
      </c>
      <c r="O35" s="1">
        <f>$L35*'TABELA AUXILIAR'!$I$4*(B35-A35)</f>
        <v>554.241627293139</v>
      </c>
      <c r="P35" s="1">
        <f>$L35*'TABELA AUXILIAR'!$I$5*(B35-A35)</f>
        <v>639.82305503693249</v>
      </c>
      <c r="Q35" s="1">
        <f>$M35*'TABELA AUXILIAR'!$J$3+SUM(N$2:N35)</f>
        <v>10554.87707597179</v>
      </c>
      <c r="R35" s="1">
        <f>$M35*'TABELA AUXILIAR'!$J$4+SUM(O$2:O35)</f>
        <v>11641.808137268712</v>
      </c>
      <c r="S35" s="1">
        <f>$M35*'TABELA AUXILIAR'!$J$5+SUM(P$2:P35)</f>
        <v>13914.270209177266</v>
      </c>
      <c r="T35" s="2">
        <f t="shared" si="7"/>
        <v>5277.43</v>
      </c>
      <c r="U35" s="2">
        <f t="shared" si="7"/>
        <v>5820.9</v>
      </c>
      <c r="V35" s="2">
        <f t="shared" si="7"/>
        <v>6957.13</v>
      </c>
      <c r="Z35" s="1" t="str">
        <f>IF('SPT-01'!$D35="","",'SPT-01'!$D35)</f>
        <v>Areias</v>
      </c>
      <c r="AA35" s="1" t="str">
        <f>IF('SPT-02'!$D35="","",'SPT-02'!$D35)</f>
        <v>Areias</v>
      </c>
      <c r="AB35" s="1" t="str">
        <f>IF('SPT-03'!$D35="","",'SPT-03'!$D35)</f>
        <v>Areias</v>
      </c>
      <c r="AC35" s="1" t="str">
        <f>IF('SPT-04'!$D35="","",'SPT-04'!$D35)</f>
        <v>Areias</v>
      </c>
      <c r="AD35" s="1" t="str">
        <f>IF('SPT-05'!$D35="","",'SPT-05'!$D35)</f>
        <v>Finos</v>
      </c>
      <c r="AE35" s="1" t="str">
        <f>IF('SPT-06'!$D35="","",'SPT-06'!$D35)</f>
        <v>Areias</v>
      </c>
      <c r="AF35" s="1" t="str">
        <f>IF('SPT-01'!$E35="","",'SPT-01'!$E35)</f>
        <v>SP-SM</v>
      </c>
      <c r="AG35" s="1" t="str">
        <f>IF('SPT-02'!$E35="","",'SPT-02'!$E35)</f>
        <v>SP</v>
      </c>
      <c r="AH35" s="1" t="str">
        <f>IF('SPT-03'!$E35="","",'SPT-03'!$E35)</f>
        <v>SP-SM</v>
      </c>
      <c r="AI35" s="1" t="str">
        <f>IF('SPT-04'!$E35="","",'SPT-04'!$E35)</f>
        <v>SP-SM</v>
      </c>
      <c r="AJ35" s="1" t="str">
        <f>IF('SPT-05'!$E35="","",'SPT-05'!$E35)</f>
        <v>ML</v>
      </c>
      <c r="AK35" s="1" t="str">
        <f>IF('SPT-06'!$E35="","",'SPT-06'!$E35)</f>
        <v>SP-SM</v>
      </c>
    </row>
    <row r="36" spans="1:37" x14ac:dyDescent="0.25">
      <c r="A36" s="1">
        <v>20.399999999999999</v>
      </c>
      <c r="B36" s="1">
        <v>21</v>
      </c>
      <c r="C36" s="1">
        <f>ROUNDDOWN(_xlfn.PERCENTILE.INC('SPT-01:SPT-06'!C36, 0.15),0)</f>
        <v>41</v>
      </c>
      <c r="D36" s="1" t="str" cm="1">
        <f t="array" ref="D36">_xlfn.LET(_xlpm.linha, Z36:AE36, _xlpm.contagens, IF(_xlpm.linha="", 0, COUNTIF(_xlpm.linha, _xlpm.linha)), INDEX(_xlpm.linha, MATCH(MAX(_xlpm.contagens), _xlpm.contagens, 0)))</f>
        <v>Areias</v>
      </c>
      <c r="E36" s="1" t="str" cm="1">
        <f t="array" ref="E36">_xlfn.LET(_xlpm.linha, AF36:AK36, _xlpm.contagens, IF(_xlpm.linha="", 0, COUNTIF(_xlpm.linha, _xlpm.linha)), INDEX(_xlpm.linha, MATCH(MAX(_xlpm.contagens), _xlpm.contagens, 0)))</f>
        <v>SP-SM</v>
      </c>
      <c r="F36" s="1" cm="1">
        <f t="array" ref="F36">_xlfn.XLOOKUP(D36,'TABELA AUXILIAR'!$A$2:$A$5,IF('SPT médio'!A36&lt;3,'TABELA AUXILIAR'!$B$2:$B$5,'TABELA AUXILIAR'!$C$2:$C$5),"",0,1)</f>
        <v>8.5</v>
      </c>
      <c r="G36" s="6">
        <f t="shared" si="1"/>
        <v>61.368319045159048</v>
      </c>
      <c r="H36" s="2">
        <f t="shared" si="2"/>
        <v>42.337611481821568</v>
      </c>
      <c r="I36" s="2">
        <f t="shared" si="3"/>
        <v>1282.5156855252596</v>
      </c>
      <c r="J36" s="1">
        <f t="shared" si="8"/>
        <v>226.95000000000002</v>
      </c>
      <c r="K36" s="1">
        <f t="shared" si="4"/>
        <v>0.95505043035679593</v>
      </c>
      <c r="L36" s="1">
        <f t="shared" si="5"/>
        <v>216.74869516947484</v>
      </c>
      <c r="M36" s="1">
        <f t="shared" si="6"/>
        <v>1891.8251182486738</v>
      </c>
      <c r="N36" s="1">
        <f>$L36*'TABELA AUXILIAR'!$I$3*(B36-A36)</f>
        <v>488.98505630233637</v>
      </c>
      <c r="O36" s="1">
        <f>$L36*'TABELA AUXILIAR'!$I$4*(B36-A36)</f>
        <v>530.60080577487565</v>
      </c>
      <c r="P36" s="1">
        <f>$L36*'TABELA AUXILIAR'!$I$5*(B36-A36)</f>
        <v>612.53181254893741</v>
      </c>
      <c r="Q36" s="1">
        <f>$M36*'TABELA AUXILIAR'!$J$3+SUM(N$2:N36)</f>
        <v>10909.77320476434</v>
      </c>
      <c r="R36" s="1">
        <f>$M36*'TABELA AUXILIAR'!$J$4+SUM(O$2:O36)</f>
        <v>12015.774089669323</v>
      </c>
      <c r="S36" s="1">
        <f>$M36*'TABELA AUXILIAR'!$J$5+SUM(P$2:P36)</f>
        <v>14317.955550560519</v>
      </c>
      <c r="T36" s="2">
        <f t="shared" si="7"/>
        <v>5454.88</v>
      </c>
      <c r="U36" s="2">
        <f t="shared" si="7"/>
        <v>6007.88</v>
      </c>
      <c r="V36" s="2">
        <f t="shared" si="7"/>
        <v>7158.97</v>
      </c>
      <c r="Z36" s="1" t="str">
        <f>IF('SPT-01'!$D36="","",'SPT-01'!$D36)</f>
        <v>Areias</v>
      </c>
      <c r="AA36" s="1" t="str">
        <f>IF('SPT-02'!$D36="","",'SPT-02'!$D36)</f>
        <v>Areias</v>
      </c>
      <c r="AB36" s="1" t="str">
        <f>IF('SPT-03'!$D36="","",'SPT-03'!$D36)</f>
        <v>Areias</v>
      </c>
      <c r="AC36" s="1" t="str">
        <f>IF('SPT-04'!$D36="","",'SPT-04'!$D36)</f>
        <v>Areias</v>
      </c>
      <c r="AD36" s="1" t="str">
        <f>IF('SPT-05'!$D36="","",'SPT-05'!$D36)</f>
        <v>Gravas</v>
      </c>
      <c r="AE36" s="1" t="str">
        <f>IF('SPT-06'!$D36="","",'SPT-06'!$D36)</f>
        <v>Areias</v>
      </c>
      <c r="AF36" s="1" t="str">
        <f>IF('SPT-01'!$E36="","",'SPT-01'!$E36)</f>
        <v>SP-SM</v>
      </c>
      <c r="AG36" s="1" t="str">
        <f>IF('SPT-02'!$E36="","",'SPT-02'!$E36)</f>
        <v>SP</v>
      </c>
      <c r="AH36" s="1" t="str">
        <f>IF('SPT-03'!$E36="","",'SPT-03'!$E36)</f>
        <v>SP-SM</v>
      </c>
      <c r="AI36" s="1" t="str">
        <f>IF('SPT-04'!$E36="","",'SPT-04'!$E36)</f>
        <v>SP-SM</v>
      </c>
      <c r="AJ36" s="1" t="str">
        <f>IF('SPT-05'!$E36="","",'SPT-05'!$E36)</f>
        <v>GW-GM</v>
      </c>
      <c r="AK36" s="1" t="str">
        <f>IF('SPT-06'!$E36="","",'SPT-06'!$E36)</f>
        <v>SP-SM</v>
      </c>
    </row>
    <row r="37" spans="1:37" x14ac:dyDescent="0.25">
      <c r="A37" s="1">
        <v>21</v>
      </c>
      <c r="B37" s="1">
        <v>21.6</v>
      </c>
      <c r="C37" s="1">
        <f>ROUNDDOWN(_xlfn.PERCENTILE.INC('SPT-01:SPT-06'!C37, 0.15),0)</f>
        <v>41</v>
      </c>
      <c r="D37" s="1" t="str" cm="1">
        <f t="array" ref="D37">_xlfn.LET(_xlpm.linha, Z37:AE37, _xlpm.contagens, IF(_xlpm.linha="", 0, COUNTIF(_xlpm.linha, _xlpm.linha)), INDEX(_xlpm.linha, MATCH(MAX(_xlpm.contagens), _xlpm.contagens, 0)))</f>
        <v>Areias</v>
      </c>
      <c r="E37" s="1" t="str" cm="1">
        <f t="array" ref="E37">_xlfn.LET(_xlpm.linha, AF37:AK37, _xlpm.contagens, IF(_xlpm.linha="", 0, COUNTIF(_xlpm.linha, _xlpm.linha)), INDEX(_xlpm.linha, MATCH(MAX(_xlpm.contagens), _xlpm.contagens, 0)))</f>
        <v>SP-SM</v>
      </c>
      <c r="F37" s="1" cm="1">
        <f t="array" ref="F37">_xlfn.XLOOKUP(D37,'TABELA AUXILIAR'!$A$2:$A$5,IF('SPT médio'!A37&lt;3,'TABELA AUXILIAR'!$B$2:$B$5,'TABELA AUXILIAR'!$C$2:$C$5),"",0,1)</f>
        <v>8.5</v>
      </c>
      <c r="G37" s="6">
        <f t="shared" si="1"/>
        <v>62.054019870058092</v>
      </c>
      <c r="H37" s="2">
        <f t="shared" si="2"/>
        <v>42.337611481821568</v>
      </c>
      <c r="I37" s="2">
        <f t="shared" si="3"/>
        <v>1293.9671160634186</v>
      </c>
      <c r="J37" s="1">
        <f t="shared" si="8"/>
        <v>232.05000000000004</v>
      </c>
      <c r="K37" s="1">
        <f t="shared" si="4"/>
        <v>0.94651214706756581</v>
      </c>
      <c r="L37" s="1">
        <f t="shared" si="5"/>
        <v>219.63814372702868</v>
      </c>
      <c r="M37" s="1">
        <f t="shared" si="6"/>
        <v>1917.2194173269284</v>
      </c>
      <c r="N37" s="1">
        <f>$L37*'TABELA AUXILIAR'!$I$3*(B37-A37)</f>
        <v>495.50365224817784</v>
      </c>
      <c r="O37" s="1">
        <f>$L37*'TABELA AUXILIAR'!$I$4*(B37-A37)</f>
        <v>537.67417584376744</v>
      </c>
      <c r="P37" s="1">
        <f>$L37*'TABELA AUXILIAR'!$I$5*(B37-A37)</f>
        <v>620.6973941725845</v>
      </c>
      <c r="Q37" s="1">
        <f>$M37*'TABELA AUXILIAR'!$J$3+SUM(N$2:N37)</f>
        <v>11433.972414970945</v>
      </c>
      <c r="R37" s="1">
        <f>$M37*'TABELA AUXILIAR'!$J$4+SUM(O$2:O37)</f>
        <v>12586.968740296386</v>
      </c>
      <c r="S37" s="1">
        <f>$M37*'TABELA AUXILIAR'!$J$5+SUM(P$2:P37)</f>
        <v>14983.346911110832</v>
      </c>
      <c r="T37" s="2">
        <f t="shared" si="7"/>
        <v>5716.98</v>
      </c>
      <c r="U37" s="2">
        <f t="shared" si="7"/>
        <v>6293.48</v>
      </c>
      <c r="V37" s="2">
        <f t="shared" si="7"/>
        <v>7491.67</v>
      </c>
      <c r="Z37" s="1" t="str">
        <f>IF('SPT-01'!$D37="","",'SPT-01'!$D37)</f>
        <v>Areias</v>
      </c>
      <c r="AA37" s="1" t="str">
        <f>IF('SPT-02'!$D37="","",'SPT-02'!$D37)</f>
        <v>Areias</v>
      </c>
      <c r="AB37" s="1" t="str">
        <f>IF('SPT-03'!$D37="","",'SPT-03'!$D37)</f>
        <v>Areias</v>
      </c>
      <c r="AC37" s="1" t="str">
        <f>IF('SPT-04'!$D37="","",'SPT-04'!$D37)</f>
        <v>Gravas</v>
      </c>
      <c r="AD37" s="1" t="str">
        <f>IF('SPT-05'!$D37="","",'SPT-05'!$D37)</f>
        <v>Gravas</v>
      </c>
      <c r="AE37" s="1" t="str">
        <f>IF('SPT-06'!$D37="","",'SPT-06'!$D37)</f>
        <v>Areias</v>
      </c>
      <c r="AF37" s="1" t="str">
        <f>IF('SPT-01'!$E37="","",'SPT-01'!$E37)</f>
        <v>SM</v>
      </c>
      <c r="AG37" s="1" t="str">
        <f>IF('SPT-02'!$E37="","",'SPT-02'!$E37)</f>
        <v>SP</v>
      </c>
      <c r="AH37" s="1" t="str">
        <f>IF('SPT-03'!$E37="","",'SPT-03'!$E37)</f>
        <v>SP-SM</v>
      </c>
      <c r="AI37" s="1" t="str">
        <f>IF('SPT-04'!$E37="","",'SPT-04'!$E37)</f>
        <v>GP</v>
      </c>
      <c r="AJ37" s="1" t="str">
        <f>IF('SPT-05'!$E37="","",'SPT-05'!$E37)</f>
        <v>GW-GM</v>
      </c>
      <c r="AK37" s="1" t="str">
        <f>IF('SPT-06'!$E37="","",'SPT-06'!$E37)</f>
        <v>SP-SM</v>
      </c>
    </row>
    <row r="38" spans="1:37" x14ac:dyDescent="0.25">
      <c r="A38" s="1">
        <v>21.6</v>
      </c>
      <c r="B38" s="1">
        <v>22.2</v>
      </c>
      <c r="C38" s="1">
        <f>ROUNDDOWN(_xlfn.PERCENTILE.INC('SPT-01:SPT-06'!C38, 0.15),0)</f>
        <v>36</v>
      </c>
      <c r="D38" s="1" t="str" cm="1">
        <f t="array" ref="D38">_xlfn.LET(_xlpm.linha, Z38:AE38, _xlpm.contagens, IF(_xlpm.linha="", 0, COUNTIF(_xlpm.linha, _xlpm.linha)), INDEX(_xlpm.linha, MATCH(MAX(_xlpm.contagens), _xlpm.contagens, 0)))</f>
        <v>Areias</v>
      </c>
      <c r="E38" s="1" t="str" cm="1">
        <f t="array" ref="E38">_xlfn.LET(_xlpm.linha, AF38:AK38, _xlpm.contagens, IF(_xlpm.linha="", 0, COUNTIF(_xlpm.linha, _xlpm.linha)), INDEX(_xlpm.linha, MATCH(MAX(_xlpm.contagens), _xlpm.contagens, 0)))</f>
        <v>SP-SM</v>
      </c>
      <c r="F38" s="1" cm="1">
        <f t="array" ref="F38">_xlfn.XLOOKUP(D38,'TABELA AUXILIAR'!$A$2:$A$5,IF('SPT médio'!A38&lt;3,'TABELA AUXILIAR'!$B$2:$B$5,'TABELA AUXILIAR'!$C$2:$C$5),"",0,1)</f>
        <v>8.5</v>
      </c>
      <c r="G38" s="6">
        <f t="shared" si="1"/>
        <v>55.08195455564632</v>
      </c>
      <c r="H38" s="2">
        <f t="shared" si="2"/>
        <v>41.817983007059041</v>
      </c>
      <c r="I38" s="2">
        <f t="shared" si="3"/>
        <v>1176.2910086355748</v>
      </c>
      <c r="J38" s="1">
        <f t="shared" si="8"/>
        <v>237.15000000000003</v>
      </c>
      <c r="K38" s="1">
        <f t="shared" si="4"/>
        <v>0.86724379518888983</v>
      </c>
      <c r="L38" s="1">
        <f t="shared" si="5"/>
        <v>205.66686602904525</v>
      </c>
      <c r="M38" s="1">
        <f t="shared" si="6"/>
        <v>1750.4578908002388</v>
      </c>
      <c r="N38" s="1">
        <f>$L38*'TABELA AUXILIAR'!$I$3*(B38-A38)</f>
        <v>463.98444976152439</v>
      </c>
      <c r="O38" s="1">
        <f>$L38*'TABELA AUXILIAR'!$I$4*(B38-A38)</f>
        <v>503.47248803910099</v>
      </c>
      <c r="P38" s="1">
        <f>$L38*'TABELA AUXILIAR'!$I$5*(B38-A38)</f>
        <v>581.2145633980798</v>
      </c>
      <c r="Q38" s="1">
        <f>$M38*'TABELA AUXILIAR'!$J$3+SUM(N$2:N38)</f>
        <v>11709.516339757312</v>
      </c>
      <c r="R38" s="1">
        <f>$M38*'TABELA AUXILIAR'!$J$4+SUM(O$2:O38)</f>
        <v>12870.316013320258</v>
      </c>
      <c r="S38" s="1">
        <f>$M38*'TABELA AUXILIAR'!$J$5+SUM(P$2:P38)</f>
        <v>15271.061187821939</v>
      </c>
      <c r="T38" s="2">
        <f t="shared" si="7"/>
        <v>5854.75</v>
      </c>
      <c r="U38" s="2">
        <f t="shared" si="7"/>
        <v>6435.15</v>
      </c>
      <c r="V38" s="2">
        <f t="shared" si="7"/>
        <v>7635.53</v>
      </c>
      <c r="Z38" s="1" t="str">
        <f>IF('SPT-01'!$D38="","",'SPT-01'!$D38)</f>
        <v>Areias</v>
      </c>
      <c r="AA38" s="1" t="str">
        <f>IF('SPT-02'!$D38="","",'SPT-02'!$D38)</f>
        <v>Areias</v>
      </c>
      <c r="AB38" s="1" t="str">
        <f>IF('SPT-03'!$D38="","",'SPT-03'!$D38)</f>
        <v>Areias</v>
      </c>
      <c r="AC38" s="1" t="str">
        <f>IF('SPT-04'!$D38="","",'SPT-04'!$D38)</f>
        <v>Gravas</v>
      </c>
      <c r="AD38" s="1" t="str">
        <f>IF('SPT-05'!$D38="","",'SPT-05'!$D38)</f>
        <v>Gravas</v>
      </c>
      <c r="AE38" s="1" t="str">
        <f>IF('SPT-06'!$D38="","",'SPT-06'!$D38)</f>
        <v>Areias</v>
      </c>
      <c r="AF38" s="1" t="str">
        <f>IF('SPT-01'!$E38="","",'SPT-01'!$E38)</f>
        <v>SM</v>
      </c>
      <c r="AG38" s="1" t="str">
        <f>IF('SPT-02'!$E38="","",'SPT-02'!$E38)</f>
        <v>SP</v>
      </c>
      <c r="AH38" s="1" t="str">
        <f>IF('SPT-03'!$E38="","",'SPT-03'!$E38)</f>
        <v>SP-SM</v>
      </c>
      <c r="AI38" s="1" t="str">
        <f>IF('SPT-04'!$E38="","",'SPT-04'!$E38)</f>
        <v>GP</v>
      </c>
      <c r="AJ38" s="1" t="str">
        <f>IF('SPT-05'!$E38="","",'SPT-05'!$E38)</f>
        <v>GW-GM</v>
      </c>
      <c r="AK38" s="1" t="str">
        <f>IF('SPT-06'!$E38="","",'SPT-06'!$E38)</f>
        <v>SP-SM</v>
      </c>
    </row>
    <row r="39" spans="1:37" x14ac:dyDescent="0.25">
      <c r="A39" s="1">
        <v>22.2</v>
      </c>
      <c r="B39" s="1">
        <v>22.8</v>
      </c>
      <c r="C39" s="1">
        <f>ROUNDDOWN(_xlfn.PERCENTILE.INC('SPT-01:SPT-06'!C39, 0.15),0)</f>
        <v>32</v>
      </c>
      <c r="D39" s="1" t="str" cm="1">
        <f t="array" ref="D39">_xlfn.LET(_xlpm.linha, Z39:AE39, _xlpm.contagens, IF(_xlpm.linha="", 0, COUNTIF(_xlpm.linha, _xlpm.linha)), INDEX(_xlpm.linha, MATCH(MAX(_xlpm.contagens), _xlpm.contagens, 0)))</f>
        <v>Areias</v>
      </c>
      <c r="E39" s="1" t="str" cm="1">
        <f t="array" ref="E39">_xlfn.LET(_xlpm.linha, AF39:AK39, _xlpm.contagens, IF(_xlpm.linha="", 0, COUNTIF(_xlpm.linha, _xlpm.linha)), INDEX(_xlpm.linha, MATCH(MAX(_xlpm.contagens), _xlpm.contagens, 0)))</f>
        <v>SP-SM</v>
      </c>
      <c r="F39" s="1" cm="1">
        <f t="array" ref="F39">_xlfn.XLOOKUP(D39,'TABELA AUXILIAR'!$A$2:$A$5,IF('SPT médio'!A39&lt;3,'TABELA AUXILIAR'!$B$2:$B$5,'TABELA AUXILIAR'!$C$2:$C$5),"",0,1)</f>
        <v>8.5</v>
      </c>
      <c r="G39" s="6">
        <f t="shared" si="1"/>
        <v>49.485407224092391</v>
      </c>
      <c r="H39" s="2">
        <f t="shared" si="2"/>
        <v>41.347379800543138</v>
      </c>
      <c r="I39" s="2">
        <f t="shared" si="3"/>
        <v>1079.664998064351</v>
      </c>
      <c r="J39" s="1">
        <f t="shared" si="8"/>
        <v>242.25000000000003</v>
      </c>
      <c r="K39" s="1">
        <f t="shared" si="4"/>
        <v>0.80153077164897446</v>
      </c>
      <c r="L39" s="1">
        <f t="shared" si="5"/>
        <v>194.17082943196408</v>
      </c>
      <c r="M39" s="1">
        <f t="shared" si="6"/>
        <v>1613.518851646767</v>
      </c>
      <c r="N39" s="1">
        <f>$L39*'TABELA AUXILIAR'!$I$3*(B39-A39)</f>
        <v>438.04939119851196</v>
      </c>
      <c r="O39" s="1">
        <f>$L39*'TABELA AUXILIAR'!$I$4*(B39-A39)</f>
        <v>475.33019044944916</v>
      </c>
      <c r="P39" s="1">
        <f>$L39*'TABELA AUXILIAR'!$I$5*(B39-A39)</f>
        <v>548.72676397473185</v>
      </c>
      <c r="Q39" s="1">
        <f>$M39*'TABELA AUXILIAR'!$J$3+SUM(N$2:N39)</f>
        <v>11992.8246167124</v>
      </c>
      <c r="R39" s="1">
        <f>$M39*'TABELA AUXILIAR'!$J$4+SUM(O$2:O39)</f>
        <v>13164.886672087123</v>
      </c>
      <c r="S39" s="1">
        <f>$M39*'TABELA AUXILIAR'!$J$5+SUM(P$2:P39)</f>
        <v>15578.775242886559</v>
      </c>
      <c r="T39" s="2">
        <f t="shared" si="7"/>
        <v>5996.41</v>
      </c>
      <c r="U39" s="2">
        <f t="shared" si="7"/>
        <v>6582.44</v>
      </c>
      <c r="V39" s="2">
        <f t="shared" si="7"/>
        <v>7789.38</v>
      </c>
      <c r="Z39" s="1" t="str">
        <f>IF('SPT-01'!$D39="","",'SPT-01'!$D39)</f>
        <v>Areias</v>
      </c>
      <c r="AA39" s="1" t="str">
        <f>IF('SPT-02'!$D39="","",'SPT-02'!$D39)</f>
        <v>Areias</v>
      </c>
      <c r="AB39" s="1" t="str">
        <f>IF('SPT-03'!$D39="","",'SPT-03'!$D39)</f>
        <v>Areias</v>
      </c>
      <c r="AC39" s="1" t="str">
        <f>IF('SPT-04'!$D39="","",'SPT-04'!$D39)</f>
        <v>Gravas</v>
      </c>
      <c r="AD39" s="1" t="str">
        <f>IF('SPT-05'!$D39="","",'SPT-05'!$D39)</f>
        <v>Gravas</v>
      </c>
      <c r="AE39" s="1" t="str">
        <f>IF('SPT-06'!$D39="","",'SPT-06'!$D39)</f>
        <v>Areias</v>
      </c>
      <c r="AF39" s="1" t="str">
        <f>IF('SPT-01'!$E39="","",'SPT-01'!$E39)</f>
        <v>SM</v>
      </c>
      <c r="AG39" s="1" t="str">
        <f>IF('SPT-02'!$E39="","",'SPT-02'!$E39)</f>
        <v>SP</v>
      </c>
      <c r="AH39" s="1" t="str">
        <f>IF('SPT-03'!$E39="","",'SPT-03'!$E39)</f>
        <v>SP-SM</v>
      </c>
      <c r="AI39" s="1" t="str">
        <f>IF('SPT-04'!$E39="","",'SPT-04'!$E39)</f>
        <v>GP</v>
      </c>
      <c r="AJ39" s="1" t="str">
        <f>IF('SPT-05'!$E39="","",'SPT-05'!$E39)</f>
        <v>GW-GM</v>
      </c>
      <c r="AK39" s="1" t="str">
        <f>IF('SPT-06'!$E39="","",'SPT-06'!$E39)</f>
        <v>SP-SM</v>
      </c>
    </row>
    <row r="40" spans="1:37" x14ac:dyDescent="0.25">
      <c r="A40" s="1">
        <v>22.8</v>
      </c>
      <c r="B40" s="1">
        <v>23.4</v>
      </c>
      <c r="C40" s="1">
        <f>ROUNDDOWN(_xlfn.PERCENTILE.INC('SPT-01:SPT-06'!C40, 0.15),0)</f>
        <v>31</v>
      </c>
      <c r="D40" s="1" t="str" cm="1">
        <f t="array" ref="D40">_xlfn.LET(_xlpm.linha, Z40:AE40, _xlpm.contagens, IF(_xlpm.linha="", 0, COUNTIF(_xlpm.linha, _xlpm.linha)), INDEX(_xlpm.linha, MATCH(MAX(_xlpm.contagens), _xlpm.contagens, 0)))</f>
        <v>Areias</v>
      </c>
      <c r="E40" s="1" t="str" cm="1">
        <f t="array" ref="E40">_xlfn.LET(_xlpm.linha, AF40:AK40, _xlpm.contagens, IF(_xlpm.linha="", 0, COUNTIF(_xlpm.linha, _xlpm.linha)), INDEX(_xlpm.linha, MATCH(MAX(_xlpm.contagens), _xlpm.contagens, 0)))</f>
        <v>SP-SM</v>
      </c>
      <c r="F40" s="1" cm="1">
        <f t="array" ref="F40">_xlfn.XLOOKUP(D40,'TABELA AUXILIAR'!$A$2:$A$5,IF('SPT médio'!A40&lt;3,'TABELA AUXILIAR'!$B$2:$B$5,'TABELA AUXILIAR'!$C$2:$C$5),"",0,1)</f>
        <v>8.5</v>
      </c>
      <c r="G40" s="6">
        <f t="shared" si="1"/>
        <v>48.440980871965266</v>
      </c>
      <c r="H40" s="2">
        <f t="shared" si="2"/>
        <v>41.220527583275306</v>
      </c>
      <c r="I40" s="2">
        <f t="shared" si="3"/>
        <v>1061.3964875557187</v>
      </c>
      <c r="J40" s="1">
        <f t="shared" si="8"/>
        <v>247.35000000000002</v>
      </c>
      <c r="K40" s="1">
        <f t="shared" si="4"/>
        <v>0.78015112621696481</v>
      </c>
      <c r="L40" s="1">
        <f t="shared" si="5"/>
        <v>192.97038106976626</v>
      </c>
      <c r="M40" s="1">
        <f t="shared" si="6"/>
        <v>1592.8405147560068</v>
      </c>
      <c r="N40" s="1">
        <f>$L40*'TABELA AUXILIAR'!$I$3*(B40-A40)</f>
        <v>435.3411796933911</v>
      </c>
      <c r="O40" s="1">
        <f>$L40*'TABELA AUXILIAR'!$I$4*(B40-A40)</f>
        <v>472.39149285878614</v>
      </c>
      <c r="P40" s="1">
        <f>$L40*'TABELA AUXILIAR'!$I$5*(B40-A40)</f>
        <v>545.33429690315756</v>
      </c>
      <c r="Q40" s="1">
        <f>$M40*'TABELA AUXILIAR'!$J$3+SUM(N$2:N40)</f>
        <v>12404.799275719231</v>
      </c>
      <c r="R40" s="1">
        <f>$M40*'TABELA AUXILIAR'!$J$4+SUM(O$2:O40)</f>
        <v>13609.982760250106</v>
      </c>
      <c r="S40" s="1">
        <f>$M40*'TABELA AUXILIAR'!$J$5+SUM(P$2:P40)</f>
        <v>16087.715666861979</v>
      </c>
      <c r="T40" s="2">
        <f t="shared" si="7"/>
        <v>6202.39</v>
      </c>
      <c r="U40" s="2">
        <f t="shared" si="7"/>
        <v>6804.99</v>
      </c>
      <c r="V40" s="2">
        <f t="shared" si="7"/>
        <v>8043.85</v>
      </c>
      <c r="Z40" s="1" t="str">
        <f>IF('SPT-01'!$D40="","",'SPT-01'!$D40)</f>
        <v>Areias</v>
      </c>
      <c r="AA40" s="1" t="str">
        <f>IF('SPT-02'!$D40="","",'SPT-02'!$D40)</f>
        <v>Areias</v>
      </c>
      <c r="AB40" s="1" t="str">
        <f>IF('SPT-03'!$D40="","",'SPT-03'!$D40)</f>
        <v>Areias</v>
      </c>
      <c r="AC40" s="1" t="str">
        <f>IF('SPT-04'!$D40="","",'SPT-04'!$D40)</f>
        <v>Gravas</v>
      </c>
      <c r="AD40" s="1" t="str">
        <f>IF('SPT-05'!$D40="","",'SPT-05'!$D40)</f>
        <v>Gravas</v>
      </c>
      <c r="AE40" s="1" t="str">
        <f>IF('SPT-06'!$D40="","",'SPT-06'!$D40)</f>
        <v>Areias</v>
      </c>
      <c r="AF40" s="1" t="str">
        <f>IF('SPT-01'!$E40="","",'SPT-01'!$E40)</f>
        <v>SM</v>
      </c>
      <c r="AG40" s="1" t="str">
        <f>IF('SPT-02'!$E40="","",'SPT-02'!$E40)</f>
        <v>SP</v>
      </c>
      <c r="AH40" s="1" t="str">
        <f>IF('SPT-03'!$E40="","",'SPT-03'!$E40)</f>
        <v>SP-SM</v>
      </c>
      <c r="AI40" s="1" t="str">
        <f>IF('SPT-04'!$E40="","",'SPT-04'!$E40)</f>
        <v>GP</v>
      </c>
      <c r="AJ40" s="1" t="str">
        <f>IF('SPT-05'!$E40="","",'SPT-05'!$E40)</f>
        <v>GW-GM</v>
      </c>
      <c r="AK40" s="1" t="str">
        <f>IF('SPT-06'!$E40="","",'SPT-06'!$E40)</f>
        <v>SP-SM</v>
      </c>
    </row>
    <row r="41" spans="1:37" x14ac:dyDescent="0.25">
      <c r="A41" s="1">
        <v>23.4</v>
      </c>
      <c r="B41" s="1">
        <v>24</v>
      </c>
      <c r="C41" s="1">
        <f>ROUNDDOWN(_xlfn.PERCENTILE.INC('SPT-01:SPT-06'!C41, 0.15),0)</f>
        <v>44</v>
      </c>
      <c r="D41" s="1" t="str" cm="1">
        <f t="array" ref="D41">_xlfn.LET(_xlpm.linha, Z41:AE41, _xlpm.contagens, IF(_xlpm.linha="", 0, COUNTIF(_xlpm.linha, _xlpm.linha)), INDEX(_xlpm.linha, MATCH(MAX(_xlpm.contagens), _xlpm.contagens, 0)))</f>
        <v>Areias</v>
      </c>
      <c r="E41" s="1" t="str" cm="1">
        <f t="array" ref="E41">_xlfn.LET(_xlpm.linha, AF41:AK41, _xlpm.contagens, IF(_xlpm.linha="", 0, COUNTIF(_xlpm.linha, _xlpm.linha)), INDEX(_xlpm.linha, MATCH(MAX(_xlpm.contagens), _xlpm.contagens, 0)))</f>
        <v>SP-SM</v>
      </c>
      <c r="F41" s="1" cm="1">
        <f t="array" ref="F41">_xlfn.XLOOKUP(D41,'TABELA AUXILIAR'!$A$2:$A$5,IF('SPT médio'!A41&lt;3,'TABELA AUXILIAR'!$B$2:$B$5,'TABELA AUXILIAR'!$C$2:$C$5),"",0,1)</f>
        <v>8.5</v>
      </c>
      <c r="G41" s="6">
        <f t="shared" si="1"/>
        <v>69.46013792182147</v>
      </c>
      <c r="H41" s="2">
        <f t="shared" si="2"/>
        <v>42.619764623672921</v>
      </c>
      <c r="I41" s="2">
        <f t="shared" si="3"/>
        <v>1416.1061743543498</v>
      </c>
      <c r="J41" s="1">
        <f t="shared" si="8"/>
        <v>252.45000000000002</v>
      </c>
      <c r="K41" s="1">
        <f t="shared" si="4"/>
        <v>0.9550342566677632</v>
      </c>
      <c r="L41" s="1">
        <f t="shared" si="5"/>
        <v>241.09839809577684</v>
      </c>
      <c r="M41" s="1">
        <f t="shared" si="6"/>
        <v>2133.8464071972135</v>
      </c>
      <c r="N41" s="1">
        <f>$L41*'TABELA AUXILIAR'!$I$3*(B41-A41)</f>
        <v>543.91798610407386</v>
      </c>
      <c r="O41" s="1">
        <f>$L41*'TABELA AUXILIAR'!$I$4*(B41-A41)</f>
        <v>590.20887853846307</v>
      </c>
      <c r="P41" s="1">
        <f>$L41*'TABELA AUXILIAR'!$I$5*(B41-A41)</f>
        <v>681.34407301866702</v>
      </c>
      <c r="Q41" s="1">
        <f>$M41*'TABELA AUXILIAR'!$J$3+SUM(N$2:N41)</f>
        <v>13560.053920281869</v>
      </c>
      <c r="R41" s="1">
        <f>$M41*'TABELA AUXILIAR'!$J$4+SUM(O$2:O41)</f>
        <v>14914.31941681096</v>
      </c>
      <c r="S41" s="1">
        <f>$M41*'TABELA AUXILIAR'!$J$5+SUM(P$2:P41)</f>
        <v>17721.230110577169</v>
      </c>
      <c r="T41" s="2">
        <f t="shared" si="7"/>
        <v>6780.02</v>
      </c>
      <c r="U41" s="2">
        <f t="shared" si="7"/>
        <v>7457.15</v>
      </c>
      <c r="V41" s="2">
        <f t="shared" si="7"/>
        <v>8860.61</v>
      </c>
      <c r="Z41" s="1" t="str">
        <f>IF('SPT-01'!$D41="","",'SPT-01'!$D41)</f>
        <v>Areias</v>
      </c>
      <c r="AA41" s="1" t="str">
        <f>IF('SPT-02'!$D41="","",'SPT-02'!$D41)</f>
        <v>Areias</v>
      </c>
      <c r="AB41" s="1" t="str">
        <f>IF('SPT-03'!$D41="","",'SPT-03'!$D41)</f>
        <v>Areias</v>
      </c>
      <c r="AC41" s="1" t="str">
        <f>IF('SPT-04'!$D41="","",'SPT-04'!$D41)</f>
        <v>Areias</v>
      </c>
      <c r="AD41" s="1" t="str">
        <f>IF('SPT-05'!$D41="","",'SPT-05'!$D41)</f>
        <v>Gravas</v>
      </c>
      <c r="AE41" s="1" t="str">
        <f>IF('SPT-06'!$D41="","",'SPT-06'!$D41)</f>
        <v>Areias</v>
      </c>
      <c r="AF41" s="1" t="str">
        <f>IF('SPT-01'!$E41="","",'SPT-01'!$E41)</f>
        <v>SM</v>
      </c>
      <c r="AG41" s="1" t="str">
        <f>IF('SPT-02'!$E41="","",'SPT-02'!$E41)</f>
        <v>SM</v>
      </c>
      <c r="AH41" s="1" t="str">
        <f>IF('SPT-03'!$E41="","",'SPT-03'!$E41)</f>
        <v>SP-SM</v>
      </c>
      <c r="AI41" s="1" t="str">
        <f>IF('SPT-04'!$E41="","",'SPT-04'!$E41)</f>
        <v>SP-SM</v>
      </c>
      <c r="AJ41" s="1" t="str">
        <f>IF('SPT-05'!$E41="","",'SPT-05'!$E41)</f>
        <v>GW-GM</v>
      </c>
      <c r="AK41" s="1" t="str">
        <f>IF('SPT-06'!$E41="","",'SPT-06'!$E41)</f>
        <v>SP-SM</v>
      </c>
    </row>
    <row r="42" spans="1:37" x14ac:dyDescent="0.25">
      <c r="A42" s="1">
        <v>24</v>
      </c>
      <c r="B42" s="1">
        <v>24.6</v>
      </c>
      <c r="C42" s="1">
        <f>ROUNDDOWN(_xlfn.PERCENTILE.INC('SPT-01:SPT-06'!C42, 0.15),0)</f>
        <v>23</v>
      </c>
      <c r="D42" s="1" t="str" cm="1">
        <f t="array" ref="D42">_xlfn.LET(_xlpm.linha, Z42:AE42, _xlpm.contagens, IF(_xlpm.linha="", 0, COUNTIF(_xlpm.linha, _xlpm.linha)), INDEX(_xlpm.linha, MATCH(MAX(_xlpm.contagens), _xlpm.contagens, 0)))</f>
        <v>Areias</v>
      </c>
      <c r="E42" s="1" t="str" cm="1">
        <f t="array" ref="E42">_xlfn.LET(_xlpm.linha, AF42:AK42, _xlpm.contagens, IF(_xlpm.linha="", 0, COUNTIF(_xlpm.linha, _xlpm.linha)), INDEX(_xlpm.linha, MATCH(MAX(_xlpm.contagens), _xlpm.contagens, 0)))</f>
        <v>SP-SM</v>
      </c>
      <c r="F42" s="1" cm="1">
        <f t="array" ref="F42">_xlfn.XLOOKUP(D42,'TABELA AUXILIAR'!$A$2:$A$5,IF('SPT médio'!A42&lt;3,'TABELA AUXILIAR'!$B$2:$B$5,'TABELA AUXILIAR'!$C$2:$C$5),"",0,1)</f>
        <v>8.5</v>
      </c>
      <c r="G42" s="6">
        <f t="shared" si="1"/>
        <v>36.673629271033164</v>
      </c>
      <c r="H42" s="2">
        <f t="shared" si="2"/>
        <v>40.027896091361853</v>
      </c>
      <c r="I42" s="2">
        <f t="shared" si="3"/>
        <v>849.55287835753381</v>
      </c>
      <c r="J42" s="1">
        <f t="shared" si="8"/>
        <v>257.55</v>
      </c>
      <c r="K42" s="1">
        <f t="shared" si="4"/>
        <v>0.64577984086647344</v>
      </c>
      <c r="L42" s="1">
        <f t="shared" si="5"/>
        <v>166.32059801516024</v>
      </c>
      <c r="M42" s="1">
        <f t="shared" si="6"/>
        <v>1285.2718363698325</v>
      </c>
      <c r="N42" s="1">
        <f>$L42*'TABELA AUXILIAR'!$I$3*(B42-A42)</f>
        <v>375.21926912220238</v>
      </c>
      <c r="O42" s="1">
        <f>$L42*'TABELA AUXILIAR'!$I$4*(B42-A42)</f>
        <v>407.15282394111324</v>
      </c>
      <c r="P42" s="1">
        <f>$L42*'TABELA AUXILIAR'!$I$5*(B42-A42)</f>
        <v>470.02200999084397</v>
      </c>
      <c r="Q42" s="1">
        <f>$M42*'TABELA AUXILIAR'!$J$3+SUM(N$2:N42)</f>
        <v>12976.383924369131</v>
      </c>
      <c r="R42" s="1">
        <f>$M42*'TABELA AUXILIAR'!$J$4+SUM(O$2:O42)</f>
        <v>14201.353807259931</v>
      </c>
      <c r="S42" s="1">
        <f>$M42*'TABELA AUXILIAR'!$J$5+SUM(P$2:P42)</f>
        <v>16697.760875911823</v>
      </c>
      <c r="T42" s="2">
        <f t="shared" si="7"/>
        <v>6488.19</v>
      </c>
      <c r="U42" s="2">
        <f t="shared" si="7"/>
        <v>7100.67</v>
      </c>
      <c r="V42" s="2">
        <f t="shared" si="7"/>
        <v>8348.8799999999992</v>
      </c>
      <c r="Z42" s="1" t="str">
        <f>IF('SPT-01'!$D42="","",'SPT-01'!$D42)</f>
        <v>Areias</v>
      </c>
      <c r="AA42" s="1" t="str">
        <f>IF('SPT-02'!$D42="","",'SPT-02'!$D42)</f>
        <v>Areias</v>
      </c>
      <c r="AB42" s="1" t="str">
        <f>IF('SPT-03'!$D42="","",'SPT-03'!$D42)</f>
        <v>Areias</v>
      </c>
      <c r="AC42" s="1" t="str">
        <f>IF('SPT-04'!$D42="","",'SPT-04'!$D42)</f>
        <v>Areias</v>
      </c>
      <c r="AD42" s="1" t="str">
        <f>IF('SPT-05'!$D42="","",'SPT-05'!$D42)</f>
        <v>Areias</v>
      </c>
      <c r="AE42" s="1" t="str">
        <f>IF('SPT-06'!$D42="","",'SPT-06'!$D42)</f>
        <v>Areias</v>
      </c>
      <c r="AF42" s="1" t="str">
        <f>IF('SPT-01'!$E42="","",'SPT-01'!$E42)</f>
        <v>SP-SM</v>
      </c>
      <c r="AG42" s="1" t="str">
        <f>IF('SPT-02'!$E42="","",'SPT-02'!$E42)</f>
        <v>SM</v>
      </c>
      <c r="AH42" s="1" t="str">
        <f>IF('SPT-03'!$E42="","",'SPT-03'!$E42)</f>
        <v>SP-SM</v>
      </c>
      <c r="AI42" s="1" t="str">
        <f>IF('SPT-04'!$E42="","",'SPT-04'!$E42)</f>
        <v>SP-SM</v>
      </c>
      <c r="AJ42" s="1" t="str">
        <f>IF('SPT-05'!$E42="","",'SPT-05'!$E42)</f>
        <v>SP-SM</v>
      </c>
      <c r="AK42" s="1" t="str">
        <f>IF('SPT-06'!$E42="","",'SPT-06'!$E42)</f>
        <v>SP-SM</v>
      </c>
    </row>
    <row r="43" spans="1:37" x14ac:dyDescent="0.25">
      <c r="A43" s="1">
        <v>24.6</v>
      </c>
      <c r="B43" s="1">
        <v>25.2</v>
      </c>
      <c r="C43" s="1">
        <f>ROUNDDOWN(_xlfn.PERCENTILE.INC('SPT-01:SPT-06'!C43, 0.15),0)</f>
        <v>36</v>
      </c>
      <c r="D43" s="1" t="str" cm="1">
        <f t="array" ref="D43">_xlfn.LET(_xlpm.linha, Z43:AE43, _xlpm.contagens, IF(_xlpm.linha="", 0, COUNTIF(_xlpm.linha, _xlpm.linha)), INDEX(_xlpm.linha, MATCH(MAX(_xlpm.contagens), _xlpm.contagens, 0)))</f>
        <v>Areias</v>
      </c>
      <c r="E43" s="1" t="str" cm="1">
        <f t="array" ref="E43">_xlfn.LET(_xlpm.linha, AF43:AK43, _xlpm.contagens, IF(_xlpm.linha="", 0, COUNTIF(_xlpm.linha, _xlpm.linha)), INDEX(_xlpm.linha, MATCH(MAX(_xlpm.contagens), _xlpm.contagens, 0)))</f>
        <v>SP-SM</v>
      </c>
      <c r="F43" s="1" cm="1">
        <f t="array" ref="F43">_xlfn.XLOOKUP(D43,'TABELA AUXILIAR'!$A$2:$A$5,IF('SPT médio'!A43&lt;3,'TABELA AUXILIAR'!$B$2:$B$5,'TABELA AUXILIAR'!$C$2:$C$5),"",0,1)</f>
        <v>8.5</v>
      </c>
      <c r="G43" s="6">
        <f t="shared" si="1"/>
        <v>57.967754933613186</v>
      </c>
      <c r="H43" s="2">
        <f t="shared" si="2"/>
        <v>41.817983007059041</v>
      </c>
      <c r="I43" s="2">
        <f t="shared" si="3"/>
        <v>1225.3396528741537</v>
      </c>
      <c r="J43" s="1">
        <f t="shared" si="8"/>
        <v>262.65000000000003</v>
      </c>
      <c r="K43" s="1">
        <f t="shared" si="4"/>
        <v>0.83252414204999181</v>
      </c>
      <c r="L43" s="1">
        <f t="shared" si="5"/>
        <v>218.66246590943038</v>
      </c>
      <c r="M43" s="1">
        <f t="shared" si="6"/>
        <v>1861.0765351654356</v>
      </c>
      <c r="N43" s="1">
        <f>$L43*'TABELA AUXILIAR'!$I$3*(B43-A43)</f>
        <v>493.30252309167315</v>
      </c>
      <c r="O43" s="1">
        <f>$L43*'TABELA AUXILIAR'!$I$4*(B43-A43)</f>
        <v>535.28571654628365</v>
      </c>
      <c r="P43" s="1">
        <f>$L43*'TABELA AUXILIAR'!$I$5*(B43-A43)</f>
        <v>617.940128660048</v>
      </c>
      <c r="Q43" s="1">
        <f>$M43*'TABELA AUXILIAR'!$J$3+SUM(N$2:N43)</f>
        <v>14120.345757099836</v>
      </c>
      <c r="R43" s="1">
        <f>$M43*'TABELA AUXILIAR'!$J$4+SUM(O$2:O43)</f>
        <v>15496.70172621641</v>
      </c>
      <c r="S43" s="1">
        <f>$M43*'TABELA AUXILIAR'!$J$5+SUM(P$2:P43)</f>
        <v>18329.117274452132</v>
      </c>
      <c r="T43" s="2">
        <f t="shared" si="7"/>
        <v>7060.17</v>
      </c>
      <c r="U43" s="2">
        <f t="shared" si="7"/>
        <v>7748.35</v>
      </c>
      <c r="V43" s="2">
        <f t="shared" si="7"/>
        <v>9164.5499999999993</v>
      </c>
      <c r="Z43" s="1" t="str">
        <f>IF('SPT-01'!$D43="","",'SPT-01'!$D43)</f>
        <v>Areias</v>
      </c>
      <c r="AA43" s="1" t="str">
        <f>IF('SPT-02'!$D43="","",'SPT-02'!$D43)</f>
        <v>Areias</v>
      </c>
      <c r="AB43" s="1" t="str">
        <f>IF('SPT-03'!$D43="","",'SPT-03'!$D43)</f>
        <v>Areias</v>
      </c>
      <c r="AC43" s="1" t="str">
        <f>IF('SPT-04'!$D43="","",'SPT-04'!$D43)</f>
        <v>Areias</v>
      </c>
      <c r="AD43" s="1" t="str">
        <f>IF('SPT-05'!$D43="","",'SPT-05'!$D43)</f>
        <v>Areias</v>
      </c>
      <c r="AE43" s="1" t="str">
        <f>IF('SPT-06'!$D43="","",'SPT-06'!$D43)</f>
        <v>Areias</v>
      </c>
      <c r="AF43" s="1" t="str">
        <f>IF('SPT-01'!$E43="","",'SPT-01'!$E43)</f>
        <v>SP-SM</v>
      </c>
      <c r="AG43" s="1" t="str">
        <f>IF('SPT-02'!$E43="","",'SPT-02'!$E43)</f>
        <v>SM</v>
      </c>
      <c r="AH43" s="1" t="str">
        <f>IF('SPT-03'!$E43="","",'SPT-03'!$E43)</f>
        <v>SP-SM</v>
      </c>
      <c r="AI43" s="1" t="str">
        <f>IF('SPT-04'!$E43="","",'SPT-04'!$E43)</f>
        <v>SP-SM</v>
      </c>
      <c r="AJ43" s="1" t="str">
        <f>IF('SPT-05'!$E43="","",'SPT-05'!$E43)</f>
        <v>SP-SM</v>
      </c>
      <c r="AK43" s="1" t="str">
        <f>IF('SPT-06'!$E43="","",'SPT-06'!$E43)</f>
        <v>SP-SM</v>
      </c>
    </row>
    <row r="44" spans="1:37" x14ac:dyDescent="0.25">
      <c r="A44" s="1">
        <v>25.2</v>
      </c>
      <c r="B44" s="1">
        <v>25.8</v>
      </c>
      <c r="C44" s="1">
        <f>ROUNDDOWN(_xlfn.PERCENTILE.INC('SPT-01:SPT-06'!C44, 0.15),0)</f>
        <v>46</v>
      </c>
      <c r="D44" s="1" t="str" cm="1">
        <f t="array" ref="D44">_xlfn.LET(_xlpm.linha, Z44:AE44, _xlpm.contagens, IF(_xlpm.linha="", 0, COUNTIF(_xlpm.linha, _xlpm.linha)), INDEX(_xlpm.linha, MATCH(MAX(_xlpm.contagens), _xlpm.contagens, 0)))</f>
        <v>Areias</v>
      </c>
      <c r="E44" s="1" t="str" cm="1">
        <f t="array" ref="E44">_xlfn.LET(_xlpm.linha, AF44:AK44, _xlpm.contagens, IF(_xlpm.linha="", 0, COUNTIF(_xlpm.linha, _xlpm.linha)), INDEX(_xlpm.linha, MATCH(MAX(_xlpm.contagens), _xlpm.contagens, 0)))</f>
        <v>SP-SM</v>
      </c>
      <c r="F44" s="1" cm="1">
        <f t="array" ref="F44">_xlfn.XLOOKUP(D44,'TABELA AUXILIAR'!$A$2:$A$5,IF('SPT médio'!A44&lt;3,'TABELA AUXILIAR'!$B$2:$B$5,'TABELA AUXILIAR'!$C$2:$C$5),"",0,1)</f>
        <v>8.5</v>
      </c>
      <c r="G44" s="6">
        <f t="shared" si="1"/>
        <v>74.78557699949296</v>
      </c>
      <c r="H44" s="2">
        <f t="shared" si="2"/>
        <v>42.797372051470482</v>
      </c>
      <c r="I44" s="2">
        <f t="shared" si="3"/>
        <v>1502.3170021192525</v>
      </c>
      <c r="J44" s="1">
        <f t="shared" si="8"/>
        <v>267.75000000000006</v>
      </c>
      <c r="K44" s="1">
        <f t="shared" si="4"/>
        <v>0.958135843588793</v>
      </c>
      <c r="L44" s="1">
        <f t="shared" si="5"/>
        <v>256.54087212089939</v>
      </c>
      <c r="M44" s="1">
        <f t="shared" si="6"/>
        <v>2290.5498232245645</v>
      </c>
      <c r="N44" s="1">
        <f>$L44*'TABELA AUXILIAR'!$I$3*(B44-A44)</f>
        <v>578.75620750475036</v>
      </c>
      <c r="O44" s="1">
        <f>$L44*'TABELA AUXILIAR'!$I$4*(B44-A44)</f>
        <v>628.01205495196325</v>
      </c>
      <c r="P44" s="1">
        <f>$L44*'TABELA AUXILIAR'!$I$5*(B44-A44)</f>
        <v>724.98450461366338</v>
      </c>
      <c r="Q44" s="1">
        <f>$M44*'TABELA AUXILIAR'!$J$3+SUM(N$2:N44)</f>
        <v>15184.406780111403</v>
      </c>
      <c r="R44" s="1">
        <f>$M44*'TABELA AUXILIAR'!$J$4+SUM(O$2:O44)</f>
        <v>16691.618521406424</v>
      </c>
      <c r="S44" s="1">
        <f>$M44*'TABELA AUXILIAR'!$J$5+SUM(P$2:P44)</f>
        <v>19809.974766049862</v>
      </c>
      <c r="T44" s="2">
        <f t="shared" si="7"/>
        <v>7592.2</v>
      </c>
      <c r="U44" s="2">
        <f t="shared" si="7"/>
        <v>8345.7999999999993</v>
      </c>
      <c r="V44" s="2">
        <f t="shared" si="7"/>
        <v>9904.98</v>
      </c>
      <c r="Z44" s="1" t="str">
        <f>IF('SPT-01'!$D44="","",'SPT-01'!$D44)</f>
        <v>Areias</v>
      </c>
      <c r="AA44" s="1" t="str">
        <f>IF('SPT-02'!$D44="","",'SPT-02'!$D44)</f>
        <v>Areias</v>
      </c>
      <c r="AB44" s="1" t="str">
        <f>IF('SPT-03'!$D44="","",'SPT-03'!$D44)</f>
        <v>Areias</v>
      </c>
      <c r="AC44" s="1" t="str">
        <f>IF('SPT-04'!$D44="","",'SPT-04'!$D44)</f>
        <v>Areias</v>
      </c>
      <c r="AD44" s="1" t="str">
        <f>IF('SPT-05'!$D44="","",'SPT-05'!$D44)</f>
        <v>Areias</v>
      </c>
      <c r="AE44" s="1" t="str">
        <f>IF('SPT-06'!$D44="","",'SPT-06'!$D44)</f>
        <v>Areias</v>
      </c>
      <c r="AF44" s="1" t="str">
        <f>IF('SPT-01'!$E44="","",'SPT-01'!$E44)</f>
        <v>SP-SM</v>
      </c>
      <c r="AG44" s="1" t="str">
        <f>IF('SPT-02'!$E44="","",'SPT-02'!$E44)</f>
        <v>SM</v>
      </c>
      <c r="AH44" s="1" t="str">
        <f>IF('SPT-03'!$E44="","",'SPT-03'!$E44)</f>
        <v>SP-SM</v>
      </c>
      <c r="AI44" s="1" t="str">
        <f>IF('SPT-04'!$E44="","",'SPT-04'!$E44)</f>
        <v>SP-SM</v>
      </c>
      <c r="AJ44" s="1" t="str">
        <f>IF('SPT-05'!$E44="","",'SPT-05'!$E44)</f>
        <v>SP-SM</v>
      </c>
      <c r="AK44" s="1" t="str">
        <f>IF('SPT-06'!$E44="","",'SPT-06'!$E44)</f>
        <v>SP-SM</v>
      </c>
    </row>
    <row r="45" spans="1:37" x14ac:dyDescent="0.25">
      <c r="A45" s="1">
        <v>25.8</v>
      </c>
      <c r="B45" s="1">
        <v>26.4</v>
      </c>
      <c r="C45" s="1">
        <f>ROUNDDOWN(_xlfn.PERCENTILE.INC('SPT-01:SPT-06'!C45, 0.15),0)</f>
        <v>44</v>
      </c>
      <c r="D45" s="1" t="str" cm="1">
        <f t="array" ref="D45">_xlfn.LET(_xlpm.linha, Z45:AE45, _xlpm.contagens, IF(_xlpm.linha="", 0, COUNTIF(_xlpm.linha, _xlpm.linha)), INDEX(_xlpm.linha, MATCH(MAX(_xlpm.contagens), _xlpm.contagens, 0)))</f>
        <v>Areias</v>
      </c>
      <c r="E45" s="1" t="str" cm="1">
        <f t="array" ref="E45">_xlfn.LET(_xlpm.linha, AF45:AK45, _xlpm.contagens, IF(_xlpm.linha="", 0, COUNTIF(_xlpm.linha, _xlpm.linha)), INDEX(_xlpm.linha, MATCH(MAX(_xlpm.contagens), _xlpm.contagens, 0)))</f>
        <v>SP-SM</v>
      </c>
      <c r="F45" s="1" cm="1">
        <f t="array" ref="F45">_xlfn.XLOOKUP(D45,'TABELA AUXILIAR'!$A$2:$A$5,IF('SPT médio'!A45&lt;3,'TABELA AUXILIAR'!$B$2:$B$5,'TABELA AUXILIAR'!$C$2:$C$5),"",0,1)</f>
        <v>8.5</v>
      </c>
      <c r="G45" s="6">
        <f t="shared" si="1"/>
        <v>72.212093011473726</v>
      </c>
      <c r="H45" s="2">
        <f t="shared" si="2"/>
        <v>42.619764623672921</v>
      </c>
      <c r="I45" s="2">
        <f t="shared" si="3"/>
        <v>1460.8151006912917</v>
      </c>
      <c r="J45" s="1">
        <f t="shared" si="8"/>
        <v>272.85000000000008</v>
      </c>
      <c r="K45" s="1">
        <f t="shared" si="4"/>
        <v>0.92535344466341718</v>
      </c>
      <c r="L45" s="1">
        <f t="shared" si="5"/>
        <v>252.48268737641345</v>
      </c>
      <c r="M45" s="1">
        <f t="shared" si="6"/>
        <v>2235.6937146003615</v>
      </c>
      <c r="N45" s="1">
        <f>$L45*'TABELA AUXILIAR'!$I$3*(B45-A45)</f>
        <v>569.6009427211867</v>
      </c>
      <c r="O45" s="1">
        <f>$L45*'TABELA AUXILIAR'!$I$4*(B45-A45)</f>
        <v>618.07761869745786</v>
      </c>
      <c r="P45" s="1">
        <f>$L45*'TABELA AUXILIAR'!$I$5*(B45-A45)</f>
        <v>713.51607452574183</v>
      </c>
      <c r="Q45" s="1">
        <f>$M45*'TABELA AUXILIAR'!$J$3+SUM(N$2:N45)</f>
        <v>15692.02032008724</v>
      </c>
      <c r="R45" s="1">
        <f>$M45*'TABELA AUXILIAR'!$J$4+SUM(O$2:O45)</f>
        <v>17237.286076719934</v>
      </c>
      <c r="S45" s="1">
        <f>$M45*'TABELA AUXILIAR'!$J$5+SUM(P$2:P45)</f>
        <v>20426.94408939701</v>
      </c>
      <c r="T45" s="2">
        <f t="shared" si="7"/>
        <v>7846.01</v>
      </c>
      <c r="U45" s="2">
        <f t="shared" si="7"/>
        <v>8618.64</v>
      </c>
      <c r="V45" s="2">
        <f t="shared" si="7"/>
        <v>10213.469999999999</v>
      </c>
      <c r="Z45" s="1" t="str">
        <f>IF('SPT-01'!$D45="","",'SPT-01'!$D45)</f>
        <v>Areias</v>
      </c>
      <c r="AA45" s="1" t="str">
        <f>IF('SPT-02'!$D45="","",'SPT-02'!$D45)</f>
        <v>Areias</v>
      </c>
      <c r="AB45" s="1" t="str">
        <f>IF('SPT-03'!$D45="","",'SPT-03'!$D45)</f>
        <v>Gravas</v>
      </c>
      <c r="AC45" s="1" t="str">
        <f>IF('SPT-04'!$D45="","",'SPT-04'!$D45)</f>
        <v>Areias</v>
      </c>
      <c r="AD45" s="1" t="str">
        <f>IF('SPT-05'!$D45="","",'SPT-05'!$D45)</f>
        <v>Areias</v>
      </c>
      <c r="AE45" s="1" t="str">
        <f>IF('SPT-06'!$D45="","",'SPT-06'!$D45)</f>
        <v>Areias</v>
      </c>
      <c r="AF45" s="1" t="str">
        <f>IF('SPT-01'!$E45="","",'SPT-01'!$E45)</f>
        <v>SP-SM</v>
      </c>
      <c r="AG45" s="1" t="str">
        <f>IF('SPT-02'!$E45="","",'SPT-02'!$E45)</f>
        <v>SM</v>
      </c>
      <c r="AH45" s="1" t="str">
        <f>IF('SPT-03'!$E45="","",'SPT-03'!$E45)</f>
        <v>GW-GM</v>
      </c>
      <c r="AI45" s="1" t="str">
        <f>IF('SPT-04'!$E45="","",'SPT-04'!$E45)</f>
        <v>SP-SM</v>
      </c>
      <c r="AJ45" s="1" t="str">
        <f>IF('SPT-05'!$E45="","",'SPT-05'!$E45)</f>
        <v>SP-SM</v>
      </c>
      <c r="AK45" s="1" t="str">
        <f>IF('SPT-06'!$E45="","",'SPT-06'!$E45)</f>
        <v>SP-SM</v>
      </c>
    </row>
    <row r="46" spans="1:37" x14ac:dyDescent="0.25">
      <c r="A46" s="1">
        <v>26.4</v>
      </c>
      <c r="B46" s="1">
        <v>27</v>
      </c>
      <c r="C46" s="1">
        <f>ROUNDDOWN(_xlfn.PERCENTILE.INC('SPT-01:SPT-06'!C46, 0.15),0)</f>
        <v>48</v>
      </c>
      <c r="D46" s="1" t="str" cm="1">
        <f t="array" ref="D46">_xlfn.LET(_xlpm.linha, Z46:AE46, _xlpm.contagens, IF(_xlpm.linha="", 0, COUNTIF(_xlpm.linha, _xlpm.linha)), INDEX(_xlpm.linha, MATCH(MAX(_xlpm.contagens), _xlpm.contagens, 0)))</f>
        <v>Areias</v>
      </c>
      <c r="E46" s="1" t="str" cm="1">
        <f t="array" ref="E46">_xlfn.LET(_xlpm.linha, AF46:AK46, _xlpm.contagens, IF(_xlpm.linha="", 0, COUNTIF(_xlpm.linha, _xlpm.linha)), INDEX(_xlpm.linha, MATCH(MAX(_xlpm.contagens), _xlpm.contagens, 0)))</f>
        <v>SP-SM</v>
      </c>
      <c r="F46" s="1" cm="1">
        <f t="array" ref="F46">_xlfn.XLOOKUP(D46,'TABELA AUXILIAR'!$A$2:$A$5,IF('SPT médio'!A46&lt;3,'TABELA AUXILIAR'!$B$2:$B$5,'TABELA AUXILIAR'!$C$2:$C$5),"",0,1)</f>
        <v>8.5</v>
      </c>
      <c r="G46" s="6">
        <f t="shared" si="1"/>
        <v>79.509652229341327</v>
      </c>
      <c r="H46" s="2">
        <f t="shared" si="2"/>
        <v>42.9674193838554</v>
      </c>
      <c r="I46" s="2">
        <f t="shared" si="3"/>
        <v>1577.7681557415231</v>
      </c>
      <c r="J46" s="1">
        <f t="shared" si="8"/>
        <v>277.9500000000001</v>
      </c>
      <c r="K46" s="1">
        <f t="shared" si="4"/>
        <v>0.96855231594695035</v>
      </c>
      <c r="L46" s="1">
        <f t="shared" si="5"/>
        <v>269.20911621745495</v>
      </c>
      <c r="M46" s="1">
        <f t="shared" si="6"/>
        <v>2423.6437679807441</v>
      </c>
      <c r="N46" s="1">
        <f>$L46*'TABELA AUXILIAR'!$I$3*(B46-A46)</f>
        <v>607.33576618657969</v>
      </c>
      <c r="O46" s="1">
        <f>$L46*'TABELA AUXILIAR'!$I$4*(B46-A46)</f>
        <v>659.02391650033132</v>
      </c>
      <c r="P46" s="1">
        <f>$L46*'TABELA AUXILIAR'!$I$5*(B46-A46)</f>
        <v>760.7849624305295</v>
      </c>
      <c r="Q46" s="1">
        <f>$M46*'TABELA AUXILIAR'!$J$3+SUM(N$2:N46)</f>
        <v>16511.739646593651</v>
      </c>
      <c r="R46" s="1">
        <f>$M46*'TABELA AUXILIAR'!$J$4+SUM(O$2:O46)</f>
        <v>18144.40406368237</v>
      </c>
      <c r="S46" s="1">
        <f>$M46*'TABELA AUXILIAR'!$J$5+SUM(P$2:P46)</f>
        <v>21518.521145777013</v>
      </c>
      <c r="T46" s="2">
        <f t="shared" si="7"/>
        <v>8255.86</v>
      </c>
      <c r="U46" s="2">
        <f t="shared" si="7"/>
        <v>9072.2000000000007</v>
      </c>
      <c r="V46" s="2">
        <f t="shared" si="7"/>
        <v>10759.26</v>
      </c>
      <c r="Z46" s="1" t="str">
        <f>IF('SPT-01'!$D46="","",'SPT-01'!$D46)</f>
        <v>Areias</v>
      </c>
      <c r="AA46" s="1" t="str">
        <f>IF('SPT-02'!$D46="","",'SPT-02'!$D46)</f>
        <v>Areias</v>
      </c>
      <c r="AB46" s="1" t="str">
        <f>IF('SPT-03'!$D46="","",'SPT-03'!$D46)</f>
        <v>Gravas</v>
      </c>
      <c r="AC46" s="1" t="str">
        <f>IF('SPT-04'!$D46="","",'SPT-04'!$D46)</f>
        <v>Areias</v>
      </c>
      <c r="AD46" s="1" t="str">
        <f>IF('SPT-05'!$D46="","",'SPT-05'!$D46)</f>
        <v>Areias</v>
      </c>
      <c r="AE46" s="1" t="str">
        <f>IF('SPT-06'!$D46="","",'SPT-06'!$D46)</f>
        <v>Areias</v>
      </c>
      <c r="AF46" s="1" t="str">
        <f>IF('SPT-01'!$E46="","",'SPT-01'!$E46)</f>
        <v>SP-SM</v>
      </c>
      <c r="AG46" s="1" t="str">
        <f>IF('SPT-02'!$E46="","",'SPT-02'!$E46)</f>
        <v>SM</v>
      </c>
      <c r="AH46" s="1" t="str">
        <f>IF('SPT-03'!$E46="","",'SPT-03'!$E46)</f>
        <v>GW-GM</v>
      </c>
      <c r="AI46" s="1" t="str">
        <f>IF('SPT-04'!$E46="","",'SPT-04'!$E46)</f>
        <v>SP-SM</v>
      </c>
      <c r="AJ46" s="1" t="str">
        <f>IF('SPT-05'!$E46="","",'SPT-05'!$E46)</f>
        <v>SP-SM</v>
      </c>
      <c r="AK46" s="1" t="str">
        <f>IF('SPT-06'!$E46="","",'SPT-06'!$E46)</f>
        <v>SP-SM</v>
      </c>
    </row>
    <row r="47" spans="1:37" x14ac:dyDescent="0.25">
      <c r="A47" s="1">
        <v>27</v>
      </c>
      <c r="B47" s="1">
        <v>27.6</v>
      </c>
      <c r="C47" s="1">
        <f>ROUNDDOWN(_xlfn.PERCENTILE.INC('SPT-01:SPT-06'!C47, 0.15),0)</f>
        <v>45</v>
      </c>
      <c r="D47" s="1" t="str" cm="1">
        <f t="array" ref="D47">_xlfn.LET(_xlpm.linha, Z47:AE47, _xlpm.contagens, IF(_xlpm.linha="", 0, COUNTIF(_xlpm.linha, _xlpm.linha)), INDEX(_xlpm.linha, MATCH(MAX(_xlpm.contagens), _xlpm.contagens, 0)))</f>
        <v>Areias</v>
      </c>
      <c r="E47" s="1" t="str" cm="1">
        <f t="array" ref="E47">_xlfn.LET(_xlpm.linha, AF47:AK47, _xlpm.contagens, IF(_xlpm.linha="", 0, COUNTIF(_xlpm.linha, _xlpm.linha)), INDEX(_xlpm.linha, MATCH(MAX(_xlpm.contagens), _xlpm.contagens, 0)))</f>
        <v>SP-SM</v>
      </c>
      <c r="F47" s="1" cm="1">
        <f t="array" ref="F47">_xlfn.XLOOKUP(D47,'TABELA AUXILIAR'!$A$2:$A$5,IF('SPT médio'!A47&lt;3,'TABELA AUXILIAR'!$B$2:$B$5,'TABELA AUXILIAR'!$C$2:$C$5),"",0,1)</f>
        <v>8.5</v>
      </c>
      <c r="G47" s="6">
        <f t="shared" si="1"/>
        <v>75.221046418434696</v>
      </c>
      <c r="H47" s="2">
        <f t="shared" si="2"/>
        <v>42.709555126733164</v>
      </c>
      <c r="I47" s="2">
        <f t="shared" si="3"/>
        <v>1509.3112176402867</v>
      </c>
      <c r="J47" s="1">
        <f t="shared" si="8"/>
        <v>283.05000000000013</v>
      </c>
      <c r="K47" s="1">
        <f t="shared" si="4"/>
        <v>0.92420736007844639</v>
      </c>
      <c r="L47" s="1">
        <f t="shared" si="5"/>
        <v>261.59689327020436</v>
      </c>
      <c r="M47" s="1">
        <f t="shared" si="6"/>
        <v>2326.9320228609404</v>
      </c>
      <c r="N47" s="1">
        <f>$L47*'TABELA AUXILIAR'!$I$3*(B47-A47)</f>
        <v>590.16259121758242</v>
      </c>
      <c r="O47" s="1">
        <f>$L47*'TABELA AUXILIAR'!$I$4*(B47-A47)</f>
        <v>640.38919472546183</v>
      </c>
      <c r="P47" s="1">
        <f>$L47*'TABELA AUXILIAR'!$I$5*(B47-A47)</f>
        <v>739.27282038159922</v>
      </c>
      <c r="Q47" s="1">
        <f>$M47*'TABELA AUXILIAR'!$J$3+SUM(N$2:N47)</f>
        <v>16992.617965825855</v>
      </c>
      <c r="R47" s="1">
        <f>$M47*'TABELA AUXILIAR'!$J$4+SUM(O$2:O47)</f>
        <v>18657.133754849689</v>
      </c>
      <c r="S47" s="1">
        <f>$M47*'TABELA AUXILIAR'!$J$5+SUM(P$2:P47)</f>
        <v>22087.581294747761</v>
      </c>
      <c r="T47" s="2">
        <f t="shared" si="7"/>
        <v>8496.2999999999993</v>
      </c>
      <c r="U47" s="2">
        <f t="shared" si="7"/>
        <v>9328.56</v>
      </c>
      <c r="V47" s="2">
        <f t="shared" si="7"/>
        <v>11043.79</v>
      </c>
      <c r="Z47" s="1" t="str">
        <f>IF('SPT-01'!$D47="","",'SPT-01'!$D47)</f>
        <v>Areias</v>
      </c>
      <c r="AA47" s="1" t="str">
        <f>IF('SPT-02'!$D47="","",'SPT-02'!$D47)</f>
        <v>Areias</v>
      </c>
      <c r="AB47" s="1" t="str">
        <f>IF('SPT-03'!$D47="","",'SPT-03'!$D47)</f>
        <v>Gravas</v>
      </c>
      <c r="AC47" s="1" t="str">
        <f>IF('SPT-04'!$D47="","",'SPT-04'!$D47)</f>
        <v>Areias</v>
      </c>
      <c r="AD47" s="1" t="str">
        <f>IF('SPT-05'!$D47="","",'SPT-05'!$D47)</f>
        <v>Areias</v>
      </c>
      <c r="AE47" s="1" t="str">
        <f>IF('SPT-06'!$D47="","",'SPT-06'!$D47)</f>
        <v>Areias</v>
      </c>
      <c r="AF47" s="1" t="str">
        <f>IF('SPT-01'!$E47="","",'SPT-01'!$E47)</f>
        <v>SP-SM</v>
      </c>
      <c r="AG47" s="1" t="str">
        <f>IF('SPT-02'!$E47="","",'SPT-02'!$E47)</f>
        <v>SM</v>
      </c>
      <c r="AH47" s="1" t="str">
        <f>IF('SPT-03'!$E47="","",'SPT-03'!$E47)</f>
        <v>GW-GM</v>
      </c>
      <c r="AI47" s="1" t="str">
        <f>IF('SPT-04'!$E47="","",'SPT-04'!$E47)</f>
        <v>SP-SM</v>
      </c>
      <c r="AJ47" s="1" t="str">
        <f>IF('SPT-05'!$E47="","",'SPT-05'!$E47)</f>
        <v>SP-SM</v>
      </c>
      <c r="AK47" s="1" t="str">
        <f>IF('SPT-06'!$E47="","",'SPT-06'!$E47)</f>
        <v>SP-SM</v>
      </c>
    </row>
    <row r="48" spans="1:37" x14ac:dyDescent="0.25">
      <c r="A48" s="1">
        <v>27.6</v>
      </c>
      <c r="B48" s="1">
        <v>28.2</v>
      </c>
      <c r="C48" s="1">
        <f>ROUNDDOWN(_xlfn.PERCENTILE.INC('SPT-01:SPT-06'!C48, 0.15),0)</f>
        <v>50</v>
      </c>
      <c r="D48" s="1" t="str" cm="1">
        <f t="array" ref="D48">_xlfn.LET(_xlpm.linha, Z48:AE48, _xlpm.contagens, IF(_xlpm.linha="", 0, COUNTIF(_xlpm.linha, _xlpm.linha)), INDEX(_xlpm.linha, MATCH(MAX(_xlpm.contagens), _xlpm.contagens, 0)))</f>
        <v>Areias</v>
      </c>
      <c r="E48" s="1" t="str" cm="1">
        <f t="array" ref="E48">_xlfn.LET(_xlpm.linha, AF48:AK48, _xlpm.contagens, IF(_xlpm.linha="", 0, COUNTIF(_xlpm.linha, _xlpm.linha)), INDEX(_xlpm.linha, MATCH(MAX(_xlpm.contagens), _xlpm.contagens, 0)))</f>
        <v>SP-SM</v>
      </c>
      <c r="F48" s="1" cm="1">
        <f t="array" ref="F48">_xlfn.XLOOKUP(D48,'TABELA AUXILIAR'!$A$2:$A$5,IF('SPT médio'!A48&lt;3,'TABELA AUXILIAR'!$B$2:$B$5,'TABELA AUXILIAR'!$C$2:$C$5),"",0,1)</f>
        <v>8.5</v>
      </c>
      <c r="G48" s="6">
        <f t="shared" si="1"/>
        <v>84.328542381670388</v>
      </c>
      <c r="H48" s="2">
        <f t="shared" si="2"/>
        <v>43.13052403989137</v>
      </c>
      <c r="I48" s="2">
        <f t="shared" si="3"/>
        <v>1653.8151963125565</v>
      </c>
      <c r="J48" s="1">
        <f t="shared" si="8"/>
        <v>288.15000000000015</v>
      </c>
      <c r="K48" s="1">
        <f t="shared" si="4"/>
        <v>0.97858715577313249</v>
      </c>
      <c r="L48" s="1">
        <f t="shared" si="5"/>
        <v>281.97988893602826</v>
      </c>
      <c r="M48" s="1">
        <f t="shared" si="6"/>
        <v>2558.8390371346691</v>
      </c>
      <c r="N48" s="1">
        <f>$L48*'TABELA AUXILIAR'!$I$3*(B48-A48)</f>
        <v>636.14662943967755</v>
      </c>
      <c r="O48" s="1">
        <f>$L48*'TABELA AUXILIAR'!$I$4*(B48-A48)</f>
        <v>690.28676811539469</v>
      </c>
      <c r="P48" s="1">
        <f>$L48*'TABELA AUXILIAR'!$I$5*(B48-A48)</f>
        <v>796.87516613321304</v>
      </c>
      <c r="Q48" s="1">
        <f>$M48*'TABELA AUXILIAR'!$J$3+SUM(N$2:N48)</f>
        <v>17890.819521394846</v>
      </c>
      <c r="R48" s="1">
        <f>$M48*'TABELA AUXILIAR'!$J$4+SUM(O$2:O48)</f>
        <v>19653.537781806408</v>
      </c>
      <c r="S48" s="1">
        <f>$M48*'TABELA AUXILIAR'!$J$5+SUM(P$2:P48)</f>
        <v>23292.612806002733</v>
      </c>
      <c r="T48" s="2">
        <f t="shared" si="7"/>
        <v>8945.4</v>
      </c>
      <c r="U48" s="2">
        <f t="shared" si="7"/>
        <v>9826.76</v>
      </c>
      <c r="V48" s="2">
        <f t="shared" si="7"/>
        <v>11646.3</v>
      </c>
      <c r="Z48" s="1" t="str">
        <f>IF('SPT-01'!$D48="","",'SPT-01'!$D48)</f>
        <v>Areias</v>
      </c>
      <c r="AA48" s="1" t="str">
        <f>IF('SPT-02'!$D48="","",'SPT-02'!$D48)</f>
        <v>Gravas</v>
      </c>
      <c r="AB48" s="1" t="str">
        <f>IF('SPT-03'!$D48="","",'SPT-03'!$D48)</f>
        <v>Gravas</v>
      </c>
      <c r="AC48" s="1" t="str">
        <f>IF('SPT-04'!$D48="","",'SPT-04'!$D48)</f>
        <v>Areias</v>
      </c>
      <c r="AD48" s="1" t="str">
        <f>IF('SPT-05'!$D48="","",'SPT-05'!$D48)</f>
        <v>Areias</v>
      </c>
      <c r="AE48" s="1" t="str">
        <f>IF('SPT-06'!$D48="","",'SPT-06'!$D48)</f>
        <v>Areias</v>
      </c>
      <c r="AF48" s="1" t="str">
        <f>IF('SPT-01'!$E48="","",'SPT-01'!$E48)</f>
        <v>SP-SM</v>
      </c>
      <c r="AG48" s="1" t="str">
        <f>IF('SPT-02'!$E48="","",'SPT-02'!$E48)</f>
        <v>GP</v>
      </c>
      <c r="AH48" s="1" t="str">
        <f>IF('SPT-03'!$E48="","",'SPT-03'!$E48)</f>
        <v>GW-GM</v>
      </c>
      <c r="AI48" s="1" t="str">
        <f>IF('SPT-04'!$E48="","",'SPT-04'!$E48)</f>
        <v>SP-SM</v>
      </c>
      <c r="AJ48" s="1" t="str">
        <f>IF('SPT-05'!$E48="","",'SPT-05'!$E48)</f>
        <v>SP-SM</v>
      </c>
      <c r="AK48" s="1" t="str">
        <f>IF('SPT-06'!$E48="","",'SPT-06'!$E48)</f>
        <v>SW-SM</v>
      </c>
    </row>
    <row r="49" spans="1:37" x14ac:dyDescent="0.25">
      <c r="A49" s="1">
        <v>28.2</v>
      </c>
      <c r="B49" s="1">
        <v>28.8</v>
      </c>
      <c r="C49" s="1">
        <f>ROUNDDOWN(_xlfn.PERCENTILE.INC('SPT-01:SPT-06'!C49, 0.15),0)</f>
        <v>50</v>
      </c>
      <c r="D49" s="1" t="str" cm="1">
        <f t="array" ref="D49">_xlfn.LET(_xlpm.linha, Z49:AE49, _xlpm.contagens, IF(_xlpm.linha="", 0, COUNTIF(_xlpm.linha, _xlpm.linha)), INDEX(_xlpm.linha, MATCH(MAX(_xlpm.contagens), _xlpm.contagens, 0)))</f>
        <v>Gravas</v>
      </c>
      <c r="E49" s="1" t="str" cm="1">
        <f t="array" ref="E49">_xlfn.LET(_xlpm.linha, AF49:AK49, _xlpm.contagens, IF(_xlpm.linha="", 0, COUNTIF(_xlpm.linha, _xlpm.linha)), INDEX(_xlpm.linha, MATCH(MAX(_xlpm.contagens), _xlpm.contagens, 0)))</f>
        <v>GW-GM</v>
      </c>
      <c r="F49" s="1" cm="1">
        <f t="array" ref="F49">_xlfn.XLOOKUP(D49,'TABELA AUXILIAR'!$A$2:$A$5,IF('SPT médio'!A49&lt;3,'TABELA AUXILIAR'!$B$2:$B$5,'TABELA AUXILIAR'!$C$2:$C$5),"",0,1)</f>
        <v>10.5</v>
      </c>
      <c r="G49" s="6">
        <f t="shared" si="1"/>
        <v>85.158524726902087</v>
      </c>
      <c r="H49" s="2">
        <f t="shared" si="2"/>
        <v>43.13052403989137</v>
      </c>
      <c r="I49" s="2">
        <f t="shared" si="3"/>
        <v>1293.9837832252772</v>
      </c>
      <c r="J49" s="1">
        <f t="shared" si="8"/>
        <v>293.85000000000019</v>
      </c>
      <c r="K49" s="1">
        <f t="shared" si="4"/>
        <v>0.81645775592710401</v>
      </c>
      <c r="L49" s="1">
        <f t="shared" si="5"/>
        <v>239.91611157917967</v>
      </c>
      <c r="M49" s="1">
        <f t="shared" si="6"/>
        <v>2589.0903754007609</v>
      </c>
      <c r="N49" s="1">
        <f>$L49*'TABELA AUXILIAR'!$I$3*(B49-A49)</f>
        <v>541.25074772263054</v>
      </c>
      <c r="O49" s="1">
        <f>$L49*'TABELA AUXILIAR'!$I$4*(B49-A49)</f>
        <v>587.31464114583321</v>
      </c>
      <c r="P49" s="1">
        <f>$L49*'TABELA AUXILIAR'!$I$5*(B49-A49)</f>
        <v>678.00293132276329</v>
      </c>
      <c r="Q49" s="1">
        <f>$M49*'TABELA AUXILIAR'!$J$3+SUM(N$2:N49)</f>
        <v>18466.25428135816</v>
      </c>
      <c r="R49" s="1">
        <f>$M49*'TABELA AUXILIAR'!$J$4+SUM(O$2:O49)</f>
        <v>20280.784189463484</v>
      </c>
      <c r="S49" s="1">
        <f>$M49*'TABELA AUXILIAR'!$J$5+SUM(P$2:P49)</f>
        <v>24023.858092673821</v>
      </c>
      <c r="T49" s="2">
        <f t="shared" si="7"/>
        <v>9233.1200000000008</v>
      </c>
      <c r="U49" s="2">
        <f t="shared" si="7"/>
        <v>10140.39</v>
      </c>
      <c r="V49" s="2">
        <f t="shared" si="7"/>
        <v>12011.92</v>
      </c>
      <c r="Z49" s="1" t="str">
        <f>IF('SPT-01'!$D49="","",'SPT-01'!$D49)</f>
        <v>Gravas</v>
      </c>
      <c r="AA49" s="1" t="str">
        <f>IF('SPT-02'!$D49="","",'SPT-02'!$D49)</f>
        <v>Gravas</v>
      </c>
      <c r="AB49" s="1" t="str">
        <f>IF('SPT-03'!$D49="","",'SPT-03'!$D49)</f>
        <v>Gravas</v>
      </c>
      <c r="AC49" s="1" t="str">
        <f>IF('SPT-04'!$D49="","",'SPT-04'!$D49)</f>
        <v>Gravas</v>
      </c>
      <c r="AD49" s="1" t="str">
        <f>IF('SPT-05'!$D49="","",'SPT-05'!$D49)</f>
        <v>Areias</v>
      </c>
      <c r="AE49" s="1" t="str">
        <f>IF('SPT-06'!$D49="","",'SPT-06'!$D49)</f>
        <v>Areias</v>
      </c>
      <c r="AF49" s="1" t="str">
        <f>IF('SPT-01'!$E49="","",'SPT-01'!$E49)</f>
        <v>GW-GM</v>
      </c>
      <c r="AG49" s="1" t="str">
        <f>IF('SPT-02'!$E49="","",'SPT-02'!$E49)</f>
        <v>GP</v>
      </c>
      <c r="AH49" s="1" t="str">
        <f>IF('SPT-03'!$E49="","",'SPT-03'!$E49)</f>
        <v>GW-GM</v>
      </c>
      <c r="AI49" s="1" t="str">
        <f>IF('SPT-04'!$E49="","",'SPT-04'!$E49)</f>
        <v>GW-GM</v>
      </c>
      <c r="AJ49" s="1" t="str">
        <f>IF('SPT-05'!$E49="","",'SPT-05'!$E49)</f>
        <v>SP-SM</v>
      </c>
      <c r="AK49" s="1" t="str">
        <f>IF('SPT-06'!$E49="","",'SPT-06'!$E49)</f>
        <v>SW-SM</v>
      </c>
    </row>
    <row r="50" spans="1:37" x14ac:dyDescent="0.25">
      <c r="A50" s="1">
        <v>28.8</v>
      </c>
      <c r="B50" s="1">
        <v>29.4</v>
      </c>
      <c r="C50" s="1">
        <f>ROUNDDOWN(_xlfn.PERCENTILE.INC('SPT-01:SPT-06'!C50, 0.15),0)</f>
        <v>46</v>
      </c>
      <c r="D50" s="1" t="str" cm="1">
        <f t="array" ref="D50">_xlfn.LET(_xlpm.linha, Z50:AE50, _xlpm.contagens, IF(_xlpm.linha="", 0, COUNTIF(_xlpm.linha, _xlpm.linha)), INDEX(_xlpm.linha, MATCH(MAX(_xlpm.contagens), _xlpm.contagens, 0)))</f>
        <v>Gravas</v>
      </c>
      <c r="E50" s="1" t="str" cm="1">
        <f t="array" ref="E50">_xlfn.LET(_xlpm.linha, AF50:AK50, _xlpm.contagens, IF(_xlpm.linha="", 0, COUNTIF(_xlpm.linha, _xlpm.linha)), INDEX(_xlpm.linha, MATCH(MAX(_xlpm.contagens), _xlpm.contagens, 0)))</f>
        <v>GW-GM</v>
      </c>
      <c r="F50" s="1" cm="1">
        <f t="array" ref="F50">_xlfn.XLOOKUP(D50,'TABELA AUXILIAR'!$A$2:$A$5,IF('SPT médio'!A50&lt;3,'TABELA AUXILIAR'!$B$2:$B$5,'TABELA AUXILIAR'!$C$2:$C$5),"",0,1)</f>
        <v>10.5</v>
      </c>
      <c r="G50" s="6">
        <f t="shared" si="1"/>
        <v>79.181237120574991</v>
      </c>
      <c r="H50" s="2">
        <f t="shared" si="2"/>
        <v>42.797372051470482</v>
      </c>
      <c r="I50" s="2">
        <f t="shared" si="3"/>
        <v>1203.158898047137</v>
      </c>
      <c r="J50" s="1">
        <f t="shared" si="8"/>
        <v>300.1500000000002</v>
      </c>
      <c r="K50" s="1">
        <f t="shared" si="4"/>
        <v>0.76243236472439946</v>
      </c>
      <c r="L50" s="1">
        <f t="shared" si="5"/>
        <v>228.84407427202865</v>
      </c>
      <c r="M50" s="1">
        <f t="shared" si="6"/>
        <v>2453.0424499517189</v>
      </c>
      <c r="N50" s="1">
        <f>$L50*'TABELA AUXILIAR'!$I$3*(B50-A50)</f>
        <v>516.27223155769479</v>
      </c>
      <c r="O50" s="1">
        <f>$L50*'TABELA AUXILIAR'!$I$4*(B50-A50)</f>
        <v>560.21029381792414</v>
      </c>
      <c r="P50" s="1">
        <f>$L50*'TABELA AUXILIAR'!$I$5*(B50-A50)</f>
        <v>646.71335389275066</v>
      </c>
      <c r="Q50" s="1">
        <f>$M50*'TABELA AUXILIAR'!$J$3+SUM(N$2:N50)</f>
        <v>18828.79235715844</v>
      </c>
      <c r="R50" s="1">
        <f>$M50*'TABELA AUXILIAR'!$J$4+SUM(O$2:O50)</f>
        <v>20661.411221688672</v>
      </c>
      <c r="S50" s="1">
        <f>$M50*'TABELA AUXILIAR'!$J$5+SUM(P$2:P50)</f>
        <v>24431.127097776258</v>
      </c>
      <c r="T50" s="2">
        <f t="shared" si="7"/>
        <v>9414.39</v>
      </c>
      <c r="U50" s="2">
        <f t="shared" si="7"/>
        <v>10330.700000000001</v>
      </c>
      <c r="V50" s="2">
        <f t="shared" si="7"/>
        <v>12215.56</v>
      </c>
      <c r="Z50" s="1" t="str">
        <f>IF('SPT-01'!$D50="","",'SPT-01'!$D50)</f>
        <v>Gravas</v>
      </c>
      <c r="AA50" s="1" t="str">
        <f>IF('SPT-02'!$D50="","",'SPT-02'!$D50)</f>
        <v>Gravas</v>
      </c>
      <c r="AB50" s="1" t="str">
        <f>IF('SPT-03'!$D50="","",'SPT-03'!$D50)</f>
        <v>Gravas</v>
      </c>
      <c r="AC50" s="1" t="str">
        <f>IF('SPT-04'!$D50="","",'SPT-04'!$D50)</f>
        <v>Gravas</v>
      </c>
      <c r="AD50" s="1" t="str">
        <f>IF('SPT-05'!$D50="","",'SPT-05'!$D50)</f>
        <v>Areias</v>
      </c>
      <c r="AE50" s="1" t="str">
        <f>IF('SPT-06'!$D50="","",'SPT-06'!$D50)</f>
        <v>Areias</v>
      </c>
      <c r="AF50" s="1" t="str">
        <f>IF('SPT-01'!$E50="","",'SPT-01'!$E50)</f>
        <v>GW-GM</v>
      </c>
      <c r="AG50" s="1" t="str">
        <f>IF('SPT-02'!$E50="","",'SPT-02'!$E50)</f>
        <v>GP</v>
      </c>
      <c r="AH50" s="1" t="str">
        <f>IF('SPT-03'!$E50="","",'SPT-03'!$E50)</f>
        <v>GW-GM</v>
      </c>
      <c r="AI50" s="1" t="str">
        <f>IF('SPT-04'!$E50="","",'SPT-04'!$E50)</f>
        <v>GW-GM</v>
      </c>
      <c r="AJ50" s="1" t="str">
        <f>IF('SPT-05'!$E50="","",'SPT-05'!$E50)</f>
        <v>SP-SM</v>
      </c>
      <c r="AK50" s="1" t="str">
        <f>IF('SPT-06'!$E50="","",'SPT-06'!$E50)</f>
        <v>SW-SM</v>
      </c>
    </row>
    <row r="51" spans="1:37" x14ac:dyDescent="0.25">
      <c r="A51" s="1">
        <v>29.4</v>
      </c>
      <c r="B51" s="1">
        <v>30</v>
      </c>
      <c r="C51" s="1">
        <f>ROUNDDOWN(_xlfn.PERCENTILE.INC('SPT-01:SPT-06'!C51, 0.15),0)</f>
        <v>46</v>
      </c>
      <c r="D51" s="1" t="str" cm="1">
        <f t="array" ref="D51">_xlfn.LET(_xlpm.linha, Z51:AE51, _xlpm.contagens, IF(_xlpm.linha="", 0, COUNTIF(_xlpm.linha, _xlpm.linha)), INDEX(_xlpm.linha, MATCH(MAX(_xlpm.contagens), _xlpm.contagens, 0)))</f>
        <v>Gravas</v>
      </c>
      <c r="E51" s="1" t="str" cm="1">
        <f t="array" ref="E51">_xlfn.LET(_xlpm.linha, AF51:AK51, _xlpm.contagens, IF(_xlpm.linha="", 0, COUNTIF(_xlpm.linha, _xlpm.linha)), INDEX(_xlpm.linha, MATCH(MAX(_xlpm.contagens), _xlpm.contagens, 0)))</f>
        <v>GW-GM</v>
      </c>
      <c r="F51" s="1" cm="1">
        <f t="array" ref="F51">_xlfn.XLOOKUP(D51,'TABELA AUXILIAR'!$A$2:$A$5,IF('SPT médio'!A51&lt;3,'TABELA AUXILIAR'!$B$2:$B$5,'TABELA AUXILIAR'!$C$2:$C$5),"",0,1)</f>
        <v>10.5</v>
      </c>
      <c r="G51" s="6">
        <f t="shared" si="1"/>
        <v>80.007909283255216</v>
      </c>
      <c r="H51" s="2">
        <f t="shared" si="2"/>
        <v>42.797372051470482</v>
      </c>
      <c r="I51" s="2">
        <f t="shared" si="3"/>
        <v>1215.7201815590629</v>
      </c>
      <c r="J51" s="1">
        <f t="shared" si="8"/>
        <v>306.45000000000022</v>
      </c>
      <c r="K51" s="1">
        <f t="shared" si="4"/>
        <v>0.7570712619240052</v>
      </c>
      <c r="L51" s="1">
        <f t="shared" si="5"/>
        <v>232.00448821661155</v>
      </c>
      <c r="M51" s="1">
        <f t="shared" si="6"/>
        <v>2483.8069075961798</v>
      </c>
      <c r="N51" s="1">
        <f>$L51*'TABELA AUXILIAR'!$I$3*(B51-A51)</f>
        <v>523.40212541667688</v>
      </c>
      <c r="O51" s="1">
        <f>$L51*'TABELA AUXILIAR'!$I$4*(B51-A51)</f>
        <v>567.94698715426637</v>
      </c>
      <c r="P51" s="1">
        <f>$L51*'TABELA AUXILIAR'!$I$5*(B51-A51)</f>
        <v>655.64468370014583</v>
      </c>
      <c r="Q51" s="1">
        <f>$M51*'TABELA AUXILIAR'!$J$3+SUM(N$2:N51)</f>
        <v>19386.958319713354</v>
      </c>
      <c r="R51" s="1">
        <f>$M51*'TABELA AUXILIAR'!$J$4+SUM(O$2:O51)</f>
        <v>21269.967292933627</v>
      </c>
      <c r="S51" s="1">
        <f>$M51*'TABELA AUXILIAR'!$J$5+SUM(P$2:P51)</f>
        <v>25140.917226930655</v>
      </c>
      <c r="T51" s="2">
        <f t="shared" si="7"/>
        <v>9693.4699999999993</v>
      </c>
      <c r="U51" s="2">
        <f t="shared" si="7"/>
        <v>10634.98</v>
      </c>
      <c r="V51" s="2">
        <f t="shared" si="7"/>
        <v>12570.45</v>
      </c>
      <c r="Z51" s="1" t="str">
        <f>IF('SPT-01'!$D51="","",'SPT-01'!$D51)</f>
        <v>Gravas</v>
      </c>
      <c r="AA51" s="1" t="str">
        <f>IF('SPT-02'!$D51="","",'SPT-02'!$D51)</f>
        <v>Gravas</v>
      </c>
      <c r="AB51" s="1" t="str">
        <f>IF('SPT-03'!$D51="","",'SPT-03'!$D51)</f>
        <v>Gravas</v>
      </c>
      <c r="AC51" s="1" t="str">
        <f>IF('SPT-04'!$D51="","",'SPT-04'!$D51)</f>
        <v>Gravas</v>
      </c>
      <c r="AD51" s="1" t="str">
        <f>IF('SPT-05'!$D51="","",'SPT-05'!$D51)</f>
        <v>Areias</v>
      </c>
      <c r="AE51" s="1" t="str">
        <f>IF('SPT-06'!$D51="","",'SPT-06'!$D51)</f>
        <v>Areias</v>
      </c>
      <c r="AF51" s="1" t="str">
        <f>IF('SPT-01'!$E51="","",'SPT-01'!$E51)</f>
        <v>GW-GM</v>
      </c>
      <c r="AG51" s="1" t="str">
        <f>IF('SPT-02'!$E51="","",'SPT-02'!$E51)</f>
        <v>GP</v>
      </c>
      <c r="AH51" s="1" t="str">
        <f>IF('SPT-03'!$E51="","",'SPT-03'!$E51)</f>
        <v>GW-GM</v>
      </c>
      <c r="AI51" s="1" t="str">
        <f>IF('SPT-04'!$E51="","",'SPT-04'!$E51)</f>
        <v>GW-GM</v>
      </c>
      <c r="AJ51" s="1" t="str">
        <f>IF('SPT-05'!$E51="","",'SPT-05'!$E51)</f>
        <v>SP-SM</v>
      </c>
      <c r="AK51" s="1" t="str">
        <f>IF('SPT-06'!$E51="","",'SPT-06'!$E51)</f>
        <v>SW-SM</v>
      </c>
    </row>
    <row r="52" spans="1:37" x14ac:dyDescent="0.25">
      <c r="A52" s="1">
        <v>30</v>
      </c>
      <c r="B52" s="1">
        <v>30.6</v>
      </c>
      <c r="C52" s="1">
        <f>ROUNDDOWN(_xlfn.PERCENTILE.INC('SPT-01:SPT-06'!C52, 0.15),0)</f>
        <v>45</v>
      </c>
      <c r="D52" s="1" t="str" cm="1">
        <f t="array" ref="D52">_xlfn.LET(_xlpm.linha, Z52:AE52, _xlpm.contagens, IF(_xlpm.linha="", 0, COUNTIF(_xlpm.linha, _xlpm.linha)), INDEX(_xlpm.linha, MATCH(MAX(_xlpm.contagens), _xlpm.contagens, 0)))</f>
        <v>Gravas</v>
      </c>
      <c r="E52" s="1" t="str" cm="1">
        <f t="array" ref="E52">_xlfn.LET(_xlpm.linha, AF52:AK52, _xlpm.contagens, IF(_xlpm.linha="", 0, COUNTIF(_xlpm.linha, _xlpm.linha)), INDEX(_xlpm.linha, MATCH(MAX(_xlpm.contagens), _xlpm.contagens, 0)))</f>
        <v>GW-GM</v>
      </c>
      <c r="F52" s="1" cm="1">
        <f t="array" ref="F52">_xlfn.XLOOKUP(D52,'TABELA AUXILIAR'!$A$2:$A$5,IF('SPT médio'!A52&lt;3,'TABELA AUXILIAR'!$B$2:$B$5,'TABELA AUXILIAR'!$C$2:$C$5),"",0,1)</f>
        <v>10.5</v>
      </c>
      <c r="G52" s="6">
        <f t="shared" si="1"/>
        <v>79.069037149414214</v>
      </c>
      <c r="H52" s="2">
        <f t="shared" si="2"/>
        <v>42.709555126733164</v>
      </c>
      <c r="I52" s="2">
        <f t="shared" si="3"/>
        <v>1201.4540194853489</v>
      </c>
      <c r="J52" s="1">
        <f t="shared" si="8"/>
        <v>312.75000000000028</v>
      </c>
      <c r="K52" s="1">
        <f t="shared" si="4"/>
        <v>0.73990863809906648</v>
      </c>
      <c r="L52" s="1">
        <f t="shared" si="5"/>
        <v>231.40642656548326</v>
      </c>
      <c r="M52" s="1">
        <f t="shared" si="6"/>
        <v>2470.496209164311</v>
      </c>
      <c r="N52" s="1">
        <f>$L52*'TABELA AUXILIAR'!$I$3*(B52-A52)</f>
        <v>522.0528983317314</v>
      </c>
      <c r="O52" s="1">
        <f>$L52*'TABELA AUXILIAR'!$I$4*(B52-A52)</f>
        <v>566.48293223230439</v>
      </c>
      <c r="P52" s="1">
        <f>$L52*'TABELA AUXILIAR'!$I$5*(B52-A52)</f>
        <v>653.95456147405719</v>
      </c>
      <c r="Q52" s="1">
        <f>$M52*'TABELA AUXILIAR'!$J$3+SUM(N$2:N52)</f>
        <v>19893.970128817076</v>
      </c>
      <c r="R52" s="1">
        <f>$M52*'TABELA AUXILIAR'!$J$4+SUM(O$2:O52)</f>
        <v>21818.880103235864</v>
      </c>
      <c r="S52" s="1">
        <f>$M52*'TABELA AUXILIAR'!$J$5+SUM(P$2:P52)</f>
        <v>25771.444959164623</v>
      </c>
      <c r="T52" s="2">
        <f t="shared" si="7"/>
        <v>9946.98</v>
      </c>
      <c r="U52" s="2">
        <f t="shared" si="7"/>
        <v>10909.44</v>
      </c>
      <c r="V52" s="2">
        <f t="shared" si="7"/>
        <v>12885.72</v>
      </c>
      <c r="Z52" s="1" t="str">
        <f>IF('SPT-01'!$D52="","",'SPT-01'!$D52)</f>
        <v>Gravas</v>
      </c>
      <c r="AA52" s="1" t="str">
        <f>IF('SPT-02'!$D52="","",'SPT-02'!$D52)</f>
        <v>Gravas</v>
      </c>
      <c r="AB52" s="1" t="str">
        <f>IF('SPT-03'!$D52="","",'SPT-03'!$D52)</f>
        <v>Gravas</v>
      </c>
      <c r="AC52" s="1" t="str">
        <f>IF('SPT-04'!$D52="","",'SPT-04'!$D52)</f>
        <v>Gravas</v>
      </c>
      <c r="AD52" s="1" t="str">
        <f>IF('SPT-05'!$D52="","",'SPT-05'!$D52)</f>
        <v>Areias</v>
      </c>
      <c r="AE52" s="1" t="str">
        <f>IF('SPT-06'!$D52="","",'SPT-06'!$D52)</f>
        <v>Areias</v>
      </c>
      <c r="AF52" s="1" t="str">
        <f>IF('SPT-01'!$E52="","",'SPT-01'!$E52)</f>
        <v>GW-GM</v>
      </c>
      <c r="AG52" s="1" t="str">
        <f>IF('SPT-02'!$E52="","",'SPT-02'!$E52)</f>
        <v>GP</v>
      </c>
      <c r="AH52" s="1" t="str">
        <f>IF('SPT-03'!$E52="","",'SPT-03'!$E52)</f>
        <v>GW-GM</v>
      </c>
      <c r="AI52" s="1" t="str">
        <f>IF('SPT-04'!$E52="","",'SPT-04'!$E52)</f>
        <v>GW-GM</v>
      </c>
      <c r="AJ52" s="1" t="str">
        <f>IF('SPT-05'!$E52="","",'SPT-05'!$E52)</f>
        <v>SP-SM</v>
      </c>
      <c r="AK52" s="1" t="str">
        <f>IF('SPT-06'!$E52="","",'SPT-06'!$E52)</f>
        <v>SP</v>
      </c>
    </row>
    <row r="53" spans="1:37" x14ac:dyDescent="0.25">
      <c r="A53" s="1">
        <v>30.6</v>
      </c>
      <c r="B53" s="1">
        <v>31.2</v>
      </c>
      <c r="C53" s="1">
        <f>ROUNDDOWN(_xlfn.PERCENTILE.INC('SPT-01:SPT-06'!C53, 0.15),0)</f>
        <v>43</v>
      </c>
      <c r="D53" s="1" t="str" cm="1">
        <f t="array" ref="D53">_xlfn.LET(_xlpm.linha, Z53:AE53, _xlpm.contagens, IF(_xlpm.linha="", 0, COUNTIF(_xlpm.linha, _xlpm.linha)), INDEX(_xlpm.linha, MATCH(MAX(_xlpm.contagens), _xlpm.contagens, 0)))</f>
        <v>Gravas</v>
      </c>
      <c r="E53" s="1" t="str" cm="1">
        <f t="array" ref="E53">_xlfn.LET(_xlpm.linha, AF53:AK53, _xlpm.contagens, IF(_xlpm.linha="", 0, COUNTIF(_xlpm.linha, _xlpm.linha)), INDEX(_xlpm.linha, MATCH(MAX(_xlpm.contagens), _xlpm.contagens, 0)))</f>
        <v>GW-GM</v>
      </c>
      <c r="F53" s="1" cm="1">
        <f t="array" ref="F53">_xlfn.XLOOKUP(D53,'TABELA AUXILIAR'!$A$2:$A$5,IF('SPT médio'!A53&lt;3,'TABELA AUXILIAR'!$B$2:$B$5,'TABELA AUXILIAR'!$C$2:$C$5),"",0,1)</f>
        <v>10.5</v>
      </c>
      <c r="G53" s="6">
        <f t="shared" si="1"/>
        <v>76.312047724052789</v>
      </c>
      <c r="H53" s="2">
        <f t="shared" si="2"/>
        <v>42.527909791332192</v>
      </c>
      <c r="I53" s="2">
        <f t="shared" si="3"/>
        <v>1159.5615651669821</v>
      </c>
      <c r="J53" s="1">
        <f t="shared" si="8"/>
        <v>319.0500000000003</v>
      </c>
      <c r="K53" s="1">
        <f t="shared" si="4"/>
        <v>0.71107570742674631</v>
      </c>
      <c r="L53" s="1">
        <f t="shared" si="5"/>
        <v>226.86870445450361</v>
      </c>
      <c r="M53" s="1">
        <f t="shared" si="6"/>
        <v>2410.9366758726715</v>
      </c>
      <c r="N53" s="1">
        <f>$L53*'TABELA AUXILIAR'!$I$3*(B53-A53)</f>
        <v>511.8157972493583</v>
      </c>
      <c r="O53" s="1">
        <f>$L53*'TABELA AUXILIAR'!$I$4*(B53-A53)</f>
        <v>555.37458850462281</v>
      </c>
      <c r="P53" s="1">
        <f>$L53*'TABELA AUXILIAR'!$I$5*(B53-A53)</f>
        <v>641.13095878842489</v>
      </c>
      <c r="Q53" s="1">
        <f>$M53*'TABELA AUXILIAR'!$J$3+SUM(N$2:N53)</f>
        <v>20338.483653446878</v>
      </c>
      <c r="R53" s="1">
        <f>$M53*'TABELA AUXILIAR'!$J$4+SUM(O$2:O53)</f>
        <v>22295.636107795523</v>
      </c>
      <c r="S53" s="1">
        <f>$M53*'TABELA AUXILIAR'!$J$5+SUM(P$2:P53)</f>
        <v>26307.75113935976</v>
      </c>
      <c r="T53" s="2">
        <f t="shared" si="7"/>
        <v>10169.24</v>
      </c>
      <c r="U53" s="2">
        <f t="shared" si="7"/>
        <v>11147.81</v>
      </c>
      <c r="V53" s="2">
        <f t="shared" si="7"/>
        <v>13153.87</v>
      </c>
      <c r="Z53" s="1" t="str">
        <f>IF('SPT-01'!$D53="","",'SPT-01'!$D53)</f>
        <v>Gravas</v>
      </c>
      <c r="AA53" s="1" t="str">
        <f>IF('SPT-02'!$D53="","",'SPT-02'!$D53)</f>
        <v>Gravas</v>
      </c>
      <c r="AB53" s="1" t="str">
        <f>IF('SPT-03'!$D53="","",'SPT-03'!$D53)</f>
        <v>Gravas</v>
      </c>
      <c r="AC53" s="1" t="str">
        <f>IF('SPT-04'!$D53="","",'SPT-04'!$D53)</f>
        <v>Gravas</v>
      </c>
      <c r="AD53" s="1" t="str">
        <f>IF('SPT-05'!$D53="","",'SPT-05'!$D53)</f>
        <v>Areias</v>
      </c>
      <c r="AE53" s="1" t="str">
        <f>IF('SPT-06'!$D53="","",'SPT-06'!$D53)</f>
        <v>Areias</v>
      </c>
      <c r="AF53" s="1" t="str">
        <f>IF('SPT-01'!$E53="","",'SPT-01'!$E53)</f>
        <v>GW-GM</v>
      </c>
      <c r="AG53" s="1" t="str">
        <f>IF('SPT-02'!$E53="","",'SPT-02'!$E53)</f>
        <v>GP</v>
      </c>
      <c r="AH53" s="1" t="str">
        <f>IF('SPT-03'!$E53="","",'SPT-03'!$E53)</f>
        <v>GW-GM</v>
      </c>
      <c r="AI53" s="1" t="str">
        <f>IF('SPT-04'!$E53="","",'SPT-04'!$E53)</f>
        <v>GW-GM</v>
      </c>
      <c r="AJ53" s="1" t="str">
        <f>IF('SPT-05'!$E53="","",'SPT-05'!$E53)</f>
        <v>SP-SM</v>
      </c>
      <c r="AK53" s="1" t="str">
        <f>IF('SPT-06'!$E53="","",'SPT-06'!$E53)</f>
        <v>SP</v>
      </c>
    </row>
    <row r="54" spans="1:37" x14ac:dyDescent="0.25">
      <c r="A54" s="1">
        <v>31.2</v>
      </c>
      <c r="B54" s="1">
        <v>31.8</v>
      </c>
      <c r="C54" s="1">
        <f>ROUNDDOWN(_xlfn.PERCENTILE.INC('SPT-01:SPT-06'!C54, 0.15),0)</f>
        <v>25</v>
      </c>
      <c r="D54" s="1" t="str" cm="1">
        <f t="array" ref="D54">_xlfn.LET(_xlpm.linha, Z54:AE54, _xlpm.contagens, IF(_xlpm.linha="", 0, COUNTIF(_xlpm.linha, _xlpm.linha)), INDEX(_xlpm.linha, MATCH(MAX(_xlpm.contagens), _xlpm.contagens, 0)))</f>
        <v>Gravas</v>
      </c>
      <c r="E54" s="1" t="str" cm="1">
        <f t="array" ref="E54">_xlfn.LET(_xlpm.linha, AF54:AK54, _xlpm.contagens, IF(_xlpm.linha="", 0, COUNTIF(_xlpm.linha, _xlpm.linha)), INDEX(_xlpm.linha, MATCH(MAX(_xlpm.contagens), _xlpm.contagens, 0)))</f>
        <v>GW-GM</v>
      </c>
      <c r="F54" s="1" cm="1">
        <f t="array" ref="F54">_xlfn.XLOOKUP(D54,'TABELA AUXILIAR'!$A$2:$A$5,IF('SPT médio'!A54&lt;3,'TABELA AUXILIAR'!$B$2:$B$5,'TABELA AUXILIAR'!$C$2:$C$5),"",0,1)</f>
        <v>10.5</v>
      </c>
      <c r="G54" s="6">
        <f t="shared" si="1"/>
        <v>44.803371003831963</v>
      </c>
      <c r="H54" s="2">
        <f t="shared" si="2"/>
        <v>40.361048079782748</v>
      </c>
      <c r="I54" s="2">
        <f t="shared" si="3"/>
        <v>680.78722240322656</v>
      </c>
      <c r="J54" s="1">
        <f t="shared" si="8"/>
        <v>325.35000000000031</v>
      </c>
      <c r="K54" s="1">
        <f t="shared" si="4"/>
        <v>0.48312463859522303</v>
      </c>
      <c r="L54" s="1">
        <f t="shared" si="5"/>
        <v>157.18460116695596</v>
      </c>
      <c r="M54" s="1">
        <f t="shared" si="6"/>
        <v>1580.7321391116802</v>
      </c>
      <c r="N54" s="1">
        <f>$L54*'TABELA AUXILIAR'!$I$3*(B54-A54)</f>
        <v>354.6084602326535</v>
      </c>
      <c r="O54" s="1">
        <f>$L54*'TABELA AUXILIAR'!$I$4*(B54-A54)</f>
        <v>384.78790365670909</v>
      </c>
      <c r="P54" s="1">
        <f>$L54*'TABELA AUXILIAR'!$I$5*(B54-A54)</f>
        <v>444.20368289781857</v>
      </c>
      <c r="Q54" s="1">
        <f>$M54*'TABELA AUXILIAR'!$J$3+SUM(N$2:N54)</f>
        <v>19754.96098713961</v>
      </c>
      <c r="R54" s="1">
        <f>$M54*'TABELA AUXILIAR'!$J$4+SUM(O$2:O54)</f>
        <v>21584.554022927725</v>
      </c>
      <c r="S54" s="1">
        <f>$M54*'TABELA AUXILIAR'!$J$5+SUM(P$2:P54)</f>
        <v>25290.794837558238</v>
      </c>
      <c r="T54" s="2">
        <f t="shared" si="7"/>
        <v>9877.48</v>
      </c>
      <c r="U54" s="2">
        <f t="shared" si="7"/>
        <v>10792.27</v>
      </c>
      <c r="V54" s="2">
        <f t="shared" si="7"/>
        <v>12645.39</v>
      </c>
      <c r="Z54" s="1" t="str">
        <f>IF('SPT-01'!$D54="","",'SPT-01'!$D54)</f>
        <v>Gravas</v>
      </c>
      <c r="AA54" s="1" t="str">
        <f>IF('SPT-02'!$D54="","",'SPT-02'!$D54)</f>
        <v>Areias</v>
      </c>
      <c r="AB54" s="1" t="str">
        <f>IF('SPT-03'!$D54="","",'SPT-03'!$D54)</f>
        <v>Areias</v>
      </c>
      <c r="AC54" s="1" t="str">
        <f>IF('SPT-04'!$D54="","",'SPT-04'!$D54)</f>
        <v>Gravas</v>
      </c>
      <c r="AD54" s="1" t="str">
        <f>IF('SPT-05'!$D54="","",'SPT-05'!$D54)</f>
        <v>Gravas</v>
      </c>
      <c r="AE54" s="1" t="str">
        <f>IF('SPT-06'!$D54="","",'SPT-06'!$D54)</f>
        <v>Areias</v>
      </c>
      <c r="AF54" s="1" t="str">
        <f>IF('SPT-01'!$E54="","",'SPT-01'!$E54)</f>
        <v>GW-GM</v>
      </c>
      <c r="AG54" s="1" t="str">
        <f>IF('SPT-02'!$E54="","",'SPT-02'!$E54)</f>
        <v>SP-SM</v>
      </c>
      <c r="AH54" s="1" t="str">
        <f>IF('SPT-03'!$E54="","",'SPT-03'!$E54)</f>
        <v>SP</v>
      </c>
      <c r="AI54" s="1" t="str">
        <f>IF('SPT-04'!$E54="","",'SPT-04'!$E54)</f>
        <v>GW-GM</v>
      </c>
      <c r="AJ54" s="1" t="str">
        <f>IF('SPT-05'!$E54="","",'SPT-05'!$E54)</f>
        <v>GW-GM</v>
      </c>
      <c r="AK54" s="1" t="str">
        <f>IF('SPT-06'!$E54="","",'SPT-06'!$E54)</f>
        <v>SP</v>
      </c>
    </row>
    <row r="55" spans="1:37" x14ac:dyDescent="0.25">
      <c r="A55" s="1">
        <v>31.8</v>
      </c>
      <c r="B55" s="1">
        <v>32.4</v>
      </c>
      <c r="C55" s="1">
        <f>ROUNDDOWN(_xlfn.PERCENTILE.INC('SPT-01:SPT-06'!C55, 0.15),0)</f>
        <v>50</v>
      </c>
      <c r="D55" s="1" t="str" cm="1">
        <f t="array" ref="D55">_xlfn.LET(_xlpm.linha, Z55:AE55, _xlpm.contagens, IF(_xlpm.linha="", 0, COUNTIF(_xlpm.linha, _xlpm.linha)), INDEX(_xlpm.linha, MATCH(MAX(_xlpm.contagens), _xlpm.contagens, 0)))</f>
        <v>Areias</v>
      </c>
      <c r="E55" s="1" t="str" cm="1">
        <f t="array" ref="E55">_xlfn.LET(_xlpm.linha, AF55:AK55, _xlpm.contagens, IF(_xlpm.linha="", 0, COUNTIF(_xlpm.linha, _xlpm.linha)), INDEX(_xlpm.linha, MATCH(MAX(_xlpm.contagens), _xlpm.contagens, 0)))</f>
        <v>SP</v>
      </c>
      <c r="F55" s="1" cm="1">
        <f t="array" ref="F55">_xlfn.XLOOKUP(D55,'TABELA AUXILIAR'!$A$2:$A$5,IF('SPT médio'!A55&lt;3,'TABELA AUXILIAR'!$B$2:$B$5,'TABELA AUXILIAR'!$C$2:$C$5),"",0,1)</f>
        <v>8.5</v>
      </c>
      <c r="G55" s="6">
        <f t="shared" si="1"/>
        <v>90.388270736159441</v>
      </c>
      <c r="H55" s="2">
        <f t="shared" si="2"/>
        <v>43.13052403989137</v>
      </c>
      <c r="I55" s="2">
        <f t="shared" si="3"/>
        <v>1748.2235470476235</v>
      </c>
      <c r="J55" s="1">
        <f t="shared" si="8"/>
        <v>331.05000000000035</v>
      </c>
      <c r="K55" s="1">
        <f t="shared" si="4"/>
        <v>0.92443177295953716</v>
      </c>
      <c r="L55" s="1">
        <f t="shared" si="5"/>
        <v>306.03313843825509</v>
      </c>
      <c r="M55" s="1">
        <f t="shared" si="6"/>
        <v>2781.0445668569751</v>
      </c>
      <c r="N55" s="1">
        <f>$L55*'TABELA AUXILIAR'!$I$3*(B55-A55)</f>
        <v>690.41076031670104</v>
      </c>
      <c r="O55" s="1">
        <f>$L55*'TABELA AUXILIAR'!$I$4*(B55-A55)</f>
        <v>749.16912289684581</v>
      </c>
      <c r="P55" s="1">
        <f>$L55*'TABELA AUXILIAR'!$I$5*(B55-A55)</f>
        <v>864.84964922650579</v>
      </c>
      <c r="Q55" s="1">
        <f>$M55*'TABELA AUXILIAR'!$J$3+SUM(N$2:N55)</f>
        <v>21801.724790808494</v>
      </c>
      <c r="R55" s="1">
        <f>$M55*'TABELA AUXILIAR'!$J$4+SUM(O$2:O55)</f>
        <v>23918.135550448358</v>
      </c>
      <c r="S55" s="1">
        <f>$M55*'TABELA AUXILIAR'!$J$5+SUM(P$2:P55)</f>
        <v>28268.194359616464</v>
      </c>
      <c r="T55" s="2">
        <f t="shared" si="7"/>
        <v>10900.86</v>
      </c>
      <c r="U55" s="2">
        <f t="shared" si="7"/>
        <v>11959.06</v>
      </c>
      <c r="V55" s="2">
        <f t="shared" si="7"/>
        <v>14134.09</v>
      </c>
      <c r="Z55" s="1" t="str">
        <f>IF('SPT-01'!$D55="","",'SPT-01'!$D55)</f>
        <v>Gravas</v>
      </c>
      <c r="AA55" s="1" t="str">
        <f>IF('SPT-02'!$D55="","",'SPT-02'!$D55)</f>
        <v>Areias</v>
      </c>
      <c r="AB55" s="1" t="str">
        <f>IF('SPT-03'!$D55="","",'SPT-03'!$D55)</f>
        <v>Areias</v>
      </c>
      <c r="AC55" s="1" t="str">
        <f>IF('SPT-04'!$D55="","",'SPT-04'!$D55)</f>
        <v>Areias</v>
      </c>
      <c r="AD55" s="1" t="str">
        <f>IF('SPT-05'!$D55="","",'SPT-05'!$D55)</f>
        <v>Gravas</v>
      </c>
      <c r="AE55" s="1" t="str">
        <f>IF('SPT-06'!$D55="","",'SPT-06'!$D55)</f>
        <v>Areias</v>
      </c>
      <c r="AF55" s="1" t="str">
        <f>IF('SPT-01'!$E55="","",'SPT-01'!$E55)</f>
        <v>GW-GM</v>
      </c>
      <c r="AG55" s="1" t="str">
        <f>IF('SPT-02'!$E55="","",'SPT-02'!$E55)</f>
        <v>SP-SM</v>
      </c>
      <c r="AH55" s="1" t="str">
        <f>IF('SPT-03'!$E55="","",'SPT-03'!$E55)</f>
        <v>SP</v>
      </c>
      <c r="AI55" s="1" t="str">
        <f>IF('SPT-04'!$E55="","",'SPT-04'!$E55)</f>
        <v>SP</v>
      </c>
      <c r="AJ55" s="1" t="str">
        <f>IF('SPT-05'!$E55="","",'SPT-05'!$E55)</f>
        <v>GW-GM</v>
      </c>
      <c r="AK55" s="1" t="str">
        <f>IF('SPT-06'!$E55="","",'SPT-06'!$E55)</f>
        <v>SP</v>
      </c>
    </row>
    <row r="56" spans="1:37" x14ac:dyDescent="0.25">
      <c r="A56" s="1">
        <v>32.4</v>
      </c>
      <c r="B56" s="1">
        <v>33</v>
      </c>
      <c r="C56" s="1">
        <f>ROUNDDOWN(_xlfn.PERCENTILE.INC('SPT-01:SPT-06'!C56, 0.15),0)</f>
        <v>43</v>
      </c>
      <c r="D56" s="1" t="str" cm="1">
        <f t="array" ref="D56">_xlfn.LET(_xlpm.linha, Z56:AE56, _xlpm.contagens, IF(_xlpm.linha="", 0, COUNTIF(_xlpm.linha, _xlpm.linha)), INDEX(_xlpm.linha, MATCH(MAX(_xlpm.contagens), _xlpm.contagens, 0)))</f>
        <v>Areias</v>
      </c>
      <c r="E56" s="1" t="str" cm="1">
        <f t="array" ref="E56">_xlfn.LET(_xlpm.linha, AF56:AK56, _xlpm.contagens, IF(_xlpm.linha="", 0, COUNTIF(_xlpm.linha, _xlpm.linha)), INDEX(_xlpm.linha, MATCH(MAX(_xlpm.contagens), _xlpm.contagens, 0)))</f>
        <v>SP</v>
      </c>
      <c r="F56" s="1" cm="1">
        <f t="array" ref="F56">_xlfn.XLOOKUP(D56,'TABELA AUXILIAR'!$A$2:$A$5,IF('SPT médio'!A56&lt;3,'TABELA AUXILIAR'!$B$2:$B$5,'TABELA AUXILIAR'!$C$2:$C$5),"",0,1)</f>
        <v>8.5</v>
      </c>
      <c r="G56" s="6">
        <f t="shared" si="1"/>
        <v>78.330390330690605</v>
      </c>
      <c r="H56" s="2">
        <f t="shared" si="2"/>
        <v>42.527909791332192</v>
      </c>
      <c r="I56" s="2">
        <f t="shared" si="3"/>
        <v>1559.019458838934</v>
      </c>
      <c r="J56" s="1">
        <f t="shared" si="8"/>
        <v>336.15000000000038</v>
      </c>
      <c r="K56" s="1">
        <f t="shared" si="4"/>
        <v>0.83847017687323644</v>
      </c>
      <c r="L56" s="1">
        <f t="shared" si="5"/>
        <v>281.85174995593877</v>
      </c>
      <c r="M56" s="1">
        <f t="shared" si="6"/>
        <v>2487.6565664124387</v>
      </c>
      <c r="N56" s="1">
        <f>$L56*'TABELA AUXILIAR'!$I$3*(B56-A56)</f>
        <v>635.85754790059934</v>
      </c>
      <c r="O56" s="1">
        <f>$L56*'TABELA AUXILIAR'!$I$4*(B56-A56)</f>
        <v>689.97308389213981</v>
      </c>
      <c r="P56" s="1">
        <f>$L56*'TABELA AUXILIAR'!$I$5*(B56-A56)</f>
        <v>796.51304537548481</v>
      </c>
      <c r="Q56" s="1">
        <f>$M56*'TABELA AUXILIAR'!$J$3+SUM(N$2:N56)</f>
        <v>22106.053898206766</v>
      </c>
      <c r="R56" s="1">
        <f>$M56*'TABELA AUXILIAR'!$J$4+SUM(O$2:O56)</f>
        <v>24220.836473753712</v>
      </c>
      <c r="S56" s="1">
        <f>$M56*'TABELA AUXILIAR'!$J$5+SUM(P$2:P56)</f>
        <v>28548.344524209566</v>
      </c>
      <c r="T56" s="2">
        <f t="shared" si="7"/>
        <v>11053.02</v>
      </c>
      <c r="U56" s="2">
        <f t="shared" si="7"/>
        <v>12110.41</v>
      </c>
      <c r="V56" s="2">
        <f t="shared" si="7"/>
        <v>14274.17</v>
      </c>
      <c r="Z56" s="1" t="str">
        <f>IF('SPT-01'!$D56="","",'SPT-01'!$D56)</f>
        <v>Gravas</v>
      </c>
      <c r="AA56" s="1" t="str">
        <f>IF('SPT-02'!$D56="","",'SPT-02'!$D56)</f>
        <v>Areias</v>
      </c>
      <c r="AB56" s="1" t="str">
        <f>IF('SPT-03'!$D56="","",'SPT-03'!$D56)</f>
        <v>Areias</v>
      </c>
      <c r="AC56" s="1" t="str">
        <f>IF('SPT-04'!$D56="","",'SPT-04'!$D56)</f>
        <v>Areias</v>
      </c>
      <c r="AD56" s="1" t="str">
        <f>IF('SPT-05'!$D56="","",'SPT-05'!$D56)</f>
        <v>Gravas</v>
      </c>
      <c r="AE56" s="1" t="str">
        <f>IF('SPT-06'!$D56="","",'SPT-06'!$D56)</f>
        <v>Areias</v>
      </c>
      <c r="AF56" s="1" t="str">
        <f>IF('SPT-01'!$E56="","",'SPT-01'!$E56)</f>
        <v>GW-GM</v>
      </c>
      <c r="AG56" s="1" t="str">
        <f>IF('SPT-02'!$E56="","",'SPT-02'!$E56)</f>
        <v>SP-SM</v>
      </c>
      <c r="AH56" s="1" t="str">
        <f>IF('SPT-03'!$E56="","",'SPT-03'!$E56)</f>
        <v>SP</v>
      </c>
      <c r="AI56" s="1" t="str">
        <f>IF('SPT-04'!$E56="","",'SPT-04'!$E56)</f>
        <v>SP</v>
      </c>
      <c r="AJ56" s="1" t="str">
        <f>IF('SPT-05'!$E56="","",'SPT-05'!$E56)</f>
        <v>GW-GM</v>
      </c>
      <c r="AK56" s="1" t="str">
        <f>IF('SPT-06'!$E56="","",'SPT-06'!$E56)</f>
        <v>SP</v>
      </c>
    </row>
    <row r="57" spans="1:37" x14ac:dyDescent="0.25">
      <c r="A57" s="1">
        <v>33</v>
      </c>
      <c r="B57" s="1">
        <v>33.6</v>
      </c>
      <c r="C57" s="1">
        <f>ROUNDDOWN(_xlfn.PERCENTILE.INC('SPT-01:SPT-06'!C57, 0.15),0)</f>
        <v>43</v>
      </c>
      <c r="D57" s="1" t="str" cm="1">
        <f t="array" ref="D57">_xlfn.LET(_xlpm.linha, Z57:AE57, _xlpm.contagens, IF(_xlpm.linha="", 0, COUNTIF(_xlpm.linha, _xlpm.linha)), INDEX(_xlpm.linha, MATCH(MAX(_xlpm.contagens), _xlpm.contagens, 0)))</f>
        <v>Areias</v>
      </c>
      <c r="E57" s="1" t="str" cm="1">
        <f t="array" ref="E57">_xlfn.LET(_xlpm.linha, AF57:AK57, _xlpm.contagens, IF(_xlpm.linha="", 0, COUNTIF(_xlpm.linha, _xlpm.linha)), INDEX(_xlpm.linha, MATCH(MAX(_xlpm.contagens), _xlpm.contagens, 0)))</f>
        <v>SP</v>
      </c>
      <c r="F57" s="1" cm="1">
        <f t="array" ref="F57">_xlfn.XLOOKUP(D57,'TABELA AUXILIAR'!$A$2:$A$5,IF('SPT médio'!A57&lt;3,'TABELA AUXILIAR'!$B$2:$B$5,'TABELA AUXILIAR'!$C$2:$C$5),"",0,1)</f>
        <v>8.5</v>
      </c>
      <c r="G57" s="6">
        <f t="shared" si="1"/>
        <v>78.922359913861911</v>
      </c>
      <c r="H57" s="2">
        <f t="shared" si="2"/>
        <v>42.527909791332192</v>
      </c>
      <c r="I57" s="2">
        <f t="shared" si="3"/>
        <v>1568.4379921444201</v>
      </c>
      <c r="J57" s="1">
        <f t="shared" si="8"/>
        <v>341.2500000000004</v>
      </c>
      <c r="K57" s="1">
        <f t="shared" si="4"/>
        <v>0.83336523604178336</v>
      </c>
      <c r="L57" s="1">
        <f t="shared" si="5"/>
        <v>284.38588679925891</v>
      </c>
      <c r="M57" s="1">
        <f t="shared" si="6"/>
        <v>2510.2336686535209</v>
      </c>
      <c r="N57" s="1">
        <f>$L57*'TABELA AUXILIAR'!$I$3*(B57-A57)</f>
        <v>641.57456061912956</v>
      </c>
      <c r="O57" s="1">
        <f>$L57*'TABELA AUXILIAR'!$I$4*(B57-A57)</f>
        <v>696.1766508845875</v>
      </c>
      <c r="P57" s="1">
        <f>$L57*'TABELA AUXILIAR'!$I$5*(B57-A57)</f>
        <v>803.67451609470754</v>
      </c>
      <c r="Q57" s="1">
        <f>$M57*'TABELA AUXILIAR'!$J$3+SUM(N$2:N57)</f>
        <v>22773.14058435832</v>
      </c>
      <c r="R57" s="1">
        <f>$M57*'TABELA AUXILIAR'!$J$4+SUM(O$2:O57)</f>
        <v>24946.814899596524</v>
      </c>
      <c r="S57" s="1">
        <f>$M57*'TABELA AUXILIAR'!$J$5+SUM(P$2:P57)</f>
        <v>29391.754740248576</v>
      </c>
      <c r="T57" s="2">
        <f t="shared" si="7"/>
        <v>11386.57</v>
      </c>
      <c r="U57" s="2">
        <f t="shared" si="7"/>
        <v>12473.4</v>
      </c>
      <c r="V57" s="2">
        <f t="shared" si="7"/>
        <v>14695.87</v>
      </c>
      <c r="Z57" s="1" t="str">
        <f>IF('SPT-01'!$D57="","",'SPT-01'!$D57)</f>
        <v>Gravas</v>
      </c>
      <c r="AA57" s="1" t="str">
        <f>IF('SPT-02'!$D57="","",'SPT-02'!$D57)</f>
        <v>Areias</v>
      </c>
      <c r="AB57" s="1" t="str">
        <f>IF('SPT-03'!$D57="","",'SPT-03'!$D57)</f>
        <v>Areias</v>
      </c>
      <c r="AC57" s="1" t="str">
        <f>IF('SPT-04'!$D57="","",'SPT-04'!$D57)</f>
        <v>Areias</v>
      </c>
      <c r="AD57" s="1" t="str">
        <f>IF('SPT-05'!$D57="","",'SPT-05'!$D57)</f>
        <v>Gravas</v>
      </c>
      <c r="AE57" s="1" t="str">
        <f>IF('SPT-06'!$D57="","",'SPT-06'!$D57)</f>
        <v>Areias</v>
      </c>
      <c r="AF57" s="1" t="str">
        <f>IF('SPT-01'!$E57="","",'SPT-01'!$E57)</f>
        <v>GW-GM</v>
      </c>
      <c r="AG57" s="1" t="str">
        <f>IF('SPT-02'!$E57="","",'SPT-02'!$E57)</f>
        <v>SP-SM</v>
      </c>
      <c r="AH57" s="1" t="str">
        <f>IF('SPT-03'!$E57="","",'SPT-03'!$E57)</f>
        <v>SP</v>
      </c>
      <c r="AI57" s="1" t="str">
        <f>IF('SPT-04'!$E57="","",'SPT-04'!$E57)</f>
        <v>SP</v>
      </c>
      <c r="AJ57" s="1" t="str">
        <f>IF('SPT-05'!$E57="","",'SPT-05'!$E57)</f>
        <v>GW-GM</v>
      </c>
      <c r="AK57" s="1" t="str">
        <f>IF('SPT-06'!$E57="","",'SPT-06'!$E57)</f>
        <v>SP</v>
      </c>
    </row>
    <row r="58" spans="1:37" x14ac:dyDescent="0.25">
      <c r="A58" s="1">
        <v>33.6</v>
      </c>
      <c r="B58" s="1">
        <v>34.200000000000003</v>
      </c>
      <c r="C58" s="1">
        <f>ROUNDDOWN(_xlfn.PERCENTILE.INC('SPT-01:SPT-06'!C58, 0.15),0)</f>
        <v>46</v>
      </c>
      <c r="D58" s="1" t="str" cm="1">
        <f t="array" ref="D58">_xlfn.LET(_xlpm.linha, Z58:AE58, _xlpm.contagens, IF(_xlpm.linha="", 0, COUNTIF(_xlpm.linha, _xlpm.linha)), INDEX(_xlpm.linha, MATCH(MAX(_xlpm.contagens), _xlpm.contagens, 0)))</f>
        <v>Gravas</v>
      </c>
      <c r="E58" s="1" t="str" cm="1">
        <f t="array" ref="E58">_xlfn.LET(_xlpm.linha, AF58:AK58, _xlpm.contagens, IF(_xlpm.linha="", 0, COUNTIF(_xlpm.linha, _xlpm.linha)), INDEX(_xlpm.linha, MATCH(MAX(_xlpm.contagens), _xlpm.contagens, 0)))</f>
        <v>GW-GM</v>
      </c>
      <c r="F58" s="1" cm="1">
        <f t="array" ref="F58">_xlfn.XLOOKUP(D58,'TABELA AUXILIAR'!$A$2:$A$5,IF('SPT médio'!A58&lt;3,'TABELA AUXILIAR'!$B$2:$B$5,'TABELA AUXILIAR'!$C$2:$C$5),"",0,1)</f>
        <v>10.5</v>
      </c>
      <c r="G58" s="6">
        <f t="shared" si="1"/>
        <v>85.130768696603695</v>
      </c>
      <c r="H58" s="2">
        <f t="shared" si="2"/>
        <v>42.797372051470482</v>
      </c>
      <c r="I58" s="2">
        <f t="shared" si="3"/>
        <v>1293.5620303448929</v>
      </c>
      <c r="J58" s="1">
        <f t="shared" si="8"/>
        <v>346.95000000000044</v>
      </c>
      <c r="K58" s="1">
        <f t="shared" si="4"/>
        <v>0.72581218746530562</v>
      </c>
      <c r="L58" s="1">
        <f t="shared" si="5"/>
        <v>251.8205384410881</v>
      </c>
      <c r="M58" s="1">
        <f t="shared" si="6"/>
        <v>2675.8526227429102</v>
      </c>
      <c r="N58" s="1">
        <f>$L58*'TABELA AUXILIAR'!$I$3*(B58-A58)</f>
        <v>568.10713472309612</v>
      </c>
      <c r="O58" s="1">
        <f>$L58*'TABELA AUXILIAR'!$I$4*(B58-A58)</f>
        <v>616.45667810378518</v>
      </c>
      <c r="P58" s="1">
        <f>$L58*'TABELA AUXILIAR'!$I$5*(B58-A58)</f>
        <v>711.64484163451664</v>
      </c>
      <c r="Q58" s="1">
        <f>$M58*'TABELA AUXILIAR'!$J$3+SUM(N$2:N58)</f>
        <v>23528.397137202428</v>
      </c>
      <c r="R58" s="1">
        <f>$M58*'TABELA AUXILIAR'!$J$4+SUM(O$2:O58)</f>
        <v>25781.888597098306</v>
      </c>
      <c r="S58" s="1">
        <f>$M58*'TABELA AUXILIAR'!$J$5+SUM(P$2:P58)</f>
        <v>30394.888941080419</v>
      </c>
      <c r="T58" s="2">
        <f t="shared" si="7"/>
        <v>11764.19</v>
      </c>
      <c r="U58" s="2">
        <f t="shared" si="7"/>
        <v>12890.94</v>
      </c>
      <c r="V58" s="2">
        <f t="shared" si="7"/>
        <v>15197.44</v>
      </c>
      <c r="Z58" s="1" t="str">
        <f>IF('SPT-01'!$D58="","",'SPT-01'!$D58)</f>
        <v>Gravas</v>
      </c>
      <c r="AA58" s="1" t="str">
        <f>IF('SPT-02'!$D58="","",'SPT-02'!$D58)</f>
        <v>Areias</v>
      </c>
      <c r="AB58" s="1" t="str">
        <f>IF('SPT-03'!$D58="","",'SPT-03'!$D58)</f>
        <v>Areias</v>
      </c>
      <c r="AC58" s="1" t="str">
        <f>IF('SPT-04'!$D58="","",'SPT-04'!$D58)</f>
        <v>Areias</v>
      </c>
      <c r="AD58" s="1" t="str">
        <f>IF('SPT-05'!$D58="","",'SPT-05'!$D58)</f>
        <v>Gravas</v>
      </c>
      <c r="AE58" s="1" t="str">
        <f>IF('SPT-06'!$D58="","",'SPT-06'!$D58)</f>
        <v>Gravas</v>
      </c>
      <c r="AF58" s="1" t="str">
        <f>IF('SPT-01'!$E58="","",'SPT-01'!$E58)</f>
        <v>GW-GM</v>
      </c>
      <c r="AG58" s="1" t="str">
        <f>IF('SPT-02'!$E58="","",'SPT-02'!$E58)</f>
        <v>SP-SM</v>
      </c>
      <c r="AH58" s="1" t="str">
        <f>IF('SPT-03'!$E58="","",'SPT-03'!$E58)</f>
        <v>SP</v>
      </c>
      <c r="AI58" s="1" t="str">
        <f>IF('SPT-04'!$E58="","",'SPT-04'!$E58)</f>
        <v>SP</v>
      </c>
      <c r="AJ58" s="1" t="str">
        <f>IF('SPT-05'!$E58="","",'SPT-05'!$E58)</f>
        <v>GW-GM</v>
      </c>
      <c r="AK58" s="1" t="str">
        <f>IF('SPT-06'!$E58="","",'SPT-06'!$E58)</f>
        <v>GW</v>
      </c>
    </row>
    <row r="59" spans="1:37" x14ac:dyDescent="0.25">
      <c r="A59" s="1">
        <v>34.200000000000003</v>
      </c>
      <c r="B59" s="1">
        <v>34.799999999999997</v>
      </c>
      <c r="C59" s="1">
        <f>ROUNDDOWN(_xlfn.PERCENTILE.INC('SPT-01:SPT-06'!C59, 0.15),0)</f>
        <v>44</v>
      </c>
      <c r="D59" s="1" t="str" cm="1">
        <f t="array" ref="D59">_xlfn.LET(_xlpm.linha, Z59:AE59, _xlpm.contagens, IF(_xlpm.linha="", 0, COUNTIF(_xlpm.linha, _xlpm.linha)), INDEX(_xlpm.linha, MATCH(MAX(_xlpm.contagens), _xlpm.contagens, 0)))</f>
        <v>Gravas</v>
      </c>
      <c r="E59" s="1" t="str" cm="1">
        <f t="array" ref="E59">_xlfn.LET(_xlpm.linha, AF59:AK59, _xlpm.contagens, IF(_xlpm.linha="", 0, COUNTIF(_xlpm.linha, _xlpm.linha)), INDEX(_xlpm.linha, MATCH(MAX(_xlpm.contagens), _xlpm.contagens, 0)))</f>
        <v>GW-GM</v>
      </c>
      <c r="F59" s="1" cm="1">
        <f t="array" ref="F59">_xlfn.XLOOKUP(D59,'TABELA AUXILIAR'!$A$2:$A$5,IF('SPT médio'!A59&lt;3,'TABELA AUXILIAR'!$B$2:$B$5,'TABELA AUXILIAR'!$C$2:$C$5),"",0,1)</f>
        <v>10.5</v>
      </c>
      <c r="G59" s="6">
        <f t="shared" si="1"/>
        <v>82.165412341157918</v>
      </c>
      <c r="H59" s="2">
        <f t="shared" si="2"/>
        <v>42.619764623672921</v>
      </c>
      <c r="I59" s="2">
        <f t="shared" si="3"/>
        <v>1248.5034405238944</v>
      </c>
      <c r="J59" s="1">
        <f t="shared" si="8"/>
        <v>353.25000000000045</v>
      </c>
      <c r="K59" s="1">
        <f t="shared" si="4"/>
        <v>0.69851862106005536</v>
      </c>
      <c r="L59" s="1">
        <f t="shared" si="5"/>
        <v>246.75170288946487</v>
      </c>
      <c r="M59" s="1">
        <f t="shared" si="6"/>
        <v>2610.4010368870163</v>
      </c>
      <c r="N59" s="1">
        <f>$L59*'TABELA AUXILIAR'!$I$3*(B59-A59)</f>
        <v>556.67184171862743</v>
      </c>
      <c r="O59" s="1">
        <f>$L59*'TABELA AUXILIAR'!$I$4*(B59-A59)</f>
        <v>604.04816867340423</v>
      </c>
      <c r="P59" s="1">
        <f>$L59*'TABELA AUXILIAR'!$I$5*(B59-A59)</f>
        <v>697.32031236562113</v>
      </c>
      <c r="Q59" s="1">
        <f>$M59*'TABELA AUXILIAR'!$J$3+SUM(N$2:N59)</f>
        <v>24011.108686903895</v>
      </c>
      <c r="R59" s="1">
        <f>$M59*'TABELA AUXILIAR'!$J$4+SUM(O$2:O59)</f>
        <v>26299.54067244193</v>
      </c>
      <c r="S59" s="1">
        <f>$M59*'TABELA AUXILIAR'!$J$5+SUM(P$2:P59)</f>
        <v>30977.014462339666</v>
      </c>
      <c r="T59" s="2">
        <f t="shared" si="7"/>
        <v>12005.55</v>
      </c>
      <c r="U59" s="2">
        <f t="shared" si="7"/>
        <v>13149.77</v>
      </c>
      <c r="V59" s="2">
        <f t="shared" si="7"/>
        <v>15488.5</v>
      </c>
      <c r="Z59" s="1" t="str">
        <f>IF('SPT-01'!$D59="","",'SPT-01'!$D59)</f>
        <v>Gravas</v>
      </c>
      <c r="AA59" s="1" t="str">
        <f>IF('SPT-02'!$D59="","",'SPT-02'!$D59)</f>
        <v>Areias</v>
      </c>
      <c r="AB59" s="1" t="str">
        <f>IF('SPT-03'!$D59="","",'SPT-03'!$D59)</f>
        <v>Areias</v>
      </c>
      <c r="AC59" s="1" t="str">
        <f>IF('SPT-04'!$D59="","",'SPT-04'!$D59)</f>
        <v>Areias</v>
      </c>
      <c r="AD59" s="1" t="str">
        <f>IF('SPT-05'!$D59="","",'SPT-05'!$D59)</f>
        <v>Gravas</v>
      </c>
      <c r="AE59" s="1" t="str">
        <f>IF('SPT-06'!$D59="","",'SPT-06'!$D59)</f>
        <v>Gravas</v>
      </c>
      <c r="AF59" s="1" t="str">
        <f>IF('SPT-01'!$E59="","",'SPT-01'!$E59)</f>
        <v>GW-GM</v>
      </c>
      <c r="AG59" s="1" t="str">
        <f>IF('SPT-02'!$E59="","",'SPT-02'!$E59)</f>
        <v>SP-SM</v>
      </c>
      <c r="AH59" s="1" t="str">
        <f>IF('SPT-03'!$E59="","",'SPT-03'!$E59)</f>
        <v>SP</v>
      </c>
      <c r="AI59" s="1" t="str">
        <f>IF('SPT-04'!$E59="","",'SPT-04'!$E59)</f>
        <v>SP</v>
      </c>
      <c r="AJ59" s="1" t="str">
        <f>IF('SPT-05'!$E59="","",'SPT-05'!$E59)</f>
        <v>GW-GM</v>
      </c>
      <c r="AK59" s="1" t="str">
        <f>IF('SPT-06'!$E59="","",'SPT-06'!$E59)</f>
        <v>GW</v>
      </c>
    </row>
    <row r="60" spans="1:37" x14ac:dyDescent="0.25">
      <c r="A60" s="1">
        <v>34.799999999999997</v>
      </c>
      <c r="B60" s="1">
        <v>35.4</v>
      </c>
      <c r="C60" s="1">
        <f>ROUNDDOWN(_xlfn.PERCENTILE.INC('SPT-01:SPT-06'!C60, 0.15),0)</f>
        <v>47</v>
      </c>
      <c r="D60" s="1" t="str" cm="1">
        <f t="array" ref="D60">_xlfn.LET(_xlpm.linha, Z60:AE60, _xlpm.contagens, IF(_xlpm.linha="", 0, COUNTIF(_xlpm.linha, _xlpm.linha)), INDEX(_xlpm.linha, MATCH(MAX(_xlpm.contagens), _xlpm.contagens, 0)))</f>
        <v>Gravas</v>
      </c>
      <c r="E60" s="1" t="str" cm="1">
        <f t="array" ref="E60">_xlfn.LET(_xlpm.linha, AF60:AK60, _xlpm.contagens, IF(_xlpm.linha="", 0, COUNTIF(_xlpm.linha, _xlpm.linha)), INDEX(_xlpm.linha, MATCH(MAX(_xlpm.contagens), _xlpm.contagens, 0)))</f>
        <v>GW-GM</v>
      </c>
      <c r="F60" s="1" cm="1">
        <f t="array" ref="F60">_xlfn.XLOOKUP(D60,'TABELA AUXILIAR'!$A$2:$A$5,IF('SPT médio'!A60&lt;3,'TABELA AUXILIAR'!$B$2:$B$5,'TABELA AUXILIAR'!$C$2:$C$5),"",0,1)</f>
        <v>10.5</v>
      </c>
      <c r="G60" s="6">
        <f t="shared" si="1"/>
        <v>88.546781852902143</v>
      </c>
      <c r="H60" s="2">
        <f t="shared" si="2"/>
        <v>42.883300293008602</v>
      </c>
      <c r="I60" s="2">
        <f t="shared" si="3"/>
        <v>1345.468350254848</v>
      </c>
      <c r="J60" s="1">
        <f t="shared" si="8"/>
        <v>359.55000000000047</v>
      </c>
      <c r="K60" s="1">
        <f t="shared" si="4"/>
        <v>0.72836901160680256</v>
      </c>
      <c r="L60" s="1">
        <f t="shared" si="5"/>
        <v>261.88507812322621</v>
      </c>
      <c r="M60" s="1">
        <f t="shared" si="6"/>
        <v>2781.1835500621191</v>
      </c>
      <c r="N60" s="1">
        <f>$L60*'TABELA AUXILIAR'!$I$3*(B60-A60)</f>
        <v>590.81273624599976</v>
      </c>
      <c r="O60" s="1">
        <f>$L60*'TABELA AUXILIAR'!$I$4*(B60-A60)</f>
        <v>641.09467124565924</v>
      </c>
      <c r="P60" s="1">
        <f>$L60*'TABELA AUXILIAR'!$I$5*(B60-A60)</f>
        <v>740.08723077623904</v>
      </c>
      <c r="Q60" s="1">
        <f>$M60*'TABELA AUXILIAR'!$J$3+SUM(N$2:N60)</f>
        <v>24794.90566303776</v>
      </c>
      <c r="R60" s="1">
        <f>$M60*'TABELA AUXILIAR'!$J$4+SUM(O$2:O60)</f>
        <v>27166.06826107873</v>
      </c>
      <c r="S60" s="1">
        <f>$M60*'TABELA AUXILIAR'!$J$5+SUM(P$2:P60)</f>
        <v>32017.678916304088</v>
      </c>
      <c r="T60" s="2">
        <f t="shared" si="7"/>
        <v>12397.45</v>
      </c>
      <c r="U60" s="2">
        <f t="shared" si="7"/>
        <v>13583.03</v>
      </c>
      <c r="V60" s="2">
        <f t="shared" si="7"/>
        <v>16008.83</v>
      </c>
      <c r="Z60" s="1" t="str">
        <f>IF('SPT-01'!$D60="","",'SPT-01'!$D60)</f>
        <v>Gravas</v>
      </c>
      <c r="AA60" s="1" t="str">
        <f>IF('SPT-02'!$D60="","",'SPT-02'!$D60)</f>
        <v>Areias</v>
      </c>
      <c r="AB60" s="1" t="str">
        <f>IF('SPT-03'!$D60="","",'SPT-03'!$D60)</f>
        <v>Areias</v>
      </c>
      <c r="AC60" s="1" t="str">
        <f>IF('SPT-04'!$D60="","",'SPT-04'!$D60)</f>
        <v>Areias</v>
      </c>
      <c r="AD60" s="1" t="str">
        <f>IF('SPT-05'!$D60="","",'SPT-05'!$D60)</f>
        <v>Gravas</v>
      </c>
      <c r="AE60" s="1" t="str">
        <f>IF('SPT-06'!$D60="","",'SPT-06'!$D60)</f>
        <v>Gravas</v>
      </c>
      <c r="AF60" s="1" t="str">
        <f>IF('SPT-01'!$E60="","",'SPT-01'!$E60)</f>
        <v>GW-GM</v>
      </c>
      <c r="AG60" s="1" t="str">
        <f>IF('SPT-02'!$E60="","",'SPT-02'!$E60)</f>
        <v>SP-SM</v>
      </c>
      <c r="AH60" s="1" t="str">
        <f>IF('SPT-03'!$E60="","",'SPT-03'!$E60)</f>
        <v>SP</v>
      </c>
      <c r="AI60" s="1" t="str">
        <f>IF('SPT-04'!$E60="","",'SPT-04'!$E60)</f>
        <v>SP</v>
      </c>
      <c r="AJ60" s="1" t="str">
        <f>IF('SPT-05'!$E60="","",'SPT-05'!$E60)</f>
        <v>GW-GM</v>
      </c>
      <c r="AK60" s="1" t="str">
        <f>IF('SPT-06'!$E60="","",'SPT-06'!$E60)</f>
        <v>GW</v>
      </c>
    </row>
    <row r="61" spans="1:37" x14ac:dyDescent="0.25">
      <c r="A61" s="1">
        <v>35.4</v>
      </c>
      <c r="B61" s="1">
        <v>36</v>
      </c>
      <c r="C61" s="1">
        <f>ROUNDDOWN(_xlfn.PERCENTILE.INC('SPT-01:SPT-06'!C61, 0.15),0)</f>
        <v>44</v>
      </c>
      <c r="D61" s="1" t="str" cm="1">
        <f t="array" ref="D61">_xlfn.LET(_xlpm.linha, Z61:AE61, _xlpm.contagens, IF(_xlpm.linha="", 0, COUNTIF(_xlpm.linha, _xlpm.linha)), INDEX(_xlpm.linha, MATCH(MAX(_xlpm.contagens), _xlpm.contagens, 0)))</f>
        <v>Gravas</v>
      </c>
      <c r="E61" s="1" t="str" cm="1">
        <f t="array" ref="E61">_xlfn.LET(_xlpm.linha, AF61:AK61, _xlpm.contagens, IF(_xlpm.linha="", 0, COUNTIF(_xlpm.linha, _xlpm.linha)), INDEX(_xlpm.linha, MATCH(MAX(_xlpm.contagens), _xlpm.contagens, 0)))</f>
        <v>GW-GM</v>
      </c>
      <c r="F61" s="1" cm="1">
        <f t="array" ref="F61">_xlfn.XLOOKUP(D61,'TABELA AUXILIAR'!$A$2:$A$5,IF('SPT médio'!A61&lt;3,'TABELA AUXILIAR'!$B$2:$B$5,'TABELA AUXILIAR'!$C$2:$C$5),"",0,1)</f>
        <v>10.5</v>
      </c>
      <c r="G61" s="6">
        <f t="shared" si="1"/>
        <v>83.617943728166168</v>
      </c>
      <c r="H61" s="2">
        <f t="shared" si="2"/>
        <v>42.619764623672921</v>
      </c>
      <c r="I61" s="2">
        <f t="shared" si="3"/>
        <v>1270.5746549494847</v>
      </c>
      <c r="J61" s="1">
        <f t="shared" si="8"/>
        <v>365.85000000000053</v>
      </c>
      <c r="K61" s="1">
        <f t="shared" si="4"/>
        <v>0.69027910747280019</v>
      </c>
      <c r="L61" s="1">
        <f t="shared" si="5"/>
        <v>252.53861146892433</v>
      </c>
      <c r="M61" s="1">
        <f t="shared" si="6"/>
        <v>2665.8749057196246</v>
      </c>
      <c r="N61" s="1">
        <f>$L61*'TABELA AUXILIAR'!$I$3*(B61-A61)</f>
        <v>569.72710747389465</v>
      </c>
      <c r="O61" s="1">
        <f>$L61*'TABELA AUXILIAR'!$I$4*(B61-A61)</f>
        <v>618.2145208759282</v>
      </c>
      <c r="P61" s="1">
        <f>$L61*'TABELA AUXILIAR'!$I$5*(B61-A61)</f>
        <v>713.67411601118181</v>
      </c>
      <c r="Q61" s="1">
        <f>$M61*'TABELA AUXILIAR'!$J$3+SUM(N$2:N61)</f>
        <v>25234.334002404634</v>
      </c>
      <c r="R61" s="1">
        <f>$M61*'TABELA AUXILIAR'!$J$4+SUM(O$2:O61)</f>
        <v>27632.075371422565</v>
      </c>
      <c r="S61" s="1">
        <f>$M61*'TABELA AUXILIAR'!$J$5+SUM(P$2:P61)</f>
        <v>32528.409818272477</v>
      </c>
      <c r="T61" s="2">
        <f t="shared" si="7"/>
        <v>12617.16</v>
      </c>
      <c r="U61" s="2">
        <f t="shared" si="7"/>
        <v>13816.03</v>
      </c>
      <c r="V61" s="2">
        <f t="shared" si="7"/>
        <v>16264.2</v>
      </c>
      <c r="Z61" s="1" t="str">
        <f>IF('SPT-01'!$D61="","",'SPT-01'!$D61)</f>
        <v>Gravas</v>
      </c>
      <c r="AA61" s="1" t="str">
        <f>IF('SPT-02'!$D61="","",'SPT-02'!$D61)</f>
        <v>Areias</v>
      </c>
      <c r="AB61" s="1" t="str">
        <f>IF('SPT-03'!$D61="","",'SPT-03'!$D61)</f>
        <v>Areias</v>
      </c>
      <c r="AC61" s="1" t="str">
        <f>IF('SPT-04'!$D61="","",'SPT-04'!$D61)</f>
        <v>Areias</v>
      </c>
      <c r="AD61" s="1" t="str">
        <f>IF('SPT-05'!$D61="","",'SPT-05'!$D61)</f>
        <v>Gravas</v>
      </c>
      <c r="AE61" s="1" t="str">
        <f>IF('SPT-06'!$D61="","",'SPT-06'!$D61)</f>
        <v>Gravas</v>
      </c>
      <c r="AF61" s="1" t="str">
        <f>IF('SPT-01'!$E61="","",'SPT-01'!$E61)</f>
        <v>GW-GM</v>
      </c>
      <c r="AG61" s="1" t="str">
        <f>IF('SPT-02'!$E61="","",'SPT-02'!$E61)</f>
        <v>SP-SM</v>
      </c>
      <c r="AH61" s="1" t="str">
        <f>IF('SPT-03'!$E61="","",'SPT-03'!$E61)</f>
        <v>SP</v>
      </c>
      <c r="AI61" s="1" t="str">
        <f>IF('SPT-04'!$E61="","",'SPT-04'!$E61)</f>
        <v>SP-SM</v>
      </c>
      <c r="AJ61" s="1" t="str">
        <f>IF('SPT-05'!$E61="","",'SPT-05'!$E61)</f>
        <v>GW-GM</v>
      </c>
      <c r="AK61" s="1" t="str">
        <f>IF('SPT-06'!$E61="","",'SPT-06'!$E61)</f>
        <v>GW</v>
      </c>
    </row>
    <row r="62" spans="1:37" x14ac:dyDescent="0.25">
      <c r="A62" s="1">
        <v>36</v>
      </c>
      <c r="B62" s="1">
        <v>36.6</v>
      </c>
      <c r="C62" s="1">
        <f>ROUNDDOWN(_xlfn.PERCENTILE.INC('SPT-01:SPT-06'!C62, 0.15),0)</f>
        <v>50</v>
      </c>
      <c r="D62" s="1" t="str" cm="1">
        <f t="array" ref="D62">_xlfn.LET(_xlpm.linha, Z62:AE62, _xlpm.contagens, IF(_xlpm.linha="", 0, COUNTIF(_xlpm.linha, _xlpm.linha)), INDEX(_xlpm.linha, MATCH(MAX(_xlpm.contagens), _xlpm.contagens, 0)))</f>
        <v>Gravas</v>
      </c>
      <c r="E62" s="1" t="str" cm="1">
        <f t="array" ref="E62">_xlfn.LET(_xlpm.linha, AF62:AK62, _xlpm.contagens, IF(_xlpm.linha="", 0, COUNTIF(_xlpm.linha, _xlpm.linha)), INDEX(_xlpm.linha, MATCH(MAX(_xlpm.contagens), _xlpm.contagens, 0)))</f>
        <v>GW-GM</v>
      </c>
      <c r="F62" s="1" cm="1">
        <f t="array" ref="F62">_xlfn.XLOOKUP(D62,'TABELA AUXILIAR'!$A$2:$A$5,IF('SPT médio'!A62&lt;3,'TABELA AUXILIAR'!$B$2:$B$5,'TABELA AUXILIAR'!$C$2:$C$5),"",0,1)</f>
        <v>10.5</v>
      </c>
      <c r="G62" s="6">
        <f t="shared" si="1"/>
        <v>95.835032246697665</v>
      </c>
      <c r="H62" s="2">
        <f t="shared" si="2"/>
        <v>43.13052403989137</v>
      </c>
      <c r="I62" s="2">
        <f t="shared" si="3"/>
        <v>1456.2133149885708</v>
      </c>
      <c r="J62" s="1">
        <f t="shared" si="8"/>
        <v>372.1500000000006</v>
      </c>
      <c r="K62" s="1">
        <f t="shared" si="4"/>
        <v>0.75312046061994753</v>
      </c>
      <c r="L62" s="1">
        <f t="shared" si="5"/>
        <v>280.27377941971395</v>
      </c>
      <c r="M62" s="1">
        <f t="shared" si="6"/>
        <v>2983.3390119489432</v>
      </c>
      <c r="N62" s="1">
        <f>$L62*'TABELA AUXILIAR'!$I$3*(B62-A62)</f>
        <v>632.29764637087624</v>
      </c>
      <c r="O62" s="1">
        <f>$L62*'TABELA AUXILIAR'!$I$4*(B62-A62)</f>
        <v>686.1102120194613</v>
      </c>
      <c r="P62" s="1">
        <f>$L62*'TABELA AUXILIAR'!$I$5*(B62-A62)</f>
        <v>792.05370064011356</v>
      </c>
      <c r="Q62" s="1">
        <f>$M62*'TABELA AUXILIAR'!$J$3+SUM(N$2:N62)</f>
        <v>26225.366088814641</v>
      </c>
      <c r="R62" s="1">
        <f>$M62*'TABELA AUXILIAR'!$J$4+SUM(O$2:O62)</f>
        <v>28737.238203664729</v>
      </c>
      <c r="S62" s="1">
        <f>$M62*'TABELA AUXILIAR'!$J$5+SUM(P$2:P62)</f>
        <v>33879.20034587619</v>
      </c>
      <c r="T62" s="2">
        <f t="shared" si="7"/>
        <v>13112.68</v>
      </c>
      <c r="U62" s="2">
        <f t="shared" si="7"/>
        <v>14368.61</v>
      </c>
      <c r="V62" s="2">
        <f t="shared" si="7"/>
        <v>16939.599999999999</v>
      </c>
      <c r="Z62" s="1" t="str">
        <f>IF('SPT-01'!$D62="","",'SPT-01'!$D62)</f>
        <v>Gravas</v>
      </c>
      <c r="AA62" s="1" t="str">
        <f>IF('SPT-02'!$D62="","",'SPT-02'!$D62)</f>
        <v>Areias</v>
      </c>
      <c r="AB62" s="1" t="str">
        <f>IF('SPT-03'!$D62="","",'SPT-03'!$D62)</f>
        <v>Areias</v>
      </c>
      <c r="AC62" s="1" t="str">
        <f>IF('SPT-04'!$D62="","",'SPT-04'!$D62)</f>
        <v>Areias</v>
      </c>
      <c r="AD62" s="1" t="str">
        <f>IF('SPT-05'!$D62="","",'SPT-05'!$D62)</f>
        <v>Gravas</v>
      </c>
      <c r="AE62" s="1" t="str">
        <f>IF('SPT-06'!$D62="","",'SPT-06'!$D62)</f>
        <v>Gravas</v>
      </c>
      <c r="AF62" s="1" t="str">
        <f>IF('SPT-01'!$E62="","",'SPT-01'!$E62)</f>
        <v>GW-GM</v>
      </c>
      <c r="AG62" s="1" t="str">
        <f>IF('SPT-02'!$E62="","",'SPT-02'!$E62)</f>
        <v>SP-SM</v>
      </c>
      <c r="AH62" s="1" t="str">
        <f>IF('SPT-03'!$E62="","",'SPT-03'!$E62)</f>
        <v>SM</v>
      </c>
      <c r="AI62" s="1" t="str">
        <f>IF('SPT-04'!$E62="","",'SPT-04'!$E62)</f>
        <v>SP-SM</v>
      </c>
      <c r="AJ62" s="1" t="str">
        <f>IF('SPT-05'!$E62="","",'SPT-05'!$E62)</f>
        <v>GW-GM</v>
      </c>
      <c r="AK62" s="1" t="str">
        <f>IF('SPT-06'!$E62="","",'SPT-06'!$E62)</f>
        <v>GW</v>
      </c>
    </row>
    <row r="63" spans="1:37" x14ac:dyDescent="0.25">
      <c r="A63" s="1">
        <v>36.6</v>
      </c>
      <c r="B63" s="1">
        <v>37.200000000000003</v>
      </c>
      <c r="C63" s="1">
        <f>ROUNDDOWN(_xlfn.PERCENTILE.INC('SPT-01:SPT-06'!C63, 0.15),0)</f>
        <v>50</v>
      </c>
      <c r="D63" s="1" t="str" cm="1">
        <f t="array" ref="D63">_xlfn.LET(_xlpm.linha, Z63:AE63, _xlpm.contagens, IF(_xlpm.linha="", 0, COUNTIF(_xlpm.linha, _xlpm.linha)), INDEX(_xlpm.linha, MATCH(MAX(_xlpm.contagens), _xlpm.contagens, 0)))</f>
        <v>Gravas</v>
      </c>
      <c r="E63" s="1" t="str" cm="1">
        <f t="array" ref="E63">_xlfn.LET(_xlpm.linha, AF63:AK63, _xlpm.contagens, IF(_xlpm.linha="", 0, COUNTIF(_xlpm.linha, _xlpm.linha)), INDEX(_xlpm.linha, MATCH(MAX(_xlpm.contagens), _xlpm.contagens, 0)))</f>
        <v>GW-GM</v>
      </c>
      <c r="F63" s="1" cm="1">
        <f t="array" ref="F63">_xlfn.XLOOKUP(D63,'TABELA AUXILIAR'!$A$2:$A$5,IF('SPT médio'!A63&lt;3,'TABELA AUXILIAR'!$B$2:$B$5,'TABELA AUXILIAR'!$C$2:$C$5),"",0,1)</f>
        <v>10.5</v>
      </c>
      <c r="G63" s="6">
        <f t="shared" si="1"/>
        <v>96.64280719038905</v>
      </c>
      <c r="H63" s="2">
        <f t="shared" si="2"/>
        <v>43.13052403989137</v>
      </c>
      <c r="I63" s="2">
        <f t="shared" si="3"/>
        <v>1468.4874552579615</v>
      </c>
      <c r="J63" s="1">
        <f t="shared" si="8"/>
        <v>378.45000000000067</v>
      </c>
      <c r="K63" s="1">
        <f t="shared" si="4"/>
        <v>0.74881119725766776</v>
      </c>
      <c r="L63" s="1">
        <f t="shared" si="5"/>
        <v>283.38759760216487</v>
      </c>
      <c r="M63" s="1">
        <f t="shared" si="6"/>
        <v>3013.53957381911</v>
      </c>
      <c r="N63" s="1">
        <f>$L63*'TABELA AUXILIAR'!$I$3*(B63-A63)</f>
        <v>639.32242019048545</v>
      </c>
      <c r="O63" s="1">
        <f>$L63*'TABELA AUXILIAR'!$I$4*(B63-A63)</f>
        <v>693.73283893010125</v>
      </c>
      <c r="P63" s="1">
        <f>$L63*'TABELA AUXILIAR'!$I$5*(B63-A63)</f>
        <v>800.85335082371978</v>
      </c>
      <c r="Q63" s="1">
        <f>$M63*'TABELA AUXILIAR'!$J$3+SUM(N$2:N63)</f>
        <v>26898.815143918415</v>
      </c>
      <c r="R63" s="1">
        <f>$M63*'TABELA AUXILIAR'!$J$4+SUM(O$2:O63)</f>
        <v>29470.835784263447</v>
      </c>
      <c r="S63" s="1">
        <f>$M63*'TABELA AUXILIAR'!$J$5+SUM(P$2:P63)</f>
        <v>34733.206685591402</v>
      </c>
      <c r="T63" s="2">
        <f t="shared" si="7"/>
        <v>13449.4</v>
      </c>
      <c r="U63" s="2">
        <f t="shared" si="7"/>
        <v>14735.41</v>
      </c>
      <c r="V63" s="2">
        <f t="shared" si="7"/>
        <v>17366.599999999999</v>
      </c>
      <c r="Z63" s="1" t="str">
        <f>IF('SPT-01'!$D63="","",'SPT-01'!$D63)</f>
        <v>Gravas</v>
      </c>
      <c r="AA63" s="1" t="str">
        <f>IF('SPT-02'!$D63="","",'SPT-02'!$D63)</f>
        <v>Areias</v>
      </c>
      <c r="AB63" s="1" t="str">
        <f>IF('SPT-03'!$D63="","",'SPT-03'!$D63)</f>
        <v>Areias</v>
      </c>
      <c r="AC63" s="1" t="str">
        <f>IF('SPT-04'!$D63="","",'SPT-04'!$D63)</f>
        <v>Areias</v>
      </c>
      <c r="AD63" s="1" t="str">
        <f>IF('SPT-05'!$D63="","",'SPT-05'!$D63)</f>
        <v>Gravas</v>
      </c>
      <c r="AE63" s="1" t="str">
        <f>IF('SPT-06'!$D63="","",'SPT-06'!$D63)</f>
        <v>Gravas</v>
      </c>
      <c r="AF63" s="1" t="str">
        <f>IF('SPT-01'!$E63="","",'SPT-01'!$E63)</f>
        <v>GW-GM</v>
      </c>
      <c r="AG63" s="1" t="str">
        <f>IF('SPT-02'!$E63="","",'SPT-02'!$E63)</f>
        <v>SP-SM</v>
      </c>
      <c r="AH63" s="1" t="str">
        <f>IF('SPT-03'!$E63="","",'SPT-03'!$E63)</f>
        <v>SM</v>
      </c>
      <c r="AI63" s="1" t="str">
        <f>IF('SPT-04'!$E63="","",'SPT-04'!$E63)</f>
        <v>SP-SM</v>
      </c>
      <c r="AJ63" s="1" t="str">
        <f>IF('SPT-05'!$E63="","",'SPT-05'!$E63)</f>
        <v>GW-GM</v>
      </c>
      <c r="AK63" s="1" t="str">
        <f>IF('SPT-06'!$E63="","",'SPT-06'!$E63)</f>
        <v>GW</v>
      </c>
    </row>
    <row r="64" spans="1:37" x14ac:dyDescent="0.25">
      <c r="A64" s="1">
        <v>37.200000000000003</v>
      </c>
      <c r="B64" s="1">
        <v>37.799999999999997</v>
      </c>
      <c r="C64" s="1">
        <f>ROUNDDOWN(_xlfn.PERCENTILE.INC('SPT-01:SPT-06'!C64, 0.15),0)</f>
        <v>28</v>
      </c>
      <c r="D64" s="1" t="str" cm="1">
        <f t="array" ref="D64">_xlfn.LET(_xlpm.linha, Z64:AE64, _xlpm.contagens, IF(_xlpm.linha="", 0, COUNTIF(_xlpm.linha, _xlpm.linha)), INDEX(_xlpm.linha, MATCH(MAX(_xlpm.contagens), _xlpm.contagens, 0)))</f>
        <v>Areias</v>
      </c>
      <c r="E64" s="1" t="str" cm="1">
        <f t="array" ref="E64">_xlfn.LET(_xlpm.linha, AF64:AK64, _xlpm.contagens, IF(_xlpm.linha="", 0, COUNTIF(_xlpm.linha, _xlpm.linha)), INDEX(_xlpm.linha, MATCH(MAX(_xlpm.contagens), _xlpm.contagens, 0)))</f>
        <v>GW-GM</v>
      </c>
      <c r="F64" s="1" cm="1">
        <f t="array" ref="F64">_xlfn.XLOOKUP(D64,'TABELA AUXILIAR'!$A$2:$A$5,IF('SPT médio'!A64&lt;3,'TABELA AUXILIAR'!$B$2:$B$5,'TABELA AUXILIAR'!$C$2:$C$5),"",0,1)</f>
        <v>8.5</v>
      </c>
      <c r="G64" s="6">
        <f t="shared" si="1"/>
        <v>54.526011072829448</v>
      </c>
      <c r="H64" s="2">
        <f t="shared" si="2"/>
        <v>40.813853888348419</v>
      </c>
      <c r="I64" s="2">
        <f t="shared" si="3"/>
        <v>1166.78351690412</v>
      </c>
      <c r="J64" s="1">
        <f t="shared" si="8"/>
        <v>384.15000000000066</v>
      </c>
      <c r="K64" s="1">
        <f t="shared" si="4"/>
        <v>0.61836124796357772</v>
      </c>
      <c r="L64" s="1">
        <f t="shared" si="5"/>
        <v>237.5434734052088</v>
      </c>
      <c r="M64" s="1">
        <f t="shared" si="6"/>
        <v>1912.1533442210109</v>
      </c>
      <c r="N64" s="1">
        <f>$L64*'TABELA AUXILIAR'!$I$3*(B64-A64)</f>
        <v>535.8980760021459</v>
      </c>
      <c r="O64" s="1">
        <f>$L64*'TABELA AUXILIAR'!$I$4*(B64-A64)</f>
        <v>581.50642289594566</v>
      </c>
      <c r="P64" s="1">
        <f>$L64*'TABELA AUXILIAR'!$I$5*(B64-A64)</f>
        <v>671.29785584311378</v>
      </c>
      <c r="Q64" s="1">
        <f>$M64*'TABELA AUXILIAR'!$J$3+SUM(N$2:N64)</f>
        <v>26190.146780474712</v>
      </c>
      <c r="R64" s="1">
        <f>$M64*'TABELA AUXILIAR'!$J$4+SUM(O$2:O64)</f>
        <v>28598.512384089903</v>
      </c>
      <c r="S64" s="1">
        <f>$M64*'TABELA AUXILIAR'!$J$5+SUM(P$2:P64)</f>
        <v>33466.06477734186</v>
      </c>
      <c r="T64" s="2">
        <f t="shared" si="7"/>
        <v>13095.07</v>
      </c>
      <c r="U64" s="2">
        <f t="shared" si="7"/>
        <v>14299.25</v>
      </c>
      <c r="V64" s="2">
        <f t="shared" si="7"/>
        <v>16733.03</v>
      </c>
      <c r="Z64" s="1" t="str">
        <f>IF('SPT-01'!$D64="","",'SPT-01'!$D64)</f>
        <v>Gravas</v>
      </c>
      <c r="AA64" s="1" t="str">
        <f>IF('SPT-02'!$D64="","",'SPT-02'!$D64)</f>
        <v>Areias</v>
      </c>
      <c r="AB64" s="1" t="str">
        <f>IF('SPT-03'!$D64="","",'SPT-03'!$D64)</f>
        <v>Areias</v>
      </c>
      <c r="AC64" s="1" t="str">
        <f>IF('SPT-04'!$D64="","",'SPT-04'!$D64)</f>
        <v>Areias</v>
      </c>
      <c r="AD64" s="1" t="str">
        <f>IF('SPT-05'!$D64="","",'SPT-05'!$D64)</f>
        <v>Gravas</v>
      </c>
      <c r="AE64" s="1" t="str">
        <f>IF('SPT-06'!$D64="","",'SPT-06'!$D64)</f>
        <v>Areias</v>
      </c>
      <c r="AF64" s="1" t="str">
        <f>IF('SPT-01'!$E64="","",'SPT-01'!$E64)</f>
        <v>GW-GM</v>
      </c>
      <c r="AG64" s="1" t="str">
        <f>IF('SPT-02'!$E64="","",'SPT-02'!$E64)</f>
        <v>SP-SM</v>
      </c>
      <c r="AH64" s="1" t="str">
        <f>IF('SPT-03'!$E64="","",'SPT-03'!$E64)</f>
        <v>SM</v>
      </c>
      <c r="AI64" s="1" t="str">
        <f>IF('SPT-04'!$E64="","",'SPT-04'!$E64)</f>
        <v>SP-SM</v>
      </c>
      <c r="AJ64" s="1" t="str">
        <f>IF('SPT-05'!$E64="","",'SPT-05'!$E64)</f>
        <v>GW-GM</v>
      </c>
      <c r="AK64" s="1" t="str">
        <f>IF('SPT-06'!$E64="","",'SPT-06'!$E64)</f>
        <v>SP</v>
      </c>
    </row>
    <row r="65" spans="1:37" x14ac:dyDescent="0.25">
      <c r="A65" s="1">
        <v>37.799999999999997</v>
      </c>
      <c r="B65" s="1">
        <v>38.4</v>
      </c>
      <c r="C65" s="1">
        <f>ROUNDDOWN(_xlfn.PERCENTILE.INC('SPT-01:SPT-06'!C65, 0.15),0)</f>
        <v>44</v>
      </c>
      <c r="D65" s="1" t="str" cm="1">
        <f t="array" ref="D65">_xlfn.LET(_xlpm.linha, Z65:AE65, _xlpm.contagens, IF(_xlpm.linha="", 0, COUNTIF(_xlpm.linha, _xlpm.linha)), INDEX(_xlpm.linha, MATCH(MAX(_xlpm.contagens), _xlpm.contagens, 0)))</f>
        <v>Areias</v>
      </c>
      <c r="E65" s="1" t="str" cm="1">
        <f t="array" ref="E65">_xlfn.LET(_xlpm.linha, AF65:AK65, _xlpm.contagens, IF(_xlpm.linha="", 0, COUNTIF(_xlpm.linha, _xlpm.linha)), INDEX(_xlpm.linha, MATCH(MAX(_xlpm.contagens), _xlpm.contagens, 0)))</f>
        <v>GW-GM</v>
      </c>
      <c r="F65" s="1" cm="1">
        <f t="array" ref="F65">_xlfn.XLOOKUP(D65,'TABELA AUXILIAR'!$A$2:$A$5,IF('SPT médio'!A65&lt;3,'TABELA AUXILIAR'!$B$2:$B$5,'TABELA AUXILIAR'!$C$2:$C$5),"",0,1)</f>
        <v>8.5</v>
      </c>
      <c r="G65" s="6">
        <f t="shared" si="1"/>
        <v>86.250627707059664</v>
      </c>
      <c r="H65" s="2">
        <f t="shared" si="2"/>
        <v>42.619764623672921</v>
      </c>
      <c r="I65" s="2">
        <f t="shared" si="3"/>
        <v>1683.9031712560552</v>
      </c>
      <c r="J65" s="1">
        <f t="shared" si="8"/>
        <v>389.25000000000063</v>
      </c>
      <c r="K65" s="1">
        <f t="shared" si="4"/>
        <v>0.80097151179100767</v>
      </c>
      <c r="L65" s="1">
        <f t="shared" si="5"/>
        <v>311.77816096465023</v>
      </c>
      <c r="M65" s="1">
        <f t="shared" si="6"/>
        <v>2766.9104508023975</v>
      </c>
      <c r="N65" s="1">
        <f>$L65*'TABELA AUXILIAR'!$I$3*(B65-A65)</f>
        <v>703.37153113625243</v>
      </c>
      <c r="O65" s="1">
        <f>$L65*'TABELA AUXILIAR'!$I$4*(B65-A65)</f>
        <v>763.23293804146556</v>
      </c>
      <c r="P65" s="1">
        <f>$L65*'TABELA AUXILIAR'!$I$5*(B65-A65)</f>
        <v>881.08508288610369</v>
      </c>
      <c r="Q65" s="1">
        <f>$M65*'TABELA AUXILIAR'!$J$3+SUM(N$2:N65)</f>
        <v>27859.393842047932</v>
      </c>
      <c r="R65" s="1">
        <f>$M65*'TABELA AUXILIAR'!$J$4+SUM(O$2:O65)</f>
        <v>30490.024702818799</v>
      </c>
      <c r="S65" s="1">
        <f>$M65*'TABELA AUXILIAR'!$J$5+SUM(P$2:P65)</f>
        <v>35851.522367811209</v>
      </c>
      <c r="T65" s="2">
        <f t="shared" si="7"/>
        <v>13929.69</v>
      </c>
      <c r="U65" s="2">
        <f t="shared" si="7"/>
        <v>15245.01</v>
      </c>
      <c r="V65" s="2">
        <f t="shared" si="7"/>
        <v>17925.759999999998</v>
      </c>
      <c r="Z65" s="1" t="str">
        <f>IF('SPT-01'!$D65="","",'SPT-01'!$D65)</f>
        <v>Gravas</v>
      </c>
      <c r="AA65" s="1" t="str">
        <f>IF('SPT-02'!$D65="","",'SPT-02'!$D65)</f>
        <v>Areias</v>
      </c>
      <c r="AB65" s="1" t="str">
        <f>IF('SPT-03'!$D65="","",'SPT-03'!$D65)</f>
        <v>Areias</v>
      </c>
      <c r="AC65" s="1" t="str">
        <f>IF('SPT-04'!$D65="","",'SPT-04'!$D65)</f>
        <v>Areias</v>
      </c>
      <c r="AD65" s="1" t="str">
        <f>IF('SPT-05'!$D65="","",'SPT-05'!$D65)</f>
        <v>Gravas</v>
      </c>
      <c r="AE65" s="1" t="str">
        <f>IF('SPT-06'!$D65="","",'SPT-06'!$D65)</f>
        <v>Areias</v>
      </c>
      <c r="AF65" s="1" t="str">
        <f>IF('SPT-01'!$E65="","",'SPT-01'!$E65)</f>
        <v>GW-GM</v>
      </c>
      <c r="AG65" s="1" t="str">
        <f>IF('SPT-02'!$E65="","",'SPT-02'!$E65)</f>
        <v>SP-SM</v>
      </c>
      <c r="AH65" s="1" t="str">
        <f>IF('SPT-03'!$E65="","",'SPT-03'!$E65)</f>
        <v>SM</v>
      </c>
      <c r="AI65" s="1" t="str">
        <f>IF('SPT-04'!$E65="","",'SPT-04'!$E65)</f>
        <v>SP-SM</v>
      </c>
      <c r="AJ65" s="1" t="str">
        <f>IF('SPT-05'!$E65="","",'SPT-05'!$E65)</f>
        <v>GW-GM</v>
      </c>
      <c r="AK65" s="1" t="str">
        <f>IF('SPT-06'!$E65="","",'SPT-06'!$E65)</f>
        <v>SP</v>
      </c>
    </row>
    <row r="66" spans="1:37" x14ac:dyDescent="0.25">
      <c r="A66" s="1">
        <v>38.4</v>
      </c>
      <c r="B66" s="1">
        <v>39</v>
      </c>
      <c r="C66" s="1">
        <f>ROUNDDOWN(_xlfn.PERCENTILE.INC('SPT-01:SPT-06'!C66, 0.15),0)</f>
        <v>47</v>
      </c>
      <c r="D66" s="1" t="str" cm="1">
        <f t="array" ref="D66">_xlfn.LET(_xlpm.linha, Z66:AE66, _xlpm.contagens, IF(_xlpm.linha="", 0, COUNTIF(_xlpm.linha, _xlpm.linha)), INDEX(_xlpm.linha, MATCH(MAX(_xlpm.contagens), _xlpm.contagens, 0)))</f>
        <v>Areias</v>
      </c>
      <c r="E66" s="1" t="str" cm="1">
        <f t="array" ref="E66">_xlfn.LET(_xlpm.linha, AF66:AK66, _xlpm.contagens, IF(_xlpm.linha="", 0, COUNTIF(_xlpm.linha, _xlpm.linha)), INDEX(_xlpm.linha, MATCH(MAX(_xlpm.contagens), _xlpm.contagens, 0)))</f>
        <v>GW-GM</v>
      </c>
      <c r="F66" s="1" cm="1">
        <f t="array" ref="F66">_xlfn.XLOOKUP(D66,'TABELA AUXILIAR'!$A$2:$A$5,IF('SPT médio'!A66&lt;3,'TABELA AUXILIAR'!$B$2:$B$5,'TABELA AUXILIAR'!$C$2:$C$5),"",0,1)</f>
        <v>8.5</v>
      </c>
      <c r="G66" s="6">
        <f t="shared" si="1"/>
        <v>92.732946189492068</v>
      </c>
      <c r="H66" s="2">
        <f t="shared" si="2"/>
        <v>42.883300293008602</v>
      </c>
      <c r="I66" s="2">
        <f t="shared" si="3"/>
        <v>1784.4095938992991</v>
      </c>
      <c r="J66" s="1">
        <f t="shared" si="8"/>
        <v>394.35000000000065</v>
      </c>
      <c r="K66" s="1">
        <f t="shared" si="4"/>
        <v>0.82888122415646193</v>
      </c>
      <c r="L66" s="1">
        <f t="shared" si="5"/>
        <v>326.86931074610129</v>
      </c>
      <c r="M66" s="1">
        <f t="shared" si="6"/>
        <v>2939.7011564313148</v>
      </c>
      <c r="N66" s="1">
        <f>$L66*'TABELA AUXILIAR'!$I$3*(B66-A66)</f>
        <v>737.41716504320618</v>
      </c>
      <c r="O66" s="1">
        <f>$L66*'TABELA AUXILIAR'!$I$4*(B66-A66)</f>
        <v>800.17607270645783</v>
      </c>
      <c r="P66" s="1">
        <f>$L66*'TABELA AUXILIAR'!$I$5*(B66-A66)</f>
        <v>923.73267216848444</v>
      </c>
      <c r="Q66" s="1">
        <f>$M66*'TABELA AUXILIAR'!$J$3+SUM(N$2:N66)</f>
        <v>28792.064504451817</v>
      </c>
      <c r="R66" s="1">
        <f>$M66*'TABELA AUXILIAR'!$J$4+SUM(O$2:O66)</f>
        <v>31518.284506955428</v>
      </c>
      <c r="S66" s="1">
        <f>$M66*'TABELA AUXILIAR'!$J$5+SUM(P$2:P66)</f>
        <v>37079.36668188659</v>
      </c>
      <c r="T66" s="2">
        <f t="shared" si="7"/>
        <v>14396.03</v>
      </c>
      <c r="U66" s="2">
        <f t="shared" si="7"/>
        <v>15759.14</v>
      </c>
      <c r="V66" s="2">
        <f t="shared" si="7"/>
        <v>18539.68</v>
      </c>
      <c r="Z66" s="1" t="str">
        <f>IF('SPT-01'!$D66="","",'SPT-01'!$D66)</f>
        <v>Gravas</v>
      </c>
      <c r="AA66" s="1" t="str">
        <f>IF('SPT-02'!$D66="","",'SPT-02'!$D66)</f>
        <v>Areias</v>
      </c>
      <c r="AB66" s="1" t="str">
        <f>IF('SPT-03'!$D66="","",'SPT-03'!$D66)</f>
        <v>Areias</v>
      </c>
      <c r="AC66" s="1" t="str">
        <f>IF('SPT-04'!$D66="","",'SPT-04'!$D66)</f>
        <v>Areias</v>
      </c>
      <c r="AD66" s="1" t="str">
        <f>IF('SPT-05'!$D66="","",'SPT-05'!$D66)</f>
        <v>Gravas</v>
      </c>
      <c r="AE66" s="1" t="str">
        <f>IF('SPT-06'!$D66="","",'SPT-06'!$D66)</f>
        <v>Areias</v>
      </c>
      <c r="AF66" s="1" t="str">
        <f>IF('SPT-01'!$E66="","",'SPT-01'!$E66)</f>
        <v>GW-GM</v>
      </c>
      <c r="AG66" s="1" t="str">
        <f>IF('SPT-02'!$E66="","",'SPT-02'!$E66)</f>
        <v>SP-SM</v>
      </c>
      <c r="AH66" s="1" t="str">
        <f>IF('SPT-03'!$E66="","",'SPT-03'!$E66)</f>
        <v>SM</v>
      </c>
      <c r="AI66" s="1" t="str">
        <f>IF('SPT-04'!$E66="","",'SPT-04'!$E66)</f>
        <v>SP-SM</v>
      </c>
      <c r="AJ66" s="1" t="str">
        <f>IF('SPT-05'!$E66="","",'SPT-05'!$E66)</f>
        <v>GW-GM</v>
      </c>
      <c r="AK66" s="1" t="str">
        <f>IF('SPT-06'!$E66="","",'SPT-06'!$E66)</f>
        <v>SP</v>
      </c>
    </row>
    <row r="67" spans="1:37" x14ac:dyDescent="0.25">
      <c r="A67" s="1">
        <v>39</v>
      </c>
      <c r="B67" s="1">
        <v>39.6</v>
      </c>
      <c r="C67" s="1">
        <f>ROUNDDOWN(_xlfn.PERCENTILE.INC('SPT-01:SPT-06'!C67, 0.15),0)</f>
        <v>46</v>
      </c>
      <c r="D67" s="1" t="str" cm="1">
        <f t="array" ref="D67">_xlfn.LET(_xlpm.linha, Z67:AE67, _xlpm.contagens, IF(_xlpm.linha="", 0, COUNTIF(_xlpm.linha, _xlpm.linha)), INDEX(_xlpm.linha, MATCH(MAX(_xlpm.contagens), _xlpm.contagens, 0)))</f>
        <v>Areias</v>
      </c>
      <c r="E67" s="1" t="str" cm="1">
        <f t="array" ref="E67">_xlfn.LET(_xlpm.linha, AF67:AK67, _xlpm.contagens, IF(_xlpm.linha="", 0, COUNTIF(_xlpm.linha, _xlpm.linha)), INDEX(_xlpm.linha, MATCH(MAX(_xlpm.contagens), _xlpm.contagens, 0)))</f>
        <v>SM</v>
      </c>
      <c r="F67" s="1" cm="1">
        <f t="array" ref="F67">_xlfn.XLOOKUP(D67,'TABELA AUXILIAR'!$A$2:$A$5,IF('SPT médio'!A67&lt;3,'TABELA AUXILIAR'!$B$2:$B$5,'TABELA AUXILIAR'!$C$2:$C$5),"",0,1)</f>
        <v>8.5</v>
      </c>
      <c r="G67" s="6">
        <f t="shared" ref="G67:G75" si="9">C67 / MIN(2, SQRT(101.3/J67))</f>
        <v>91.344903588807739</v>
      </c>
      <c r="H67" s="2">
        <f t="shared" ref="H67:H75" si="10">27.5+9.2*LOG10(C67)</f>
        <v>42.797372051470482</v>
      </c>
      <c r="I67" s="2">
        <f t="shared" ref="I67:I75" si="11">IF(D67="Areias",101.3*0.47*(G67)^0.8,101.3*0.15*(G67))</f>
        <v>1763.0099391862379</v>
      </c>
      <c r="J67" s="1">
        <f t="shared" si="8"/>
        <v>399.45000000000067</v>
      </c>
      <c r="K67" s="1">
        <f t="shared" ref="K67:K75" si="12">(1-SIN(RADIANS(H67)))*(I67/J67)^SIN(RADIANS(H67))*TAN(RADIANS(H67))</f>
        <v>0.81396511408247652</v>
      </c>
      <c r="L67" s="1">
        <f t="shared" ref="L67:L75" si="13">K67*J67</f>
        <v>325.13836482024578</v>
      </c>
      <c r="M67" s="1">
        <f t="shared" ref="M67:M75" si="14">0.59*(G67*101.3/J67)^0.8*J67</f>
        <v>2911.920476844014</v>
      </c>
      <c r="N67" s="1">
        <f>$L67*'TABELA AUXILIAR'!$I$3*(B67-A67)</f>
        <v>733.51215103447623</v>
      </c>
      <c r="O67" s="1">
        <f>$L67*'TABELA AUXILIAR'!$I$4*(B67-A67)</f>
        <v>795.93871707996357</v>
      </c>
      <c r="P67" s="1">
        <f>$L67*'TABELA AUXILIAR'!$I$5*(B67-A67)</f>
        <v>918.84101898201675</v>
      </c>
      <c r="Q67" s="1">
        <f>$M67*'TABELA AUXILIAR'!$J$3+SUM(N$2:N67)</f>
        <v>29494.18448755264</v>
      </c>
      <c r="R67" s="1">
        <f>$M67*'TABELA AUXILIAR'!$J$4+SUM(O$2:O67)</f>
        <v>32277.552726980153</v>
      </c>
      <c r="S67" s="1">
        <f>$M67*'TABELA AUXILIAR'!$J$5+SUM(P$2:P67)</f>
        <v>37949.313704794949</v>
      </c>
      <c r="T67" s="2">
        <f t="shared" ref="T67:V75" si="15">ROUNDDOWN(Q67/2,2)</f>
        <v>14747.09</v>
      </c>
      <c r="U67" s="2">
        <f t="shared" si="15"/>
        <v>16138.77</v>
      </c>
      <c r="V67" s="2">
        <f t="shared" si="15"/>
        <v>18974.650000000001</v>
      </c>
      <c r="Z67" s="1" t="str">
        <f>IF('SPT-01'!$D67="","",'SPT-01'!$D67)</f>
        <v>Gravas</v>
      </c>
      <c r="AA67" s="1" t="str">
        <f>IF('SPT-02'!$D67="","",'SPT-02'!$D67)</f>
        <v>Areias</v>
      </c>
      <c r="AB67" s="1" t="str">
        <f>IF('SPT-03'!$D67="","",'SPT-03'!$D67)</f>
        <v>Areias</v>
      </c>
      <c r="AC67" s="1" t="str">
        <f>IF('SPT-04'!$D67="","",'SPT-04'!$D67)</f>
        <v>Areias</v>
      </c>
      <c r="AD67" s="1" t="str">
        <f>IF('SPT-05'!$D67="","",'SPT-05'!$D67)</f>
        <v>Areias</v>
      </c>
      <c r="AE67" s="1" t="str">
        <f>IF('SPT-06'!$D67="","",'SPT-06'!$D67)</f>
        <v>Areias</v>
      </c>
      <c r="AF67" s="1" t="str">
        <f>IF('SPT-01'!$E67="","",'SPT-01'!$E67)</f>
        <v>GW-GM</v>
      </c>
      <c r="AG67" s="1" t="str">
        <f>IF('SPT-02'!$E67="","",'SPT-02'!$E67)</f>
        <v>SP-SM</v>
      </c>
      <c r="AH67" s="1" t="str">
        <f>IF('SPT-03'!$E67="","",'SPT-03'!$E67)</f>
        <v>SM</v>
      </c>
      <c r="AI67" s="1" t="str">
        <f>IF('SPT-04'!$E67="","",'SPT-04'!$E67)</f>
        <v>SW-SM</v>
      </c>
      <c r="AJ67" s="1" t="str">
        <f>IF('SPT-05'!$E67="","",'SPT-05'!$E67)</f>
        <v>SM</v>
      </c>
      <c r="AK67" s="1" t="str">
        <f>IF('SPT-06'!$E67="","",'SPT-06'!$E67)</f>
        <v>SP</v>
      </c>
    </row>
    <row r="68" spans="1:37" x14ac:dyDescent="0.25">
      <c r="A68" s="1">
        <v>39.6</v>
      </c>
      <c r="B68" s="1">
        <v>40.200000000000003</v>
      </c>
      <c r="C68" s="1">
        <f>ROUNDDOWN(_xlfn.PERCENTILE.INC('SPT-01:SPT-06'!C68, 0.15),0)</f>
        <v>50</v>
      </c>
      <c r="D68" s="1" t="str" cm="1">
        <f t="array" ref="D68">_xlfn.LET(_xlpm.linha, Z68:AE68, _xlpm.contagens, IF(_xlpm.linha="", 0, COUNTIF(_xlpm.linha, _xlpm.linha)), INDEX(_xlpm.linha, MATCH(MAX(_xlpm.contagens), _xlpm.contagens, 0)))</f>
        <v>Areias</v>
      </c>
      <c r="E68" s="1" t="str" cm="1">
        <f t="array" ref="E68">_xlfn.LET(_xlpm.linha, AF68:AK68, _xlpm.contagens, IF(_xlpm.linha="", 0, COUNTIF(_xlpm.linha, _xlpm.linha)), INDEX(_xlpm.linha, MATCH(MAX(_xlpm.contagens), _xlpm.contagens, 0)))</f>
        <v>SM</v>
      </c>
      <c r="F68" s="1" cm="1">
        <f t="array" ref="F68">_xlfn.XLOOKUP(D68,'TABELA AUXILIAR'!$A$2:$A$5,IF('SPT médio'!A68&lt;3,'TABELA AUXILIAR'!$B$2:$B$5,'TABELA AUXILIAR'!$C$2:$C$5),"",0,1)</f>
        <v>8.5</v>
      </c>
      <c r="G68" s="6">
        <f t="shared" si="9"/>
        <v>99.919760503081221</v>
      </c>
      <c r="H68" s="2">
        <f t="shared" si="10"/>
        <v>43.13052403989137</v>
      </c>
      <c r="I68" s="2">
        <f t="shared" si="11"/>
        <v>1894.2112465178227</v>
      </c>
      <c r="J68" s="1">
        <f t="shared" ref="J68:J75" si="16">J67+(B67-A67)/2*F67+(B68-A68)/2*F68</f>
        <v>404.55000000000069</v>
      </c>
      <c r="K68" s="1">
        <f t="shared" si="12"/>
        <v>0.85144269871648814</v>
      </c>
      <c r="L68" s="1">
        <f t="shared" si="13"/>
        <v>344.45114376575589</v>
      </c>
      <c r="M68" s="1">
        <f t="shared" si="14"/>
        <v>3136.5709552623462</v>
      </c>
      <c r="N68" s="1">
        <f>$L68*'TABELA AUXILIAR'!$I$3*(B68-A68)</f>
        <v>777.08178033554702</v>
      </c>
      <c r="O68" s="1">
        <f>$L68*'TABELA AUXILIAR'!$I$4*(B68-A68)</f>
        <v>843.21639993857241</v>
      </c>
      <c r="P68" s="1">
        <f>$L68*'TABELA AUXILIAR'!$I$5*(B68-A68)</f>
        <v>973.41893228202844</v>
      </c>
      <c r="Q68" s="1">
        <f>$M68*'TABELA AUXILIAR'!$J$3+SUM(N$2:N68)</f>
        <v>30525.121308500904</v>
      </c>
      <c r="R68" s="1">
        <f>$M68*'TABELA AUXILIAR'!$J$4+SUM(O$2:O68)</f>
        <v>33417.307758430929</v>
      </c>
      <c r="S68" s="1">
        <f>$M68*'TABELA AUXILIAR'!$J$5+SUM(P$2:P68)</f>
        <v>39318.117479093249</v>
      </c>
      <c r="T68" s="2">
        <f t="shared" si="15"/>
        <v>15262.56</v>
      </c>
      <c r="U68" s="2">
        <f t="shared" si="15"/>
        <v>16708.650000000001</v>
      </c>
      <c r="V68" s="2">
        <f t="shared" si="15"/>
        <v>19659.05</v>
      </c>
      <c r="Z68" s="1" t="str">
        <f>IF('SPT-01'!$D68="","",'SPT-01'!$D68)</f>
        <v>Gravas</v>
      </c>
      <c r="AA68" s="1" t="str">
        <f>IF('SPT-02'!$D68="","",'SPT-02'!$D68)</f>
        <v>Areias</v>
      </c>
      <c r="AB68" s="1" t="str">
        <f>IF('SPT-03'!$D68="","",'SPT-03'!$D68)</f>
        <v>Areias</v>
      </c>
      <c r="AC68" s="1" t="str">
        <f>IF('SPT-04'!$D68="","",'SPT-04'!$D68)</f>
        <v>Areias</v>
      </c>
      <c r="AD68" s="1" t="str">
        <f>IF('SPT-05'!$D68="","",'SPT-05'!$D68)</f>
        <v>Areias</v>
      </c>
      <c r="AE68" s="1" t="str">
        <f>IF('SPT-06'!$D68="","",'SPT-06'!$D68)</f>
        <v>Areias</v>
      </c>
      <c r="AF68" s="1" t="str">
        <f>IF('SPT-01'!$E68="","",'SPT-01'!$E68)</f>
        <v>GW-GM</v>
      </c>
      <c r="AG68" s="1" t="str">
        <f>IF('SPT-02'!$E68="","",'SPT-02'!$E68)</f>
        <v>SP-SM</v>
      </c>
      <c r="AH68" s="1" t="str">
        <f>IF('SPT-03'!$E68="","",'SPT-03'!$E68)</f>
        <v>SM</v>
      </c>
      <c r="AI68" s="1" t="str">
        <f>IF('SPT-04'!$E68="","",'SPT-04'!$E68)</f>
        <v>SW-SM</v>
      </c>
      <c r="AJ68" s="1" t="str">
        <f>IF('SPT-05'!$E68="","",'SPT-05'!$E68)</f>
        <v>SM</v>
      </c>
      <c r="AK68" s="1" t="str">
        <f>IF('SPT-06'!$E68="","",'SPT-06'!$E68)</f>
        <v>SP</v>
      </c>
    </row>
    <row r="69" spans="1:37" x14ac:dyDescent="0.25">
      <c r="A69" s="1">
        <v>40.200000000000003</v>
      </c>
      <c r="B69" s="1">
        <v>40.799999999999997</v>
      </c>
      <c r="C69" s="1">
        <f>ROUNDDOWN(_xlfn.PERCENTILE.INC('SPT-01:SPT-06'!C69, 0.15),0)</f>
        <v>50</v>
      </c>
      <c r="D69" s="1" t="str" cm="1">
        <f t="array" ref="D69">_xlfn.LET(_xlpm.linha, Z69:AE69, _xlpm.contagens, IF(_xlpm.linha="", 0, COUNTIF(_xlpm.linha, _xlpm.linha)), INDEX(_xlpm.linha, MATCH(MAX(_xlpm.contagens), _xlpm.contagens, 0)))</f>
        <v>Areias</v>
      </c>
      <c r="E69" s="1" t="str" cm="1">
        <f t="array" ref="E69">_xlfn.LET(_xlpm.linha, AF69:AK69, _xlpm.contagens, IF(_xlpm.linha="", 0, COUNTIF(_xlpm.linha, _xlpm.linha)), INDEX(_xlpm.linha, MATCH(MAX(_xlpm.contagens), _xlpm.contagens, 0)))</f>
        <v>SM</v>
      </c>
      <c r="F69" s="1" cm="1">
        <f t="array" ref="F69">_xlfn.XLOOKUP(D69,'TABELA AUXILIAR'!$A$2:$A$5,IF('SPT médio'!A69&lt;3,'TABELA AUXILIAR'!$B$2:$B$5,'TABELA AUXILIAR'!$C$2:$C$5),"",0,1)</f>
        <v>8.5</v>
      </c>
      <c r="G69" s="6">
        <f t="shared" si="9"/>
        <v>100.54761215449327</v>
      </c>
      <c r="H69" s="2">
        <f t="shared" si="10"/>
        <v>43.13052403989137</v>
      </c>
      <c r="I69" s="2">
        <f t="shared" si="11"/>
        <v>1903.7271879630857</v>
      </c>
      <c r="J69" s="1">
        <f t="shared" si="16"/>
        <v>409.65000000000066</v>
      </c>
      <c r="K69" s="1">
        <f t="shared" si="12"/>
        <v>0.84707846620287752</v>
      </c>
      <c r="L69" s="1">
        <f t="shared" si="13"/>
        <v>347.00569368000936</v>
      </c>
      <c r="M69" s="1">
        <f t="shared" si="14"/>
        <v>3160.2363835834981</v>
      </c>
      <c r="N69" s="1">
        <f>$L69*'TABELA AUXILIAR'!$I$3*(B69-A69)</f>
        <v>782.84484494209357</v>
      </c>
      <c r="O69" s="1">
        <f>$L69*'TABELA AUXILIAR'!$I$4*(B69-A69)</f>
        <v>849.4699381286548</v>
      </c>
      <c r="P69" s="1">
        <f>$L69*'TABELA AUXILIAR'!$I$5*(B69-A69)</f>
        <v>980.63809033969721</v>
      </c>
      <c r="Q69" s="1">
        <f>$M69*'TABELA AUXILIAR'!$J$3+SUM(N$2:N69)</f>
        <v>31334.708087445899</v>
      </c>
      <c r="R69" s="1">
        <f>$M69*'TABELA AUXILIAR'!$J$4+SUM(O$2:O69)</f>
        <v>34298.016061943505</v>
      </c>
      <c r="S69" s="1">
        <f>$M69*'TABELA AUXILIAR'!$J$5+SUM(P$2:P69)</f>
        <v>40340.406723278174</v>
      </c>
      <c r="T69" s="2">
        <f t="shared" si="15"/>
        <v>15667.35</v>
      </c>
      <c r="U69" s="2">
        <f t="shared" si="15"/>
        <v>17149</v>
      </c>
      <c r="V69" s="2">
        <f t="shared" si="15"/>
        <v>20170.2</v>
      </c>
      <c r="Z69" s="1" t="str">
        <f>IF('SPT-01'!$D69="","",'SPT-01'!$D69)</f>
        <v>Gravas</v>
      </c>
      <c r="AA69" s="1" t="str">
        <f>IF('SPT-02'!$D69="","",'SPT-02'!$D69)</f>
        <v>Areias</v>
      </c>
      <c r="AB69" s="1" t="str">
        <f>IF('SPT-03'!$D69="","",'SPT-03'!$D69)</f>
        <v>Areias</v>
      </c>
      <c r="AC69" s="1" t="str">
        <f>IF('SPT-04'!$D69="","",'SPT-04'!$D69)</f>
        <v>Areias</v>
      </c>
      <c r="AD69" s="1" t="str">
        <f>IF('SPT-05'!$D69="","",'SPT-05'!$D69)</f>
        <v>Areias</v>
      </c>
      <c r="AE69" s="1" t="str">
        <f>IF('SPT-06'!$D69="","",'SPT-06'!$D69)</f>
        <v>Areias</v>
      </c>
      <c r="AF69" s="1" t="str">
        <f>IF('SPT-01'!$E69="","",'SPT-01'!$E69)</f>
        <v>GW-GM</v>
      </c>
      <c r="AG69" s="1" t="str">
        <f>IF('SPT-02'!$E69="","",'SPT-02'!$E69)</f>
        <v>SP-SM</v>
      </c>
      <c r="AH69" s="1" t="str">
        <f>IF('SPT-03'!$E69="","",'SPT-03'!$E69)</f>
        <v>SM</v>
      </c>
      <c r="AI69" s="1" t="str">
        <f>IF('SPT-04'!$E69="","",'SPT-04'!$E69)</f>
        <v>SW-SM</v>
      </c>
      <c r="AJ69" s="1" t="str">
        <f>IF('SPT-05'!$E69="","",'SPT-05'!$E69)</f>
        <v>SM</v>
      </c>
      <c r="AK69" s="1" t="str">
        <f>IF('SPT-06'!$E69="","",'SPT-06'!$E69)</f>
        <v>SP</v>
      </c>
    </row>
    <row r="70" spans="1:37" x14ac:dyDescent="0.25">
      <c r="A70" s="1">
        <v>40.799999999999997</v>
      </c>
      <c r="B70" s="1">
        <v>41.4</v>
      </c>
      <c r="C70" s="1">
        <f>ROUNDDOWN(_xlfn.PERCENTILE.INC('SPT-01:SPT-06'!C70, 0.15),0)</f>
        <v>44</v>
      </c>
      <c r="D70" s="1" t="str" cm="1">
        <f t="array" ref="D70">_xlfn.LET(_xlpm.linha, Z70:AE70, _xlpm.contagens, IF(_xlpm.linha="", 0, COUNTIF(_xlpm.linha, _xlpm.linha)), INDEX(_xlpm.linha, MATCH(MAX(_xlpm.contagens), _xlpm.contagens, 0)))</f>
        <v>Areias</v>
      </c>
      <c r="E70" s="1" t="str" cm="1">
        <f t="array" ref="E70">_xlfn.LET(_xlpm.linha, AF70:AK70, _xlpm.contagens, IF(_xlpm.linha="", 0, COUNTIF(_xlpm.linha, _xlpm.linha)), INDEX(_xlpm.linha, MATCH(MAX(_xlpm.contagens), _xlpm.contagens, 0)))</f>
        <v>SP</v>
      </c>
      <c r="F70" s="1" cm="1">
        <f t="array" ref="F70">_xlfn.XLOOKUP(D70,'TABELA AUXILIAR'!$A$2:$A$5,IF('SPT médio'!A70&lt;3,'TABELA AUXILIAR'!$B$2:$B$5,'TABELA AUXILIAR'!$C$2:$C$5),"",0,1)</f>
        <v>8.5</v>
      </c>
      <c r="G70" s="6">
        <f t="shared" si="9"/>
        <v>89.030979445841751</v>
      </c>
      <c r="H70" s="2">
        <f t="shared" si="10"/>
        <v>42.619764623672921</v>
      </c>
      <c r="I70" s="2">
        <f t="shared" si="11"/>
        <v>1727.1904348567634</v>
      </c>
      <c r="J70" s="1">
        <f t="shared" si="16"/>
        <v>414.75000000000063</v>
      </c>
      <c r="K70" s="1">
        <f t="shared" si="12"/>
        <v>0.78058635463010084</v>
      </c>
      <c r="L70" s="1">
        <f t="shared" si="13"/>
        <v>323.74819058283481</v>
      </c>
      <c r="M70" s="1">
        <f t="shared" si="14"/>
        <v>2874.2845985976219</v>
      </c>
      <c r="N70" s="1">
        <f>$L70*'TABELA AUXILIAR'!$I$3*(B70-A70)</f>
        <v>730.37591795487697</v>
      </c>
      <c r="O70" s="1">
        <f>$L70*'TABELA AUXILIAR'!$I$4*(B70-A70)</f>
        <v>792.53557054678151</v>
      </c>
      <c r="P70" s="1">
        <f>$L70*'TABELA AUXILIAR'!$I$5*(B70-A70)</f>
        <v>914.91238658709324</v>
      </c>
      <c r="Q70" s="1">
        <f>$M70*'TABELA AUXILIAR'!$J$3+SUM(N$2:N70)</f>
        <v>31741.958488366734</v>
      </c>
      <c r="R70" s="1">
        <f>$M70*'TABELA AUXILIAR'!$J$4+SUM(O$2:O70)</f>
        <v>34713.09527630893</v>
      </c>
      <c r="S70" s="1">
        <f>$M70*'TABELA AUXILIAR'!$J$5+SUM(P$2:P70)</f>
        <v>40752.043968290127</v>
      </c>
      <c r="T70" s="2">
        <f t="shared" si="15"/>
        <v>15870.97</v>
      </c>
      <c r="U70" s="2">
        <f t="shared" si="15"/>
        <v>17356.54</v>
      </c>
      <c r="V70" s="2">
        <f t="shared" si="15"/>
        <v>20376.02</v>
      </c>
      <c r="Z70" s="1" t="str">
        <f>IF('SPT-01'!$D70="","",'SPT-01'!$D70)</f>
        <v>Areias</v>
      </c>
      <c r="AA70" s="1" t="str">
        <f>IF('SPT-02'!$D70="","",'SPT-02'!$D70)</f>
        <v>Areias</v>
      </c>
      <c r="AB70" s="1" t="str">
        <f>IF('SPT-03'!$D70="","",'SPT-03'!$D70)</f>
        <v>Areias</v>
      </c>
      <c r="AC70" s="1" t="str">
        <f>IF('SPT-04'!$D70="","",'SPT-04'!$D70)</f>
        <v>Areias</v>
      </c>
      <c r="AD70" s="1" t="str">
        <f>IF('SPT-05'!$D70="","",'SPT-05'!$D70)</f>
        <v>Areias</v>
      </c>
      <c r="AE70" s="1" t="str">
        <f>IF('SPT-06'!$D70="","",'SPT-06'!$D70)</f>
        <v>Areias</v>
      </c>
      <c r="AF70" s="1" t="str">
        <f>IF('SPT-01'!$E70="","",'SPT-01'!$E70)</f>
        <v>SP</v>
      </c>
      <c r="AG70" s="1" t="str">
        <f>IF('SPT-02'!$E70="","",'SPT-02'!$E70)</f>
        <v>SP-SM</v>
      </c>
      <c r="AH70" s="1" t="str">
        <f>IF('SPT-03'!$E70="","",'SPT-03'!$E70)</f>
        <v>SM</v>
      </c>
      <c r="AI70" s="1" t="str">
        <f>IF('SPT-04'!$E70="","",'SPT-04'!$E70)</f>
        <v>SW-SM</v>
      </c>
      <c r="AJ70" s="1" t="str">
        <f>IF('SPT-05'!$E70="","",'SPT-05'!$E70)</f>
        <v>SM</v>
      </c>
      <c r="AK70" s="1" t="str">
        <f>IF('SPT-06'!$E70="","",'SPT-06'!$E70)</f>
        <v>SP</v>
      </c>
    </row>
    <row r="71" spans="1:37" x14ac:dyDescent="0.25">
      <c r="A71" s="1">
        <v>41.4</v>
      </c>
      <c r="B71" s="1">
        <v>42</v>
      </c>
      <c r="C71" s="1">
        <f>ROUNDDOWN(_xlfn.PERCENTILE.INC('SPT-01:SPT-06'!C71, 0.15),0)</f>
        <v>32</v>
      </c>
      <c r="D71" s="1" t="str" cm="1">
        <f t="array" ref="D71">_xlfn.LET(_xlpm.linha, Z71:AE71, _xlpm.contagens, IF(_xlpm.linha="", 0, COUNTIF(_xlpm.linha, _xlpm.linha)), INDEX(_xlpm.linha, MATCH(MAX(_xlpm.contagens), _xlpm.contagens, 0)))</f>
        <v>Areias</v>
      </c>
      <c r="E71" s="1" t="str" cm="1">
        <f t="array" ref="E71">_xlfn.LET(_xlpm.linha, AF71:AK71, _xlpm.contagens, IF(_xlpm.linha="", 0, COUNTIF(_xlpm.linha, _xlpm.linha)), INDEX(_xlpm.linha, MATCH(MAX(_xlpm.contagens), _xlpm.contagens, 0)))</f>
        <v>SP</v>
      </c>
      <c r="F71" s="1" cm="1">
        <f t="array" ref="F71">_xlfn.XLOOKUP(D71,'TABELA AUXILIAR'!$A$2:$A$5,IF('SPT médio'!A71&lt;3,'TABELA AUXILIAR'!$B$2:$B$5,'TABELA AUXILIAR'!$C$2:$C$5),"",0,1)</f>
        <v>8.5</v>
      </c>
      <c r="G71" s="6">
        <f t="shared" si="9"/>
        <v>65.146686940691595</v>
      </c>
      <c r="H71" s="2">
        <f t="shared" si="10"/>
        <v>41.347379800543138</v>
      </c>
      <c r="I71" s="2">
        <f t="shared" si="11"/>
        <v>1345.3062840116902</v>
      </c>
      <c r="J71" s="1">
        <f t="shared" si="16"/>
        <v>419.85000000000065</v>
      </c>
      <c r="K71" s="1">
        <f t="shared" si="12"/>
        <v>0.64454633426190222</v>
      </c>
      <c r="L71" s="1">
        <f t="shared" si="13"/>
        <v>270.61277843986005</v>
      </c>
      <c r="M71" s="1">
        <f t="shared" si="14"/>
        <v>2244.2553386287223</v>
      </c>
      <c r="N71" s="1">
        <f>$L71*'TABELA AUXILIAR'!$I$3*(B71-A71)</f>
        <v>610.50242816032574</v>
      </c>
      <c r="O71" s="1">
        <f>$L71*'TABELA AUXILIAR'!$I$4*(B71-A71)</f>
        <v>662.46008162077896</v>
      </c>
      <c r="P71" s="1">
        <f>$L71*'TABELA AUXILIAR'!$I$5*(B71-A71)</f>
        <v>764.75171187104627</v>
      </c>
      <c r="Q71" s="1">
        <f>$M71*'TABELA AUXILIAR'!$J$3+SUM(N$2:N71)</f>
        <v>31640.527852762203</v>
      </c>
      <c r="R71" s="1">
        <f>$M71*'TABELA AUXILIAR'!$J$4+SUM(O$2:O71)</f>
        <v>34543.916734770755</v>
      </c>
      <c r="S71" s="1">
        <f>$M71*'TABELA AUXILIAR'!$J$5+SUM(P$2:P71)</f>
        <v>40407.944182615909</v>
      </c>
      <c r="T71" s="2">
        <f t="shared" si="15"/>
        <v>15820.26</v>
      </c>
      <c r="U71" s="2">
        <f t="shared" si="15"/>
        <v>17271.95</v>
      </c>
      <c r="V71" s="2">
        <f t="shared" si="15"/>
        <v>20203.97</v>
      </c>
      <c r="Z71" s="1" t="str">
        <f>IF('SPT-01'!$D71="","",'SPT-01'!$D71)</f>
        <v>Areias</v>
      </c>
      <c r="AA71" s="1" t="str">
        <f>IF('SPT-02'!$D71="","",'SPT-02'!$D71)</f>
        <v>Areias</v>
      </c>
      <c r="AB71" s="1" t="str">
        <f>IF('SPT-03'!$D71="","",'SPT-03'!$D71)</f>
        <v>Areias</v>
      </c>
      <c r="AC71" s="1" t="str">
        <f>IF('SPT-04'!$D71="","",'SPT-04'!$D71)</f>
        <v>Areias</v>
      </c>
      <c r="AD71" s="1" t="str">
        <f>IF('SPT-05'!$D71="","",'SPT-05'!$D71)</f>
        <v>Areias</v>
      </c>
      <c r="AE71" s="1" t="str">
        <f>IF('SPT-06'!$D71="","",'SPT-06'!$D71)</f>
        <v>Areias</v>
      </c>
      <c r="AF71" s="1" t="str">
        <f>IF('SPT-01'!$E71="","",'SPT-01'!$E71)</f>
        <v>SP</v>
      </c>
      <c r="AG71" s="1" t="str">
        <f>IF('SPT-02'!$E71="","",'SPT-02'!$E71)</f>
        <v>SW-SM</v>
      </c>
      <c r="AH71" s="1" t="str">
        <f>IF('SPT-03'!$E71="","",'SPT-03'!$E71)</f>
        <v>SM</v>
      </c>
      <c r="AI71" s="1" t="str">
        <f>IF('SPT-04'!$E71="","",'SPT-04'!$E71)</f>
        <v>SW-SM</v>
      </c>
      <c r="AJ71" s="1" t="str">
        <f>IF('SPT-05'!$E71="","",'SPT-05'!$E71)</f>
        <v>SM</v>
      </c>
      <c r="AK71" s="1" t="str">
        <f>IF('SPT-06'!$E71="","",'SPT-06'!$E71)</f>
        <v>SP</v>
      </c>
    </row>
    <row r="72" spans="1:37" x14ac:dyDescent="0.25">
      <c r="A72" s="1">
        <v>42</v>
      </c>
      <c r="B72" s="1">
        <v>42.6</v>
      </c>
      <c r="C72" s="1">
        <f>ROUNDDOWN(_xlfn.PERCENTILE.INC('SPT-01:SPT-06'!C72, 0.15),0)</f>
        <v>50</v>
      </c>
      <c r="D72" s="1" t="str" cm="1">
        <f t="array" ref="D72">_xlfn.LET(_xlpm.linha, Z72:AE72, _xlpm.contagens, IF(_xlpm.linha="", 0, COUNTIF(_xlpm.linha, _xlpm.linha)), INDEX(_xlpm.linha, MATCH(MAX(_xlpm.contagens), _xlpm.contagens, 0)))</f>
        <v>Areias</v>
      </c>
      <c r="E72" s="1" t="str" cm="1">
        <f t="array" ref="E72">_xlfn.LET(_xlpm.linha, AF72:AK72, _xlpm.contagens, IF(_xlpm.linha="", 0, COUNTIF(_xlpm.linha, _xlpm.linha)), INDEX(_xlpm.linha, MATCH(MAX(_xlpm.contagens), _xlpm.contagens, 0)))</f>
        <v>SM</v>
      </c>
      <c r="F72" s="1" cm="1">
        <f t="array" ref="F72">_xlfn.XLOOKUP(D72,'TABELA AUXILIAR'!$A$2:$A$5,IF('SPT médio'!A72&lt;3,'TABELA AUXILIAR'!$B$2:$B$5,'TABELA AUXILIAR'!$C$2:$C$5),"",0,1)</f>
        <v>8.5</v>
      </c>
      <c r="G72" s="6">
        <f t="shared" si="9"/>
        <v>102.40807401226863</v>
      </c>
      <c r="H72" s="2">
        <f t="shared" si="10"/>
        <v>43.13052403989137</v>
      </c>
      <c r="I72" s="2">
        <f t="shared" si="11"/>
        <v>1931.8556038960683</v>
      </c>
      <c r="J72" s="1">
        <f t="shared" si="16"/>
        <v>424.95000000000067</v>
      </c>
      <c r="K72" s="1">
        <f t="shared" si="12"/>
        <v>0.83443266407386563</v>
      </c>
      <c r="L72" s="1">
        <f t="shared" si="13"/>
        <v>354.59216059818976</v>
      </c>
      <c r="M72" s="1">
        <f t="shared" si="14"/>
        <v>3230.535318379144</v>
      </c>
      <c r="N72" s="1">
        <f>$L72*'TABELA AUXILIAR'!$I$3*(B72-A72)</f>
        <v>799.9599143095179</v>
      </c>
      <c r="O72" s="1">
        <f>$L72*'TABELA AUXILIAR'!$I$4*(B72-A72)</f>
        <v>868.04160914437057</v>
      </c>
      <c r="P72" s="1">
        <f>$L72*'TABELA AUXILIAR'!$I$5*(B72-A72)</f>
        <v>1002.0774458504866</v>
      </c>
      <c r="Q72" s="1">
        <f>$M72*'TABELA AUXILIAR'!$J$3+SUM(N$2:N72)</f>
        <v>33554.984144189701</v>
      </c>
      <c r="R72" s="1">
        <f>$M72*'TABELA AUXILIAR'!$J$4+SUM(O$2:O72)</f>
        <v>36713.847917185682</v>
      </c>
      <c r="S72" s="1">
        <f>$M72*'TABELA AUXILIAR'!$J$5+SUM(P$2:P72)</f>
        <v>43145.874392827136</v>
      </c>
      <c r="T72" s="2">
        <f t="shared" si="15"/>
        <v>16777.490000000002</v>
      </c>
      <c r="U72" s="2">
        <f t="shared" si="15"/>
        <v>18356.919999999998</v>
      </c>
      <c r="V72" s="2">
        <f t="shared" si="15"/>
        <v>21572.93</v>
      </c>
      <c r="Z72" s="1" t="str">
        <f>IF('SPT-01'!$D72="","",'SPT-01'!$D72)</f>
        <v>Areias</v>
      </c>
      <c r="AA72" s="1" t="str">
        <f>IF('SPT-02'!$D72="","",'SPT-02'!$D72)</f>
        <v>Areias</v>
      </c>
      <c r="AB72" s="1" t="str">
        <f>IF('SPT-03'!$D72="","",'SPT-03'!$D72)</f>
        <v>Areias</v>
      </c>
      <c r="AC72" s="1" t="str">
        <f>IF('SPT-04'!$D72="","",'SPT-04'!$D72)</f>
        <v>Gravas</v>
      </c>
      <c r="AD72" s="1" t="str">
        <f>IF('SPT-05'!$D72="","",'SPT-05'!$D72)</f>
        <v>Areias</v>
      </c>
      <c r="AE72" s="1" t="str">
        <f>IF('SPT-06'!$D72="","",'SPT-06'!$D72)</f>
        <v>Areias</v>
      </c>
      <c r="AF72" s="1" t="str">
        <f>IF('SPT-01'!$E72="","",'SPT-01'!$E72)</f>
        <v>SP</v>
      </c>
      <c r="AG72" s="1" t="str">
        <f>IF('SPT-02'!$E72="","",'SPT-02'!$E72)</f>
        <v>SW-SM</v>
      </c>
      <c r="AH72" s="1" t="str">
        <f>IF('SPT-03'!$E72="","",'SPT-03'!$E72)</f>
        <v>SM</v>
      </c>
      <c r="AI72" s="1" t="str">
        <f>IF('SPT-04'!$E72="","",'SPT-04'!$E72)</f>
        <v>GW-GM</v>
      </c>
      <c r="AJ72" s="1" t="str">
        <f>IF('SPT-05'!$E72="","",'SPT-05'!$E72)</f>
        <v>SM</v>
      </c>
      <c r="AK72" s="1" t="str">
        <f>IF('SPT-06'!$E72="","",'SPT-06'!$E72)</f>
        <v>SM</v>
      </c>
    </row>
    <row r="73" spans="1:37" x14ac:dyDescent="0.25">
      <c r="A73" s="1">
        <v>42.6</v>
      </c>
      <c r="B73" s="1">
        <v>43.2</v>
      </c>
      <c r="C73" s="1">
        <f>ROUNDDOWN(_xlfn.PERCENTILE.INC('SPT-01:SPT-06'!C73, 0.15),0)</f>
        <v>50</v>
      </c>
      <c r="D73" s="1" t="str" cm="1">
        <f t="array" ref="D73">_xlfn.LET(_xlpm.linha, Z73:AE73, _xlpm.contagens, IF(_xlpm.linha="", 0, COUNTIF(_xlpm.linha, _xlpm.linha)), INDEX(_xlpm.linha, MATCH(MAX(_xlpm.contagens), _xlpm.contagens, 0)))</f>
        <v>Areias</v>
      </c>
      <c r="E73" s="1" t="str" cm="1">
        <f t="array" ref="E73">_xlfn.LET(_xlpm.linha, AF73:AK73, _xlpm.contagens, IF(_xlpm.linha="", 0, COUNTIF(_xlpm.linha, _xlpm.linha)), INDEX(_xlpm.linha, MATCH(MAX(_xlpm.contagens), _xlpm.contagens, 0)))</f>
        <v>SM</v>
      </c>
      <c r="F73" s="1" cm="1">
        <f t="array" ref="F73">_xlfn.XLOOKUP(D73,'TABELA AUXILIAR'!$A$2:$A$5,IF('SPT médio'!A73&lt;3,'TABELA AUXILIAR'!$B$2:$B$5,'TABELA AUXILIAR'!$C$2:$C$5),"",0,1)</f>
        <v>8.5</v>
      </c>
      <c r="G73" s="6">
        <f t="shared" si="9"/>
        <v>103.02076195544072</v>
      </c>
      <c r="H73" s="2">
        <f t="shared" si="10"/>
        <v>43.13052403989137</v>
      </c>
      <c r="I73" s="2">
        <f t="shared" si="11"/>
        <v>1941.0964236026687</v>
      </c>
      <c r="J73" s="1">
        <f t="shared" si="16"/>
        <v>430.05000000000069</v>
      </c>
      <c r="K73" s="1">
        <f t="shared" si="12"/>
        <v>0.83035922324937272</v>
      </c>
      <c r="L73" s="1">
        <f t="shared" si="13"/>
        <v>357.09598395839333</v>
      </c>
      <c r="M73" s="1">
        <f t="shared" si="14"/>
        <v>3253.7423831484452</v>
      </c>
      <c r="N73" s="1">
        <f>$L73*'TABELA AUXILIAR'!$I$3*(B73-A73)</f>
        <v>805.60853981013724</v>
      </c>
      <c r="O73" s="1">
        <f>$L73*'TABELA AUXILIAR'!$I$4*(B73-A73)</f>
        <v>874.17096873014896</v>
      </c>
      <c r="P73" s="1">
        <f>$L73*'TABELA AUXILIAR'!$I$5*(B73-A73)</f>
        <v>1009.153250666422</v>
      </c>
      <c r="Q73" s="1">
        <f>$M73*'TABELA AUXILIAR'!$J$3+SUM(N$2:N73)</f>
        <v>34386.816667189145</v>
      </c>
      <c r="R73" s="1">
        <f>$M73*'TABELA AUXILIAR'!$J$4+SUM(O$2:O73)</f>
        <v>37618.65221141131</v>
      </c>
      <c r="S73" s="1">
        <f>$M73*'TABELA AUXILIAR'!$J$5+SUM(P$2:P73)</f>
        <v>44195.872077487533</v>
      </c>
      <c r="T73" s="2">
        <f t="shared" si="15"/>
        <v>17193.400000000001</v>
      </c>
      <c r="U73" s="2">
        <f t="shared" si="15"/>
        <v>18809.32</v>
      </c>
      <c r="V73" s="2">
        <f t="shared" si="15"/>
        <v>22097.93</v>
      </c>
      <c r="Z73" s="1" t="str">
        <f>IF('SPT-01'!$D73="","",'SPT-01'!$D73)</f>
        <v>Areias</v>
      </c>
      <c r="AA73" s="1" t="str">
        <f>IF('SPT-02'!$D73="","",'SPT-02'!$D73)</f>
        <v>Areias</v>
      </c>
      <c r="AB73" s="1" t="str">
        <f>IF('SPT-03'!$D73="","",'SPT-03'!$D73)</f>
        <v>Areias</v>
      </c>
      <c r="AC73" s="1" t="str">
        <f>IF('SPT-04'!$D73="","",'SPT-04'!$D73)</f>
        <v>Gravas</v>
      </c>
      <c r="AD73" s="1" t="str">
        <f>IF('SPT-05'!$D73="","",'SPT-05'!$D73)</f>
        <v>Areias</v>
      </c>
      <c r="AE73" s="1" t="str">
        <f>IF('SPT-06'!$D73="","",'SPT-06'!$D73)</f>
        <v>Areias</v>
      </c>
      <c r="AF73" s="1" t="str">
        <f>IF('SPT-01'!$E73="","",'SPT-01'!$E73)</f>
        <v>SP</v>
      </c>
      <c r="AG73" s="1" t="str">
        <f>IF('SPT-02'!$E73="","",'SPT-02'!$E73)</f>
        <v>SW-SM</v>
      </c>
      <c r="AH73" s="1" t="str">
        <f>IF('SPT-03'!$E73="","",'SPT-03'!$E73)</f>
        <v>SM</v>
      </c>
      <c r="AI73" s="1" t="str">
        <f>IF('SPT-04'!$E73="","",'SPT-04'!$E73)</f>
        <v>GW-GM</v>
      </c>
      <c r="AJ73" s="1" t="str">
        <f>IF('SPT-05'!$E73="","",'SPT-05'!$E73)</f>
        <v>SM</v>
      </c>
      <c r="AK73" s="1" t="str">
        <f>IF('SPT-06'!$E73="","",'SPT-06'!$E73)</f>
        <v>SM</v>
      </c>
    </row>
    <row r="74" spans="1:37" x14ac:dyDescent="0.25">
      <c r="A74" s="1">
        <v>43.2</v>
      </c>
      <c r="B74" s="1">
        <v>43.8</v>
      </c>
      <c r="C74" s="1">
        <f>ROUNDDOWN(_xlfn.PERCENTILE.INC('SPT-01:SPT-06'!C74, 0.15),0)</f>
        <v>43</v>
      </c>
      <c r="D74" s="1" t="str" cm="1">
        <f t="array" ref="D74">_xlfn.LET(_xlpm.linha, Z74:AE74, _xlpm.contagens, IF(_xlpm.linha="", 0, COUNTIF(_xlpm.linha, _xlpm.linha)), INDEX(_xlpm.linha, MATCH(MAX(_xlpm.contagens), _xlpm.contagens, 0)))</f>
        <v>Areias</v>
      </c>
      <c r="E74" s="1" t="str" cm="1">
        <f t="array" ref="E74">_xlfn.LET(_xlpm.linha, AF74:AK74, _xlpm.contagens, IF(_xlpm.linha="", 0, COUNTIF(_xlpm.linha, _xlpm.linha)), INDEX(_xlpm.linha, MATCH(MAX(_xlpm.contagens), _xlpm.contagens, 0)))</f>
        <v>SM</v>
      </c>
      <c r="F74" s="1" cm="1">
        <f t="array" ref="F74">_xlfn.XLOOKUP(D74,'TABELA AUXILIAR'!$A$2:$A$5,IF('SPT médio'!A74&lt;3,'TABELA AUXILIAR'!$B$2:$B$5,'TABELA AUXILIAR'!$C$2:$C$5),"",0,1)</f>
        <v>8.5</v>
      </c>
      <c r="G74" s="6">
        <f t="shared" si="9"/>
        <v>89.121651721274489</v>
      </c>
      <c r="H74" s="2">
        <f t="shared" si="10"/>
        <v>42.527909791332192</v>
      </c>
      <c r="I74" s="2">
        <f t="shared" si="11"/>
        <v>1728.5975167041372</v>
      </c>
      <c r="J74" s="1">
        <f t="shared" si="16"/>
        <v>435.15000000000066</v>
      </c>
      <c r="K74" s="1">
        <f t="shared" si="12"/>
        <v>0.75512855029751569</v>
      </c>
      <c r="L74" s="1">
        <f t="shared" si="13"/>
        <v>328.59418866196444</v>
      </c>
      <c r="M74" s="1">
        <f t="shared" si="14"/>
        <v>2904.3834072379518</v>
      </c>
      <c r="N74" s="1">
        <f>$L74*'TABELA AUXILIAR'!$I$3*(B74-A74)</f>
        <v>741.30848962138464</v>
      </c>
      <c r="O74" s="1">
        <f>$L74*'TABELA AUXILIAR'!$I$4*(B74-A74)</f>
        <v>804.39857384448135</v>
      </c>
      <c r="P74" s="1">
        <f>$L74*'TABELA AUXILIAR'!$I$5*(B74-A74)</f>
        <v>928.60717715870271</v>
      </c>
      <c r="Q74" s="1">
        <f>$M74*'TABELA AUXILIAR'!$J$3+SUM(N$2:N74)</f>
        <v>34733.349514031674</v>
      </c>
      <c r="R74" s="1">
        <f>$M74*'TABELA AUXILIAR'!$J$4+SUM(O$2:O74)</f>
        <v>37961.896937053942</v>
      </c>
      <c r="S74" s="1">
        <f>$M74*'TABELA AUXILIAR'!$J$5+SUM(P$2:P74)</f>
        <v>44509.607457043763</v>
      </c>
      <c r="T74" s="2">
        <f t="shared" si="15"/>
        <v>17366.669999999998</v>
      </c>
      <c r="U74" s="2">
        <f t="shared" si="15"/>
        <v>18980.939999999999</v>
      </c>
      <c r="V74" s="2">
        <f t="shared" si="15"/>
        <v>22254.799999999999</v>
      </c>
      <c r="Z74" s="1" t="str">
        <f>IF('SPT-01'!$D74="","",'SPT-01'!$D74)</f>
        <v>Areias</v>
      </c>
      <c r="AA74" s="1" t="str">
        <f>IF('SPT-02'!$D74="","",'SPT-02'!$D74)</f>
        <v>Areias</v>
      </c>
      <c r="AB74" s="1" t="str">
        <f>IF('SPT-03'!$D74="","",'SPT-03'!$D74)</f>
        <v>Areias</v>
      </c>
      <c r="AC74" s="1" t="str">
        <f>IF('SPT-04'!$D74="","",'SPT-04'!$D74)</f>
        <v>Gravas</v>
      </c>
      <c r="AD74" s="1" t="str">
        <f>IF('SPT-05'!$D74="","",'SPT-05'!$D74)</f>
        <v>Areias</v>
      </c>
      <c r="AE74" s="1" t="str">
        <f>IF('SPT-06'!$D74="","",'SPT-06'!$D74)</f>
        <v>Areias</v>
      </c>
      <c r="AF74" s="1" t="str">
        <f>IF('SPT-01'!$E74="","",'SPT-01'!$E74)</f>
        <v>SP</v>
      </c>
      <c r="AG74" s="1" t="str">
        <f>IF('SPT-02'!$E74="","",'SPT-02'!$E74)</f>
        <v>SW-SM</v>
      </c>
      <c r="AH74" s="1" t="str">
        <f>IF('SPT-03'!$E74="","",'SPT-03'!$E74)</f>
        <v>SM</v>
      </c>
      <c r="AI74" s="1" t="str">
        <f>IF('SPT-04'!$E74="","",'SPT-04'!$E74)</f>
        <v>GW-GM</v>
      </c>
      <c r="AJ74" s="1" t="str">
        <f>IF('SPT-05'!$E74="","",'SPT-05'!$E74)</f>
        <v>SM</v>
      </c>
      <c r="AK74" s="1" t="str">
        <f>IF('SPT-06'!$E74="","",'SPT-06'!$E74)</f>
        <v>SM</v>
      </c>
    </row>
    <row r="75" spans="1:37" x14ac:dyDescent="0.25">
      <c r="A75" s="1">
        <v>43.8</v>
      </c>
      <c r="B75" s="1">
        <v>44.4</v>
      </c>
      <c r="C75" s="1">
        <f>ROUNDDOWN(_xlfn.PERCENTILE.INC('SPT-01:SPT-06'!C75, 0.15),0)</f>
        <v>44</v>
      </c>
      <c r="D75" s="1" t="str" cm="1">
        <f t="array" ref="D75">_xlfn.LET(_xlpm.linha, Z75:AE75, _xlpm.contagens, IF(_xlpm.linha="", 0, COUNTIF(_xlpm.linha, _xlpm.linha)), INDEX(_xlpm.linha, MATCH(MAX(_xlpm.contagens), _xlpm.contagens, 0)))</f>
        <v>Areias</v>
      </c>
      <c r="E75" s="1" t="str" cm="1">
        <f t="array" ref="E75">_xlfn.LET(_xlpm.linha, AF75:AK75, _xlpm.contagens, IF(_xlpm.linha="", 0, COUNTIF(_xlpm.linha, _xlpm.linha)), INDEX(_xlpm.linha, MATCH(MAX(_xlpm.contagens), _xlpm.contagens, 0)))</f>
        <v>SM</v>
      </c>
      <c r="F75" s="1" cm="1">
        <f t="array" ref="F75">_xlfn.XLOOKUP(D75,'TABELA AUXILIAR'!$A$2:$A$5,IF('SPT médio'!A75&lt;3,'TABELA AUXILIAR'!$B$2:$B$5,'TABELA AUXILIAR'!$C$2:$C$5),"",0,1)</f>
        <v>8.5</v>
      </c>
      <c r="G75" s="6">
        <f t="shared" si="9"/>
        <v>91.727094265053339</v>
      </c>
      <c r="H75" s="2">
        <f t="shared" si="10"/>
        <v>42.619764623672921</v>
      </c>
      <c r="I75" s="2">
        <f t="shared" si="11"/>
        <v>1768.9086766711077</v>
      </c>
      <c r="J75" s="1">
        <f t="shared" si="16"/>
        <v>440.25000000000063</v>
      </c>
      <c r="K75" s="1">
        <f t="shared" si="12"/>
        <v>0.7618914288218922</v>
      </c>
      <c r="L75" s="1">
        <f t="shared" si="13"/>
        <v>335.42270153883851</v>
      </c>
      <c r="M75" s="1">
        <f t="shared" si="14"/>
        <v>2979.048335461328</v>
      </c>
      <c r="N75" s="1">
        <f>$L75*'TABELA AUXILIAR'!$I$3*(B75-A75)</f>
        <v>756.71361467162149</v>
      </c>
      <c r="O75" s="1">
        <f>$L75*'TABELA AUXILIAR'!$I$4*(B75-A75)</f>
        <v>821.11477336707856</v>
      </c>
      <c r="P75" s="1">
        <f>$L75*'TABELA AUXILIAR'!$I$5*(B75-A75)</f>
        <v>947.90455454875996</v>
      </c>
      <c r="Q75" s="1">
        <f>$M75*'TABELA AUXILIAR'!$J$3+SUM(N$2:N75)</f>
        <v>35574.434497595714</v>
      </c>
      <c r="R75" s="1">
        <f>$M75*'TABELA AUXILIAR'!$J$4+SUM(O$2:O75)</f>
        <v>38881.569415675876</v>
      </c>
      <c r="S75" s="1">
        <f>$M75*'TABELA AUXILIAR'!$J$5+SUM(P$2:P75)</f>
        <v>45588.922285265668</v>
      </c>
      <c r="T75" s="2">
        <f t="shared" si="15"/>
        <v>17787.21</v>
      </c>
      <c r="U75" s="2">
        <f t="shared" si="15"/>
        <v>19440.78</v>
      </c>
      <c r="V75" s="2">
        <f t="shared" si="15"/>
        <v>22794.46</v>
      </c>
      <c r="Z75" s="1" t="str">
        <f>IF('SPT-01'!$D75="","",'SPT-01'!$D75)</f>
        <v>Areias</v>
      </c>
      <c r="AA75" s="1" t="str">
        <f>IF('SPT-02'!$D75="","",'SPT-02'!$D75)</f>
        <v>Areias</v>
      </c>
      <c r="AB75" s="1" t="str">
        <f>IF('SPT-03'!$D75="","",'SPT-03'!$D75)</f>
        <v>Areias</v>
      </c>
      <c r="AC75" s="1" t="str">
        <f>IF('SPT-04'!$D75="","",'SPT-04'!$D75)</f>
        <v>Gravas</v>
      </c>
      <c r="AD75" s="1" t="str">
        <f>IF('SPT-05'!$D75="","",'SPT-05'!$D75)</f>
        <v>Areias</v>
      </c>
      <c r="AE75" s="1" t="str">
        <f>IF('SPT-06'!$D75="","",'SPT-06'!$D75)</f>
        <v>Areias</v>
      </c>
      <c r="AF75" s="1" t="str">
        <f>IF('SPT-01'!$E75="","",'SPT-01'!$E75)</f>
        <v>SP</v>
      </c>
      <c r="AG75" s="1" t="str">
        <f>IF('SPT-02'!$E75="","",'SPT-02'!$E75)</f>
        <v>SW-SM</v>
      </c>
      <c r="AH75" s="1" t="str">
        <f>IF('SPT-03'!$E75="","",'SPT-03'!$E75)</f>
        <v>SM</v>
      </c>
      <c r="AI75" s="1" t="str">
        <f>IF('SPT-04'!$E75="","",'SPT-04'!$E75)</f>
        <v>GW-GM</v>
      </c>
      <c r="AJ75" s="1" t="str">
        <f>IF('SPT-05'!$E75="","",'SPT-05'!$E75)</f>
        <v>SM</v>
      </c>
      <c r="AK75" s="1" t="str">
        <f>IF('SPT-06'!$E75="","",'SPT-06'!$E75)</f>
        <v>SM</v>
      </c>
    </row>
    <row r="76" spans="1:37" x14ac:dyDescent="0.25">
      <c r="G76" s="6"/>
      <c r="H76" s="2"/>
      <c r="I76" s="2"/>
      <c r="T76" s="2"/>
      <c r="U76" s="2"/>
      <c r="V76" s="2"/>
    </row>
    <row r="77" spans="1:37" x14ac:dyDescent="0.25">
      <c r="G77" s="6"/>
      <c r="H77" s="2"/>
      <c r="I77" s="2"/>
      <c r="T77" s="2"/>
      <c r="U77" s="2"/>
      <c r="V77" s="2"/>
    </row>
    <row r="78" spans="1:37" x14ac:dyDescent="0.25">
      <c r="G78" s="6"/>
      <c r="H78" s="2"/>
      <c r="I78" s="2"/>
      <c r="T78" s="2"/>
      <c r="U78" s="2"/>
      <c r="V78" s="2"/>
    </row>
    <row r="79" spans="1:37" x14ac:dyDescent="0.25">
      <c r="G79" s="6"/>
      <c r="H79" s="2"/>
      <c r="I79" s="2"/>
      <c r="T79" s="2"/>
      <c r="U79" s="2"/>
      <c r="V79" s="2"/>
    </row>
    <row r="80" spans="1:37" x14ac:dyDescent="0.25">
      <c r="G80" s="6"/>
      <c r="H80" s="2"/>
      <c r="I80" s="2"/>
      <c r="T80" s="2"/>
      <c r="U80" s="2"/>
      <c r="V80" s="2"/>
    </row>
    <row r="81" spans="7:22" x14ac:dyDescent="0.25">
      <c r="G81" s="6"/>
      <c r="H81" s="2"/>
      <c r="I81" s="2"/>
      <c r="T81" s="2"/>
      <c r="U81" s="2"/>
      <c r="V81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TABELA AUXILIAR</vt:lpstr>
      <vt:lpstr>Capacidade por eixo</vt:lpstr>
      <vt:lpstr>SPT-01</vt:lpstr>
      <vt:lpstr>SPT-02</vt:lpstr>
      <vt:lpstr>SPT-03</vt:lpstr>
      <vt:lpstr>SPT-04</vt:lpstr>
      <vt:lpstr>SPT-05</vt:lpstr>
      <vt:lpstr>SPT-06</vt:lpstr>
      <vt:lpstr>SPT médio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Mateus Farias de Barros</dc:creator>
  <cp:lastModifiedBy>Lucas Mateus Farias de Barros</cp:lastModifiedBy>
  <dcterms:created xsi:type="dcterms:W3CDTF">2026-09-24T19:56:22Z</dcterms:created>
  <dcterms:modified xsi:type="dcterms:W3CDTF">2026-09-25T20:01:56Z</dcterms:modified>
</cp:coreProperties>
</file>