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dradegutierrez365.sharepoint.com/sites/ProjetoeMetodologiaCivil/Documentos Compartilhados/01_Propostas/2026/29_FSNO1/03_Estudos_Projetos_Modelos/06. Contenção OAE Jundiaí KM 136+900/OAE KM 136+900/"/>
    </mc:Choice>
  </mc:AlternateContent>
  <xr:revisionPtr revIDLastSave="0" documentId="8_{52FE20F3-68CD-40CF-90DE-31FB559F8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uxos_Separados_STR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B65" i="1"/>
  <c r="D65" i="1" s="1"/>
  <c r="I65" i="1"/>
  <c r="AA65" i="1" s="1"/>
  <c r="K65" i="1"/>
  <c r="L65" i="1"/>
  <c r="M65" i="1" s="1"/>
  <c r="Q65" i="1"/>
  <c r="R65" i="1"/>
  <c r="S65" i="1" s="1"/>
  <c r="X65" i="1"/>
  <c r="A64" i="1"/>
  <c r="C29" i="1"/>
  <c r="AA37" i="1"/>
  <c r="AC37" i="1" s="1"/>
  <c r="B43" i="1"/>
  <c r="D43" i="1" s="1"/>
  <c r="K43" i="1"/>
  <c r="Q43" i="1"/>
  <c r="R43" i="1"/>
  <c r="B48" i="1"/>
  <c r="B52" i="1"/>
  <c r="B63" i="1"/>
  <c r="B37" i="1"/>
  <c r="A53" i="1"/>
  <c r="A54" i="1" s="1"/>
  <c r="B54" i="1" s="1"/>
  <c r="A49" i="1"/>
  <c r="A50" i="1" s="1"/>
  <c r="B50" i="1" s="1"/>
  <c r="A38" i="1"/>
  <c r="B38" i="1" s="1"/>
  <c r="F65" i="1" l="1"/>
  <c r="E65" i="1"/>
  <c r="J64" i="1"/>
  <c r="Q64" i="1"/>
  <c r="L64" i="1"/>
  <c r="B64" i="1"/>
  <c r="R64" i="1"/>
  <c r="S64" i="1" s="1"/>
  <c r="K64" i="1"/>
  <c r="X64" i="1" s="1"/>
  <c r="AD37" i="1"/>
  <c r="AA38" i="1"/>
  <c r="AC38" i="1" s="1"/>
  <c r="S43" i="1"/>
  <c r="J53" i="1"/>
  <c r="B49" i="1"/>
  <c r="E49" i="1" s="1"/>
  <c r="J37" i="1"/>
  <c r="J49" i="1"/>
  <c r="J51" i="1"/>
  <c r="I43" i="1"/>
  <c r="X43" i="1"/>
  <c r="E43" i="1"/>
  <c r="F43" i="1"/>
  <c r="A39" i="1"/>
  <c r="B53" i="1"/>
  <c r="A55" i="1"/>
  <c r="A51" i="1"/>
  <c r="K49" i="1"/>
  <c r="X49" i="1" s="1"/>
  <c r="Q49" i="1"/>
  <c r="G65" i="1" l="1"/>
  <c r="H65" i="1"/>
  <c r="T65" i="1" s="1"/>
  <c r="F64" i="1"/>
  <c r="D64" i="1"/>
  <c r="E64" i="1"/>
  <c r="I64" i="1"/>
  <c r="AA64" i="1" s="1"/>
  <c r="M64" i="1"/>
  <c r="AD38" i="1"/>
  <c r="J38" i="1"/>
  <c r="AA39" i="1"/>
  <c r="AC39" i="1" s="1"/>
  <c r="B51" i="1"/>
  <c r="J50" i="1"/>
  <c r="B55" i="1"/>
  <c r="J54" i="1"/>
  <c r="J52" i="1"/>
  <c r="G43" i="1"/>
  <c r="H43" i="1"/>
  <c r="T43" i="1" s="1"/>
  <c r="U43" i="1" s="1"/>
  <c r="A40" i="1"/>
  <c r="B39" i="1"/>
  <c r="A56" i="1"/>
  <c r="F49" i="1"/>
  <c r="H49" i="1" s="1"/>
  <c r="D49" i="1"/>
  <c r="I49" i="1"/>
  <c r="AA49" i="1" s="1"/>
  <c r="K53" i="1"/>
  <c r="X53" i="1" s="1"/>
  <c r="D53" i="1"/>
  <c r="Q53" i="1"/>
  <c r="K50" i="1"/>
  <c r="X50" i="1" s="1"/>
  <c r="D50" i="1"/>
  <c r="Q50" i="1"/>
  <c r="F53" i="1"/>
  <c r="E53" i="1"/>
  <c r="K51" i="1"/>
  <c r="X51" i="1" s="1"/>
  <c r="Q51" i="1"/>
  <c r="K54" i="1"/>
  <c r="X54" i="1" s="1"/>
  <c r="Q54" i="1"/>
  <c r="AB65" i="1" l="1"/>
  <c r="AC65" i="1" s="1"/>
  <c r="AD65" i="1" s="1"/>
  <c r="U65" i="1"/>
  <c r="Z65" i="1" s="1"/>
  <c r="O65" i="1"/>
  <c r="W65" i="1" s="1"/>
  <c r="N65" i="1"/>
  <c r="G64" i="1"/>
  <c r="O64" i="1" s="1"/>
  <c r="W64" i="1" s="1"/>
  <c r="H64" i="1"/>
  <c r="T64" i="1" s="1"/>
  <c r="AD39" i="1"/>
  <c r="J39" i="1"/>
  <c r="AA40" i="1"/>
  <c r="AC40" i="1" s="1"/>
  <c r="G49" i="1"/>
  <c r="O49" i="1" s="1"/>
  <c r="B56" i="1"/>
  <c r="J55" i="1"/>
  <c r="O43" i="1"/>
  <c r="A41" i="1"/>
  <c r="B40" i="1"/>
  <c r="A57" i="1"/>
  <c r="Q52" i="1"/>
  <c r="K52" i="1"/>
  <c r="X52" i="1" s="1"/>
  <c r="I53" i="1"/>
  <c r="E50" i="1"/>
  <c r="F50" i="1"/>
  <c r="G50" i="1" s="1"/>
  <c r="O50" i="1" s="1"/>
  <c r="I50" i="1"/>
  <c r="H53" i="1"/>
  <c r="G53" i="1"/>
  <c r="O53" i="1" s="1"/>
  <c r="F54" i="1"/>
  <c r="E54" i="1"/>
  <c r="D54" i="1"/>
  <c r="I54" i="1"/>
  <c r="AA54" i="1" s="1"/>
  <c r="I51" i="1"/>
  <c r="AA51" i="1" s="1"/>
  <c r="F51" i="1"/>
  <c r="E51" i="1"/>
  <c r="D51" i="1"/>
  <c r="K55" i="1"/>
  <c r="X55" i="1" s="1"/>
  <c r="Q55" i="1"/>
  <c r="V65" i="1" l="1"/>
  <c r="P65" i="1"/>
  <c r="Y65" i="1" s="1"/>
  <c r="AB64" i="1"/>
  <c r="AC64" i="1" s="1"/>
  <c r="AD64" i="1" s="1"/>
  <c r="U64" i="1"/>
  <c r="Z64" i="1" s="1"/>
  <c r="N64" i="1"/>
  <c r="AD40" i="1"/>
  <c r="J40" i="1"/>
  <c r="AA41" i="1"/>
  <c r="AC41" i="1" s="1"/>
  <c r="AA53" i="1"/>
  <c r="AA50" i="1"/>
  <c r="W53" i="1"/>
  <c r="W43" i="1"/>
  <c r="W50" i="1"/>
  <c r="W49" i="1"/>
  <c r="B57" i="1"/>
  <c r="J56" i="1"/>
  <c r="H50" i="1"/>
  <c r="A42" i="1"/>
  <c r="B41" i="1"/>
  <c r="A58" i="1"/>
  <c r="D52" i="1"/>
  <c r="I52" i="1"/>
  <c r="AA52" i="1" s="1"/>
  <c r="E52" i="1"/>
  <c r="F52" i="1"/>
  <c r="K56" i="1"/>
  <c r="X56" i="1" s="1"/>
  <c r="Q56" i="1"/>
  <c r="H54" i="1"/>
  <c r="G54" i="1"/>
  <c r="O54" i="1" s="1"/>
  <c r="H51" i="1"/>
  <c r="G51" i="1"/>
  <c r="O51" i="1" s="1"/>
  <c r="D55" i="1"/>
  <c r="I55" i="1"/>
  <c r="AA55" i="1" s="1"/>
  <c r="F55" i="1"/>
  <c r="E55" i="1"/>
  <c r="V64" i="1" l="1"/>
  <c r="P64" i="1"/>
  <c r="Y64" i="1" s="1"/>
  <c r="AD41" i="1"/>
  <c r="AE50" i="1"/>
  <c r="J41" i="1"/>
  <c r="W51" i="1"/>
  <c r="W54" i="1"/>
  <c r="B58" i="1"/>
  <c r="J57" i="1"/>
  <c r="A44" i="1"/>
  <c r="B42" i="1"/>
  <c r="A59" i="1"/>
  <c r="H52" i="1"/>
  <c r="G52" i="1"/>
  <c r="O52" i="1" s="1"/>
  <c r="K57" i="1"/>
  <c r="X57" i="1" s="1"/>
  <c r="Q57" i="1"/>
  <c r="H55" i="1"/>
  <c r="G55" i="1"/>
  <c r="O55" i="1" s="1"/>
  <c r="F56" i="1"/>
  <c r="E56" i="1"/>
  <c r="D56" i="1"/>
  <c r="I56" i="1"/>
  <c r="AA56" i="1" s="1"/>
  <c r="J42" i="1" l="1"/>
  <c r="W52" i="1"/>
  <c r="W55" i="1"/>
  <c r="B59" i="1"/>
  <c r="J58" i="1"/>
  <c r="A45" i="1"/>
  <c r="B44" i="1"/>
  <c r="A60" i="1"/>
  <c r="D57" i="1"/>
  <c r="I57" i="1"/>
  <c r="AA57" i="1" s="1"/>
  <c r="F57" i="1"/>
  <c r="E57" i="1"/>
  <c r="H56" i="1"/>
  <c r="G56" i="1"/>
  <c r="O56" i="1" s="1"/>
  <c r="K58" i="1"/>
  <c r="X58" i="1" s="1"/>
  <c r="Q58" i="1"/>
  <c r="W56" i="1" l="1"/>
  <c r="B60" i="1"/>
  <c r="J59" i="1"/>
  <c r="J43" i="1"/>
  <c r="Z43" i="1" s="1"/>
  <c r="J44" i="1"/>
  <c r="R45" i="1"/>
  <c r="A46" i="1"/>
  <c r="B45" i="1"/>
  <c r="A61" i="1"/>
  <c r="K59" i="1"/>
  <c r="X59" i="1" s="1"/>
  <c r="Q59" i="1"/>
  <c r="F58" i="1"/>
  <c r="E58" i="1"/>
  <c r="D58" i="1"/>
  <c r="I58" i="1"/>
  <c r="AA58" i="1" s="1"/>
  <c r="H57" i="1"/>
  <c r="G57" i="1"/>
  <c r="O57" i="1" s="1"/>
  <c r="AA43" i="1" l="1"/>
  <c r="W57" i="1"/>
  <c r="J47" i="1"/>
  <c r="J45" i="1"/>
  <c r="AB43" i="1"/>
  <c r="B61" i="1"/>
  <c r="J62" i="1"/>
  <c r="J60" i="1"/>
  <c r="B46" i="1"/>
  <c r="A47" i="1"/>
  <c r="A62" i="1"/>
  <c r="K60" i="1"/>
  <c r="X60" i="1" s="1"/>
  <c r="Q60" i="1"/>
  <c r="H58" i="1"/>
  <c r="G58" i="1"/>
  <c r="O58" i="1" s="1"/>
  <c r="D59" i="1"/>
  <c r="I59" i="1"/>
  <c r="AA59" i="1" s="1"/>
  <c r="F59" i="1"/>
  <c r="E59" i="1"/>
  <c r="AC43" i="1" l="1"/>
  <c r="AD43" i="1" s="1"/>
  <c r="W58" i="1"/>
  <c r="B47" i="1"/>
  <c r="J46" i="1"/>
  <c r="J48" i="1"/>
  <c r="B62" i="1"/>
  <c r="J61" i="1"/>
  <c r="J63" i="1"/>
  <c r="K48" i="1"/>
  <c r="X48" i="1" s="1"/>
  <c r="Q48" i="1"/>
  <c r="H59" i="1"/>
  <c r="G59" i="1"/>
  <c r="O59" i="1" s="1"/>
  <c r="F60" i="1"/>
  <c r="E60" i="1"/>
  <c r="D60" i="1"/>
  <c r="I60" i="1"/>
  <c r="AA60" i="1" s="1"/>
  <c r="K61" i="1"/>
  <c r="X61" i="1" s="1"/>
  <c r="Q61" i="1"/>
  <c r="W59" i="1" l="1"/>
  <c r="K63" i="1"/>
  <c r="X63" i="1" s="1"/>
  <c r="Q63" i="1"/>
  <c r="K62" i="1"/>
  <c r="X62" i="1" s="1"/>
  <c r="Q62" i="1"/>
  <c r="D61" i="1"/>
  <c r="I61" i="1"/>
  <c r="AA61" i="1" s="1"/>
  <c r="F61" i="1"/>
  <c r="E61" i="1"/>
  <c r="H60" i="1"/>
  <c r="G60" i="1"/>
  <c r="O60" i="1" s="1"/>
  <c r="F48" i="1"/>
  <c r="E48" i="1"/>
  <c r="D48" i="1"/>
  <c r="I48" i="1"/>
  <c r="AA48" i="1" s="1"/>
  <c r="W60" i="1" l="1"/>
  <c r="I63" i="1"/>
  <c r="D63" i="1"/>
  <c r="E63" i="1"/>
  <c r="F63" i="1"/>
  <c r="H61" i="1"/>
  <c r="G61" i="1"/>
  <c r="O61" i="1" s="1"/>
  <c r="H48" i="1"/>
  <c r="G48" i="1"/>
  <c r="O48" i="1" s="1"/>
  <c r="F62" i="1"/>
  <c r="E62" i="1"/>
  <c r="D62" i="1"/>
  <c r="I62" i="1"/>
  <c r="AA62" i="1" s="1"/>
  <c r="AA63" i="1" l="1"/>
  <c r="W48" i="1"/>
  <c r="W61" i="1"/>
  <c r="AE61" i="1"/>
  <c r="G63" i="1"/>
  <c r="O63" i="1" s="1"/>
  <c r="H63" i="1"/>
  <c r="H62" i="1"/>
  <c r="G62" i="1"/>
  <c r="O62" i="1" s="1"/>
  <c r="K37" i="1"/>
  <c r="M37" i="1" s="1"/>
  <c r="T37" i="1"/>
  <c r="U37" i="1" s="1"/>
  <c r="Z37" i="1" s="1"/>
  <c r="Q37" i="1"/>
  <c r="S37" i="1" s="1"/>
  <c r="W63" i="1" l="1"/>
  <c r="W62" i="1"/>
  <c r="X37" i="1"/>
  <c r="T38" i="1"/>
  <c r="U38" i="1" s="1"/>
  <c r="Z38" i="1" s="1"/>
  <c r="E38" i="1"/>
  <c r="Q38" i="1"/>
  <c r="R38" i="1"/>
  <c r="K38" i="1"/>
  <c r="X38" i="1" s="1"/>
  <c r="K39" i="1"/>
  <c r="X39" i="1" s="1"/>
  <c r="S38" i="1" l="1"/>
  <c r="I39" i="1"/>
  <c r="E39" i="1"/>
  <c r="D39" i="1"/>
  <c r="AB37" i="1"/>
  <c r="I38" i="1"/>
  <c r="F38" i="1"/>
  <c r="T39" i="1"/>
  <c r="U39" i="1" s="1"/>
  <c r="Z39" i="1" s="1"/>
  <c r="Q39" i="1"/>
  <c r="R39" i="1"/>
  <c r="D38" i="1"/>
  <c r="S39" i="1" l="1"/>
  <c r="AB38" i="1"/>
  <c r="F39" i="1"/>
  <c r="H39" i="1" s="1"/>
  <c r="G38" i="1"/>
  <c r="O38" i="1" s="1"/>
  <c r="H38" i="1"/>
  <c r="K40" i="1"/>
  <c r="X40" i="1" s="1"/>
  <c r="R40" i="1"/>
  <c r="T40" i="1"/>
  <c r="U40" i="1" s="1"/>
  <c r="Z40" i="1" s="1"/>
  <c r="Q40" i="1"/>
  <c r="W38" i="1" l="1"/>
  <c r="G39" i="1"/>
  <c r="O39" i="1" s="1"/>
  <c r="R41" i="1"/>
  <c r="T41" i="1"/>
  <c r="U41" i="1" s="1"/>
  <c r="Z41" i="1" s="1"/>
  <c r="Q41" i="1"/>
  <c r="K41" i="1"/>
  <c r="X41" i="1" s="1"/>
  <c r="F40" i="1"/>
  <c r="I40" i="1"/>
  <c r="D40" i="1"/>
  <c r="E40" i="1"/>
  <c r="S40" i="1"/>
  <c r="AB39" i="1"/>
  <c r="W39" i="1" l="1"/>
  <c r="E41" i="1"/>
  <c r="I41" i="1"/>
  <c r="F41" i="1"/>
  <c r="D41" i="1"/>
  <c r="G40" i="1"/>
  <c r="O40" i="1" s="1"/>
  <c r="H40" i="1"/>
  <c r="S41" i="1"/>
  <c r="AB40" i="1"/>
  <c r="AB41" i="1"/>
  <c r="R42" i="1"/>
  <c r="Q42" i="1"/>
  <c r="K42" i="1"/>
  <c r="X42" i="1" s="1"/>
  <c r="W40" i="1" l="1"/>
  <c r="S42" i="1"/>
  <c r="K44" i="1"/>
  <c r="X44" i="1" s="1"/>
  <c r="Q44" i="1"/>
  <c r="D42" i="1"/>
  <c r="R44" i="1" s="1"/>
  <c r="I42" i="1"/>
  <c r="AA42" i="1" s="1"/>
  <c r="F42" i="1"/>
  <c r="E42" i="1"/>
  <c r="H41" i="1"/>
  <c r="G41" i="1"/>
  <c r="O41" i="1" s="1"/>
  <c r="W41" i="1" l="1"/>
  <c r="S44" i="1"/>
  <c r="G42" i="1"/>
  <c r="O42" i="1" s="1"/>
  <c r="H42" i="1"/>
  <c r="T42" i="1" s="1"/>
  <c r="U42" i="1" s="1"/>
  <c r="Z42" i="1" s="1"/>
  <c r="I44" i="1"/>
  <c r="AA44" i="1" s="1"/>
  <c r="F44" i="1"/>
  <c r="D44" i="1"/>
  <c r="R46" i="1" s="1"/>
  <c r="E44" i="1"/>
  <c r="Q45" i="1"/>
  <c r="K45" i="1"/>
  <c r="X45" i="1" s="1"/>
  <c r="W42" i="1" l="1"/>
  <c r="S45" i="1"/>
  <c r="H44" i="1"/>
  <c r="T44" i="1" s="1"/>
  <c r="U44" i="1" s="1"/>
  <c r="Z44" i="1" s="1"/>
  <c r="G44" i="1"/>
  <c r="O44" i="1" s="1"/>
  <c r="AB42" i="1"/>
  <c r="AC42" i="1" s="1"/>
  <c r="AD42" i="1" s="1"/>
  <c r="K46" i="1"/>
  <c r="X46" i="1" s="1"/>
  <c r="Q46" i="1"/>
  <c r="E45" i="1"/>
  <c r="F45" i="1"/>
  <c r="D45" i="1"/>
  <c r="R47" i="1" s="1"/>
  <c r="I45" i="1"/>
  <c r="AA45" i="1" s="1"/>
  <c r="W44" i="1" l="1"/>
  <c r="S46" i="1"/>
  <c r="G45" i="1"/>
  <c r="O45" i="1" s="1"/>
  <c r="H45" i="1"/>
  <c r="T45" i="1" s="1"/>
  <c r="U45" i="1" s="1"/>
  <c r="Z45" i="1" s="1"/>
  <c r="K47" i="1"/>
  <c r="X47" i="1" s="1"/>
  <c r="Q47" i="1"/>
  <c r="I46" i="1"/>
  <c r="AA46" i="1" s="1"/>
  <c r="F46" i="1"/>
  <c r="D46" i="1"/>
  <c r="R48" i="1" s="1"/>
  <c r="R50" i="1" s="1"/>
  <c r="R52" i="1" s="1"/>
  <c r="R54" i="1" s="1"/>
  <c r="R56" i="1" s="1"/>
  <c r="R58" i="1" s="1"/>
  <c r="R60" i="1" s="1"/>
  <c r="R62" i="1" s="1"/>
  <c r="E46" i="1"/>
  <c r="E37" i="1"/>
  <c r="D37" i="1"/>
  <c r="L38" i="1" s="1"/>
  <c r="I37" i="1"/>
  <c r="F37" i="1"/>
  <c r="AB44" i="1"/>
  <c r="AC44" i="1" s="1"/>
  <c r="AD44" i="1" s="1"/>
  <c r="W45" i="1" l="1"/>
  <c r="S47" i="1"/>
  <c r="I47" i="1"/>
  <c r="AA47" i="1" s="1"/>
  <c r="F47" i="1"/>
  <c r="D47" i="1"/>
  <c r="R49" i="1" s="1"/>
  <c r="R51" i="1" s="1"/>
  <c r="R53" i="1" s="1"/>
  <c r="R55" i="1" s="1"/>
  <c r="R57" i="1" s="1"/>
  <c r="R59" i="1" s="1"/>
  <c r="R61" i="1" s="1"/>
  <c r="R63" i="1" s="1"/>
  <c r="E47" i="1"/>
  <c r="H46" i="1"/>
  <c r="T46" i="1" s="1"/>
  <c r="U46" i="1" s="1"/>
  <c r="Z46" i="1" s="1"/>
  <c r="G46" i="1"/>
  <c r="O46" i="1" s="1"/>
  <c r="G37" i="1"/>
  <c r="H37" i="1"/>
  <c r="AB45" i="1"/>
  <c r="AC45" i="1" s="1"/>
  <c r="AD45" i="1" s="1"/>
  <c r="L39" i="1"/>
  <c r="M38" i="1"/>
  <c r="N38" i="1" s="1"/>
  <c r="P38" i="1" s="1"/>
  <c r="Y38" i="1" s="1"/>
  <c r="W46" i="1" l="1"/>
  <c r="AE46" i="1"/>
  <c r="S48" i="1"/>
  <c r="T48" i="1" s="1"/>
  <c r="U48" i="1" s="1"/>
  <c r="Z48" i="1" s="1"/>
  <c r="H47" i="1"/>
  <c r="T47" i="1" s="1"/>
  <c r="U47" i="1" s="1"/>
  <c r="Z47" i="1" s="1"/>
  <c r="G47" i="1"/>
  <c r="O47" i="1" s="1"/>
  <c r="O37" i="1"/>
  <c r="N37" i="1"/>
  <c r="P37" i="1" s="1"/>
  <c r="Y37" i="1" s="1"/>
  <c r="V38" i="1"/>
  <c r="L40" i="1"/>
  <c r="M39" i="1"/>
  <c r="N39" i="1" s="1"/>
  <c r="P39" i="1" s="1"/>
  <c r="Y39" i="1" s="1"/>
  <c r="AB46" i="1"/>
  <c r="AC46" i="1" s="1"/>
  <c r="AD46" i="1" s="1"/>
  <c r="W47" i="1" l="1"/>
  <c r="W37" i="1"/>
  <c r="AB47" i="1"/>
  <c r="V37" i="1"/>
  <c r="V39" i="1"/>
  <c r="L41" i="1"/>
  <c r="M40" i="1"/>
  <c r="N40" i="1" s="1"/>
  <c r="P40" i="1" s="1"/>
  <c r="Y40" i="1" s="1"/>
  <c r="S49" i="1"/>
  <c r="T49" i="1" s="1"/>
  <c r="U49" i="1" s="1"/>
  <c r="Z49" i="1" s="1"/>
  <c r="AB48" i="1"/>
  <c r="AC48" i="1" s="1"/>
  <c r="AD48" i="1" s="1"/>
  <c r="AF46" i="1" l="1"/>
  <c r="AC47" i="1"/>
  <c r="L42" i="1"/>
  <c r="L43" i="1" s="1"/>
  <c r="M41" i="1"/>
  <c r="N41" i="1" s="1"/>
  <c r="P41" i="1" s="1"/>
  <c r="Y41" i="1" s="1"/>
  <c r="S50" i="1"/>
  <c r="T50" i="1" s="1"/>
  <c r="U50" i="1" s="1"/>
  <c r="Z50" i="1" s="1"/>
  <c r="AB49" i="1"/>
  <c r="AC49" i="1" s="1"/>
  <c r="AD49" i="1" s="1"/>
  <c r="V40" i="1"/>
  <c r="L44" i="1" l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M43" i="1"/>
  <c r="N43" i="1" s="1"/>
  <c r="P43" i="1" s="1"/>
  <c r="Y43" i="1" s="1"/>
  <c r="AB50" i="1"/>
  <c r="AC50" i="1" s="1"/>
  <c r="AD50" i="1" s="1"/>
  <c r="S51" i="1"/>
  <c r="T51" i="1" s="1"/>
  <c r="U51" i="1" s="1"/>
  <c r="Z51" i="1" s="1"/>
  <c r="V41" i="1"/>
  <c r="M42" i="1"/>
  <c r="N42" i="1" s="1"/>
  <c r="P42" i="1" s="1"/>
  <c r="Y42" i="1" s="1"/>
  <c r="V43" i="1" l="1"/>
  <c r="M44" i="1"/>
  <c r="N44" i="1" s="1"/>
  <c r="P44" i="1" s="1"/>
  <c r="Y44" i="1" s="1"/>
  <c r="AB51" i="1"/>
  <c r="S52" i="1"/>
  <c r="T52" i="1" s="1"/>
  <c r="U52" i="1" s="1"/>
  <c r="Z52" i="1" s="1"/>
  <c r="V42" i="1"/>
  <c r="AF50" i="1" l="1"/>
  <c r="AC51" i="1"/>
  <c r="S53" i="1"/>
  <c r="T53" i="1" s="1"/>
  <c r="U53" i="1" s="1"/>
  <c r="Z53" i="1" s="1"/>
  <c r="AB52" i="1"/>
  <c r="AC52" i="1" s="1"/>
  <c r="AD52" i="1" s="1"/>
  <c r="M45" i="1"/>
  <c r="N45" i="1" s="1"/>
  <c r="P45" i="1" s="1"/>
  <c r="Y45" i="1" s="1"/>
  <c r="V44" i="1"/>
  <c r="AB53" i="1" l="1"/>
  <c r="AC53" i="1" s="1"/>
  <c r="AD53" i="1" s="1"/>
  <c r="M46" i="1"/>
  <c r="N46" i="1" s="1"/>
  <c r="P46" i="1" s="1"/>
  <c r="Y46" i="1" s="1"/>
  <c r="S54" i="1"/>
  <c r="T54" i="1" s="1"/>
  <c r="U54" i="1" s="1"/>
  <c r="Z54" i="1" s="1"/>
  <c r="V45" i="1"/>
  <c r="AB54" i="1" l="1"/>
  <c r="AC54" i="1" s="1"/>
  <c r="AD54" i="1" s="1"/>
  <c r="S55" i="1"/>
  <c r="T55" i="1" s="1"/>
  <c r="U55" i="1" s="1"/>
  <c r="Z55" i="1" s="1"/>
  <c r="M47" i="1"/>
  <c r="N47" i="1" s="1"/>
  <c r="P47" i="1" s="1"/>
  <c r="Y47" i="1" s="1"/>
  <c r="V46" i="1"/>
  <c r="S56" i="1" l="1"/>
  <c r="T56" i="1" s="1"/>
  <c r="U56" i="1" s="1"/>
  <c r="Z56" i="1" s="1"/>
  <c r="V47" i="1"/>
  <c r="M48" i="1"/>
  <c r="N48" i="1" s="1"/>
  <c r="P48" i="1" s="1"/>
  <c r="Y48" i="1" s="1"/>
  <c r="AB55" i="1"/>
  <c r="AC55" i="1" s="1"/>
  <c r="AD55" i="1" s="1"/>
  <c r="V48" i="1" l="1"/>
  <c r="M49" i="1"/>
  <c r="N49" i="1" s="1"/>
  <c r="P49" i="1" s="1"/>
  <c r="Y49" i="1" s="1"/>
  <c r="S57" i="1"/>
  <c r="T57" i="1" s="1"/>
  <c r="U57" i="1" s="1"/>
  <c r="Z57" i="1" s="1"/>
  <c r="AB56" i="1"/>
  <c r="AC56" i="1" s="1"/>
  <c r="AD56" i="1" s="1"/>
  <c r="AB57" i="1" l="1"/>
  <c r="AC57" i="1" s="1"/>
  <c r="AD57" i="1" s="1"/>
  <c r="M50" i="1"/>
  <c r="N50" i="1" s="1"/>
  <c r="P50" i="1" s="1"/>
  <c r="Y50" i="1" s="1"/>
  <c r="S58" i="1"/>
  <c r="T58" i="1" s="1"/>
  <c r="U58" i="1" s="1"/>
  <c r="Z58" i="1" s="1"/>
  <c r="V49" i="1"/>
  <c r="S59" i="1" l="1"/>
  <c r="T59" i="1" s="1"/>
  <c r="U59" i="1" s="1"/>
  <c r="Z59" i="1" s="1"/>
  <c r="AB58" i="1"/>
  <c r="AC58" i="1" s="1"/>
  <c r="AD58" i="1" s="1"/>
  <c r="V50" i="1"/>
  <c r="M51" i="1"/>
  <c r="N51" i="1" s="1"/>
  <c r="P51" i="1" s="1"/>
  <c r="Y51" i="1" s="1"/>
  <c r="AB59" i="1" l="1"/>
  <c r="AC59" i="1" s="1"/>
  <c r="AD59" i="1" s="1"/>
  <c r="M52" i="1"/>
  <c r="N52" i="1" s="1"/>
  <c r="P52" i="1" s="1"/>
  <c r="Y52" i="1" s="1"/>
  <c r="V51" i="1"/>
  <c r="S60" i="1"/>
  <c r="T60" i="1" s="1"/>
  <c r="U60" i="1" s="1"/>
  <c r="Z60" i="1" s="1"/>
  <c r="AB60" i="1" l="1"/>
  <c r="AC60" i="1" s="1"/>
  <c r="AD60" i="1" s="1"/>
  <c r="V52" i="1"/>
  <c r="S61" i="1"/>
  <c r="T61" i="1" s="1"/>
  <c r="U61" i="1" s="1"/>
  <c r="Z61" i="1" s="1"/>
  <c r="M53" i="1"/>
  <c r="N53" i="1" s="1"/>
  <c r="P53" i="1" s="1"/>
  <c r="Y53" i="1" s="1"/>
  <c r="S62" i="1" l="1"/>
  <c r="T62" i="1" s="1"/>
  <c r="U62" i="1" s="1"/>
  <c r="Z62" i="1" s="1"/>
  <c r="M54" i="1"/>
  <c r="N54" i="1" s="1"/>
  <c r="P54" i="1" s="1"/>
  <c r="Y54" i="1" s="1"/>
  <c r="AB61" i="1"/>
  <c r="AC61" i="1" s="1"/>
  <c r="AD61" i="1" s="1"/>
  <c r="V53" i="1"/>
  <c r="M55" i="1" l="1"/>
  <c r="N55" i="1" s="1"/>
  <c r="P55" i="1" s="1"/>
  <c r="Y55" i="1" s="1"/>
  <c r="V54" i="1"/>
  <c r="AB62" i="1"/>
  <c r="S63" i="1"/>
  <c r="T63" i="1" s="1"/>
  <c r="U63" i="1" s="1"/>
  <c r="Z63" i="1" s="1"/>
  <c r="AF61" i="1" l="1"/>
  <c r="AC62" i="1"/>
  <c r="M56" i="1"/>
  <c r="N56" i="1" s="1"/>
  <c r="P56" i="1" s="1"/>
  <c r="Y56" i="1" s="1"/>
  <c r="V55" i="1"/>
  <c r="AB63" i="1"/>
  <c r="AC63" i="1" s="1"/>
  <c r="AD63" i="1" s="1"/>
  <c r="U28" i="1" l="1"/>
  <c r="U30" i="1" a="1"/>
  <c r="U30" i="1" s="1"/>
  <c r="V56" i="1"/>
  <c r="M57" i="1"/>
  <c r="N57" i="1" s="1"/>
  <c r="P57" i="1" s="1"/>
  <c r="Y57" i="1" s="1"/>
  <c r="M58" i="1" l="1"/>
  <c r="N58" i="1" s="1"/>
  <c r="P58" i="1" s="1"/>
  <c r="Y58" i="1" s="1"/>
  <c r="V57" i="1"/>
  <c r="V58" i="1" l="1"/>
  <c r="M59" i="1"/>
  <c r="N59" i="1" s="1"/>
  <c r="P59" i="1" s="1"/>
  <c r="Y59" i="1" s="1"/>
  <c r="M60" i="1" l="1"/>
  <c r="N60" i="1" s="1"/>
  <c r="P60" i="1" s="1"/>
  <c r="Y60" i="1" s="1"/>
  <c r="V59" i="1"/>
  <c r="V60" i="1" l="1"/>
  <c r="M61" i="1"/>
  <c r="N61" i="1" s="1"/>
  <c r="P61" i="1" s="1"/>
  <c r="Y61" i="1" s="1"/>
  <c r="M62" i="1" l="1"/>
  <c r="N62" i="1" s="1"/>
  <c r="P62" i="1" s="1"/>
  <c r="Y62" i="1" s="1"/>
  <c r="V61" i="1"/>
  <c r="M63" i="1" l="1"/>
  <c r="N63" i="1" s="1"/>
  <c r="P63" i="1" s="1"/>
  <c r="Y63" i="1" s="1"/>
  <c r="V62" i="1"/>
  <c r="V63" i="1" l="1"/>
  <c r="U27" i="1" l="1"/>
  <c r="U29" i="1" a="1"/>
  <c r="U29" i="1" s="1"/>
  <c r="U31" i="1" l="1"/>
  <c r="V31" i="1" s="1"/>
  <c r="U32" i="1"/>
  <c r="V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<sst xmlns="http://schemas.openxmlformats.org/spreadsheetml/2006/main" count="91" uniqueCount="78">
  <si>
    <t>FÓRMULAS E RELAÇÕES UTILIZADAS (SISTEMA tf, m)</t>
  </si>
  <si>
    <t>E (Módulo de Young) = α * N_SPT * 100 (tf/m²)</t>
  </si>
  <si>
    <t>K0 (Coef. Repouso) = 1 - sen(φ')  |  ν (Poisson) = K0 / (1 + K0)</t>
  </si>
  <si>
    <t>K (Bulk) = E / (3*(1 - 2*v))  |  G (Shear) = E / (2*(1 + v))</t>
  </si>
  <si>
    <t>Ka (Ativo) = tg²(45 - φ/2)  |  Kp (Passivo) = tg²(45 + φ/2)</t>
  </si>
  <si>
    <t>Tensão Efetiva (σ'v) = σv - u  [ u = (Z - Z_NA) * 1.0 ] (Considerando γ_w = 1.0 tf/m³)</t>
  </si>
  <si>
    <t>Empuxo Ativo Total = MÁX(0; σ'v * Ka - 2c*√Ka) + u</t>
  </si>
  <si>
    <t>Empuxo Passivo Total = σ'v * Kp + 2c*√Kp + u</t>
  </si>
  <si>
    <t>Mola Estaca Raiz (Elemento 1D Isolado) = Kh * Diâmetro * L_inf</t>
  </si>
  <si>
    <t>Mola Estaca Prancha (Parede Contínua por metro) = Kh * 1.0m * L_inf</t>
  </si>
  <si>
    <t>Força Máx. Mola (Limiar de Plastificação) = Empuxo Passivo * (Diâmetro ou 1.0m) * L_inf</t>
  </si>
  <si>
    <t>PARÂMETROS GEOTÉCNICOS</t>
  </si>
  <si>
    <t>Camada</t>
  </si>
  <si>
    <t>Z Topo (m)</t>
  </si>
  <si>
    <t>Z Base (m)</t>
  </si>
  <si>
    <t>N_SPT</t>
  </si>
  <si>
    <t>α</t>
  </si>
  <si>
    <t>E (tf/m²)</t>
  </si>
  <si>
    <t>γ (tf/m³)</t>
  </si>
  <si>
    <t>c' (tf/m²)</t>
  </si>
  <si>
    <t>φ' (º)</t>
  </si>
  <si>
    <t>K0</t>
  </si>
  <si>
    <t>ν</t>
  </si>
  <si>
    <t>Ka</t>
  </si>
  <si>
    <t>Kp</t>
  </si>
  <si>
    <t>Kh (tf/m³)</t>
  </si>
  <si>
    <t>Aterro</t>
  </si>
  <si>
    <t>Aluvionar Argiloso</t>
  </si>
  <si>
    <t>Aluvionar Arenoso</t>
  </si>
  <si>
    <t>Solo Residual</t>
  </si>
  <si>
    <t>Z N.A. (m):</t>
  </si>
  <si>
    <t>Sobrecarga q (tf/m²):</t>
  </si>
  <si>
    <t>Z Fundo Escav (m):</t>
  </si>
  <si>
    <t>Diâmetro Raiz (m):</t>
  </si>
  <si>
    <t>Largura Prancha (m):</t>
  </si>
  <si>
    <t>SEPARAÇÃO DE COMPONENTES E MOLAS PARA ESTACA RAIZ E PRANCHA (Unidades: tf, m)</t>
  </si>
  <si>
    <t>Z (m)</t>
  </si>
  <si>
    <t>L_inf (m)</t>
  </si>
  <si>
    <t>u_ativo (tf/m²)</t>
  </si>
  <si>
    <t>σv_ativo (solo)</t>
  </si>
  <si>
    <t>σ'v_ativo</t>
  </si>
  <si>
    <t>σ'a_solo (efet)</t>
  </si>
  <si>
    <t>σ'a_q (efet)</t>
  </si>
  <si>
    <t>σ_a_total</t>
  </si>
  <si>
    <t>u_passivo (tf/m²)</t>
  </si>
  <si>
    <t>σv_pass (solo)</t>
  </si>
  <si>
    <t>σ'v_pass</t>
  </si>
  <si>
    <t>σ'p_solo (efet)</t>
  </si>
  <si>
    <t>σ_p_total</t>
  </si>
  <si>
    <t>q_Ativo_Solo (tf/m)</t>
  </si>
  <si>
    <t>q_Ativo_q (tf/m)</t>
  </si>
  <si>
    <t>q_Ativo_w (tf/m)</t>
  </si>
  <si>
    <t>K_mola Prancha (tf/m/m)</t>
  </si>
  <si>
    <t>Fmax Prancha Solo (tf/m)</t>
  </si>
  <si>
    <t>NSPT</t>
  </si>
  <si>
    <t>Aterro &gt;5</t>
  </si>
  <si>
    <t>Aterro &lt;5</t>
  </si>
  <si>
    <t>Aluvionar Argiloso &lt;2</t>
  </si>
  <si>
    <t>Aluvionar Argiloso 2-4</t>
  </si>
  <si>
    <t>Aluvionar Argiloso &gt;4</t>
  </si>
  <si>
    <t>Aluvionar Arenoso &lt;10</t>
  </si>
  <si>
    <t>Aluvionar Arenoso &gt;10</t>
  </si>
  <si>
    <t>Solo Residual &lt;5</t>
  </si>
  <si>
    <t>Solo Residual 5-10</t>
  </si>
  <si>
    <t>Solo Residual 10-20</t>
  </si>
  <si>
    <t>Solo Residual &gt;20</t>
  </si>
  <si>
    <t>Solo de referencia</t>
  </si>
  <si>
    <t>Camada Especifica</t>
  </si>
  <si>
    <t>VERIFICAÇÃO GLOBAL DE EQUILÍBRIO (Muro em Balanço)</t>
  </si>
  <si>
    <t>Empuxo Ativo Total (tf):</t>
  </si>
  <si>
    <t>Capacidade Passiva Máxima (tf):</t>
  </si>
  <si>
    <t>Momento Tombamento Base (tf.m):</t>
  </si>
  <si>
    <t>Momento Resistente Base (tf.m):</t>
  </si>
  <si>
    <t>FS Deslizamento (Passivo/Ativo):</t>
  </si>
  <si>
    <t>FS Tombamento (M_res/M_tom):</t>
  </si>
  <si>
    <t>Força Ativa Nó (tf)</t>
  </si>
  <si>
    <t>Força Passiva Nó (tf)</t>
  </si>
  <si>
    <t>x2: Desloc. Plastificação STRAP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</si>
</sst>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color rgb="FF006100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2" fillId="2" borderId="0" xfId="0" applyFont="1" applyFill="1"/>
    <xf numFmtId="0" fontId="0" fillId="0" borderId="0" xfId="0"/>
    <xf numFmtId="2" fontId="0" fillId="4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Cargas Ativas na Parede (tf/m)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q_Solo Efetivo</c:v>
          </c:tx>
          <c:spPr>
            <a:ln w="25000">
              <a:solidFill>
                <a:srgbClr val="8B4513"/>
              </a:solidFill>
              <a:prstDash val="solid"/>
            </a:ln>
          </c:spPr>
          <c:marker>
            <c:symbol val="none"/>
          </c:marker>
          <c:xVal>
            <c:numRef>
              <c:f>Empuxos_Separados_STRAP!$V$37:$V$65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0.13328647595198373</c:v>
                </c:pt>
                <c:pt idx="3">
                  <c:v>0.55003348303283039</c:v>
                </c:pt>
                <c:pt idx="4">
                  <c:v>0.96678049011367717</c:v>
                </c:pt>
                <c:pt idx="5">
                  <c:v>1.3835274971945239</c:v>
                </c:pt>
                <c:pt idx="6">
                  <c:v>1.3835274971945239</c:v>
                </c:pt>
                <c:pt idx="7">
                  <c:v>1.5551292059925197</c:v>
                </c:pt>
                <c:pt idx="8">
                  <c:v>1.726730914790515</c:v>
                </c:pt>
                <c:pt idx="9">
                  <c:v>1.8983326235885107</c:v>
                </c:pt>
                <c:pt idx="10">
                  <c:v>0.91838527351251331</c:v>
                </c:pt>
                <c:pt idx="11">
                  <c:v>1.0651782781242845</c:v>
                </c:pt>
                <c:pt idx="12">
                  <c:v>1.2122654570939955</c:v>
                </c:pt>
                <c:pt idx="13">
                  <c:v>1.3593526360637065</c:v>
                </c:pt>
                <c:pt idx="14">
                  <c:v>1.8795366468275805</c:v>
                </c:pt>
                <c:pt idx="15">
                  <c:v>2.0213030268874013</c:v>
                </c:pt>
                <c:pt idx="16">
                  <c:v>2.1633535079092656</c:v>
                </c:pt>
                <c:pt idx="17">
                  <c:v>2.3054039889311309</c:v>
                </c:pt>
                <c:pt idx="18">
                  <c:v>2.1429938555586308</c:v>
                </c:pt>
                <c:pt idx="19">
                  <c:v>2.2693555747829945</c:v>
                </c:pt>
                <c:pt idx="20">
                  <c:v>2.3957172940073588</c:v>
                </c:pt>
                <c:pt idx="21">
                  <c:v>2.5220790132317226</c:v>
                </c:pt>
                <c:pt idx="22">
                  <c:v>2.6484407324560864</c:v>
                </c:pt>
                <c:pt idx="23">
                  <c:v>2.7748024516804506</c:v>
                </c:pt>
                <c:pt idx="24">
                  <c:v>2.9011641709048148</c:v>
                </c:pt>
                <c:pt idx="25">
                  <c:v>1.7754694417743762</c:v>
                </c:pt>
                <c:pt idx="26">
                  <c:v>1.2527615154960587</c:v>
                </c:pt>
                <c:pt idx="27">
                  <c:v>1.3968059919382969</c:v>
                </c:pt>
                <c:pt idx="28">
                  <c:v>1.5408504683805351</c:v>
                </c:pt>
              </c:numCache>
            </c:numRef>
          </c:xVal>
          <c:yVal>
            <c:numRef>
              <c:f>Empuxos_Separados_STRAP!$A$37:$A$65</c:f>
              <c:numCache>
                <c:formatCode>0.00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4.0010000000000003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5.5010000000000003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10.500999999999999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D-467B-8D65-05932AE06E0E}"/>
            </c:ext>
          </c:extLst>
        </c:ser>
        <c:ser>
          <c:idx val="1"/>
          <c:order val="1"/>
          <c:tx>
            <c:v>q_Sobrecarga (q)</c:v>
          </c:tx>
          <c:spPr>
            <a:ln w="250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Empuxos_Separados_STRAP!$W$37:$W$65</c:f>
              <c:numCache>
                <c:formatCode>0.00</c:formatCode>
                <c:ptCount val="29"/>
                <c:pt idx="0">
                  <c:v>1.4708717896971062</c:v>
                </c:pt>
                <c:pt idx="1">
                  <c:v>1.4708717896971062</c:v>
                </c:pt>
                <c:pt idx="2">
                  <c:v>1.4708717896971062</c:v>
                </c:pt>
                <c:pt idx="3">
                  <c:v>1.4708717896971062</c:v>
                </c:pt>
                <c:pt idx="4">
                  <c:v>1.4708717896971062</c:v>
                </c:pt>
                <c:pt idx="5">
                  <c:v>1.4708717896971062</c:v>
                </c:pt>
                <c:pt idx="6">
                  <c:v>1.4708717896971062</c:v>
                </c:pt>
                <c:pt idx="7">
                  <c:v>1.4708717896971062</c:v>
                </c:pt>
                <c:pt idx="8">
                  <c:v>1.4708717896971062</c:v>
                </c:pt>
                <c:pt idx="9">
                  <c:v>1.4708717896971062</c:v>
                </c:pt>
                <c:pt idx="10">
                  <c:v>1.4708717896971062</c:v>
                </c:pt>
                <c:pt idx="11">
                  <c:v>1.4708717896971062</c:v>
                </c:pt>
                <c:pt idx="12">
                  <c:v>1.4708717896971062</c:v>
                </c:pt>
                <c:pt idx="13">
                  <c:v>1.4708717896971062</c:v>
                </c:pt>
                <c:pt idx="14">
                  <c:v>1.2175755516159823</c:v>
                </c:pt>
                <c:pt idx="15">
                  <c:v>1.2175755516159823</c:v>
                </c:pt>
                <c:pt idx="16">
                  <c:v>1.2175755516159823</c:v>
                </c:pt>
                <c:pt idx="17">
                  <c:v>1.2175755516159823</c:v>
                </c:pt>
                <c:pt idx="18">
                  <c:v>1.0831004504945492</c:v>
                </c:pt>
                <c:pt idx="19">
                  <c:v>1.0831004504945492</c:v>
                </c:pt>
                <c:pt idx="20">
                  <c:v>1.0831004504945492</c:v>
                </c:pt>
                <c:pt idx="21">
                  <c:v>1.0831004504945492</c:v>
                </c:pt>
                <c:pt idx="22">
                  <c:v>1.0831004504945492</c:v>
                </c:pt>
                <c:pt idx="23">
                  <c:v>1.0831004504945492</c:v>
                </c:pt>
                <c:pt idx="24">
                  <c:v>1.0831004504945492</c:v>
                </c:pt>
                <c:pt idx="25">
                  <c:v>1.0409220941096615</c:v>
                </c:pt>
                <c:pt idx="26">
                  <c:v>0.96029650961492341</c:v>
                </c:pt>
                <c:pt idx="27">
                  <c:v>0.96029650961492341</c:v>
                </c:pt>
                <c:pt idx="28">
                  <c:v>0.96029650961492341</c:v>
                </c:pt>
              </c:numCache>
            </c:numRef>
          </c:xVal>
          <c:yVal>
            <c:numRef>
              <c:f>Empuxos_Separados_STRAP!$A$37:$A$65</c:f>
              <c:numCache>
                <c:formatCode>0.00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4.0010000000000003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5.5010000000000003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10.500999999999999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D-467B-8D65-05932AE0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Carga Distribuída (tf/m)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Profundidade Z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Rigidez K_mola: Raiz vs Prancha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K mola</c:v>
          </c:tx>
          <c:spPr>
            <a:ln w="250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Empuxos_Separados_STRAP!$AA$37:$AA$65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100.20000000000007</c:v>
                </c:pt>
                <c:pt idx="10">
                  <c:v>50</c:v>
                </c:pt>
                <c:pt idx="11">
                  <c:v>99.899999999999963</c:v>
                </c:pt>
                <c:pt idx="12">
                  <c:v>100</c:v>
                </c:pt>
                <c:pt idx="13">
                  <c:v>50.100000000000037</c:v>
                </c:pt>
                <c:pt idx="14">
                  <c:v>75</c:v>
                </c:pt>
                <c:pt idx="15">
                  <c:v>149.84999999999994</c:v>
                </c:pt>
                <c:pt idx="16">
                  <c:v>150</c:v>
                </c:pt>
                <c:pt idx="17">
                  <c:v>150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125.24999999999986</c:v>
                </c:pt>
                <c:pt idx="25">
                  <c:v>462.5</c:v>
                </c:pt>
                <c:pt idx="26">
                  <c:v>1498.5000000000009</c:v>
                </c:pt>
                <c:pt idx="27">
                  <c:v>1500</c:v>
                </c:pt>
                <c:pt idx="28">
                  <c:v>750</c:v>
                </c:pt>
              </c:numCache>
            </c:numRef>
          </c:xVal>
          <c:yVal>
            <c:numRef>
              <c:f>Empuxos_Separados_STRAP!$A$37:$A$65</c:f>
              <c:numCache>
                <c:formatCode>0.00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4.0010000000000003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5.5010000000000003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10.500999999999999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E-4EB0-8F2C-CB523054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Rigidez Mola (tf/m)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Profundidade Z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F_max (Plastificação): Raiz vs Prancha (Apenas Solo)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Fmax</c:v>
          </c:tx>
          <c:spPr>
            <a:ln w="250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Empuxos_Separados_STRAP!$AB$37:$AB$65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0.7140740033710572</c:v>
                </c:pt>
                <c:pt idx="6">
                  <c:v>0.7140740033710572</c:v>
                </c:pt>
                <c:pt idx="7">
                  <c:v>1.0710051809743151</c:v>
                </c:pt>
                <c:pt idx="8">
                  <c:v>1.4279363585775733</c:v>
                </c:pt>
                <c:pt idx="9">
                  <c:v>0.89421863562659698</c:v>
                </c:pt>
                <c:pt idx="10">
                  <c:v>1.3926425016277588</c:v>
                </c:pt>
                <c:pt idx="11">
                  <c:v>3.1383608161850649</c:v>
                </c:pt>
                <c:pt idx="12">
                  <c:v>3.3965551399852116</c:v>
                </c:pt>
                <c:pt idx="13">
                  <c:v>1.8804455529632591</c:v>
                </c:pt>
                <c:pt idx="14">
                  <c:v>1.5940100743890007</c:v>
                </c:pt>
                <c:pt idx="15">
                  <c:v>3.6147241786997912</c:v>
                </c:pt>
                <c:pt idx="16">
                  <c:v>4.0495272631478816</c:v>
                </c:pt>
                <c:pt idx="17">
                  <c:v>4.4807120050747473</c:v>
                </c:pt>
                <c:pt idx="18">
                  <c:v>5.4715986184248813</c:v>
                </c:pt>
                <c:pt idx="19">
                  <c:v>5.9563182026151402</c:v>
                </c:pt>
                <c:pt idx="20">
                  <c:v>6.4410377868053992</c:v>
                </c:pt>
                <c:pt idx="21">
                  <c:v>6.9257573709956564</c:v>
                </c:pt>
                <c:pt idx="22">
                  <c:v>7.4104769551859153</c:v>
                </c:pt>
                <c:pt idx="23">
                  <c:v>7.8951965393761743</c:v>
                </c:pt>
                <c:pt idx="24">
                  <c:v>4.1983379779067782</c:v>
                </c:pt>
                <c:pt idx="25">
                  <c:v>5.073233806962766</c:v>
                </c:pt>
                <c:pt idx="26">
                  <c:v>12.14066349473185</c:v>
                </c:pt>
                <c:pt idx="27">
                  <c:v>12.855568006215261</c:v>
                </c:pt>
                <c:pt idx="28">
                  <c:v>6.7793160524486868</c:v>
                </c:pt>
              </c:numCache>
            </c:numRef>
          </c:xVal>
          <c:yVal>
            <c:numRef>
              <c:f>Empuxos_Separados_STRAP!$A$37:$A$65</c:f>
              <c:numCache>
                <c:formatCode>0.00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4.0010000000000003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5.5010000000000003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10.500999999999999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4-428B-8EBC-24D9B49A7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Força Nodal Máxima (tf)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Profundidade Z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590550</xdr:colOff>
      <xdr:row>12</xdr:row>
      <xdr:rowOff>85725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33</xdr:col>
      <xdr:colOff>590550</xdr:colOff>
      <xdr:row>33</xdr:row>
      <xdr:rowOff>152400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34</xdr:col>
      <xdr:colOff>209550</xdr:colOff>
      <xdr:row>54</xdr:row>
      <xdr:rowOff>133350</xdr:rowOff>
    </xdr:from>
    <xdr:ext cx="57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tabSelected="1" zoomScaleNormal="100" workbookViewId="0">
      <pane xSplit="1" topLeftCell="B1" activePane="topRight" state="frozen"/>
      <selection pane="topRight" activeCell="K26" sqref="K26"/>
    </sheetView>
  </sheetViews>
  <sheetFormatPr defaultRowHeight="15" x14ac:dyDescent="0.25"/>
  <cols>
    <col min="1" max="1" width="21.140625" bestFit="1" customWidth="1"/>
    <col min="2" max="2" width="17.7109375" bestFit="1" customWidth="1"/>
    <col min="3" max="3" width="10.42578125" bestFit="1" customWidth="1"/>
    <col min="4" max="4" width="10.140625" bestFit="1" customWidth="1"/>
    <col min="5" max="5" width="7.5703125" bestFit="1" customWidth="1"/>
    <col min="6" max="6" width="5.5703125" bestFit="1" customWidth="1"/>
    <col min="7" max="8" width="8.5703125" bestFit="1" customWidth="1"/>
    <col min="9" max="9" width="9" bestFit="1" customWidth="1"/>
    <col min="10" max="10" width="7.42578125" bestFit="1" customWidth="1"/>
    <col min="11" max="12" width="11.7109375" bestFit="1" customWidth="1"/>
    <col min="13" max="13" width="7.7109375" bestFit="1" customWidth="1"/>
    <col min="14" max="14" width="11.42578125" bestFit="1" customWidth="1"/>
    <col min="15" max="15" width="9.85546875" bestFit="1" customWidth="1"/>
    <col min="16" max="16" width="7.85546875" bestFit="1" customWidth="1"/>
    <col min="17" max="17" width="8" bestFit="1" customWidth="1"/>
    <col min="18" max="18" width="6.85546875" bestFit="1" customWidth="1"/>
    <col min="19" max="19" width="17.140625" customWidth="1"/>
    <col min="20" max="20" width="13.28515625" customWidth="1"/>
    <col min="21" max="21" width="8.7109375" bestFit="1" customWidth="1"/>
    <col min="22" max="22" width="9" bestFit="1" customWidth="1"/>
    <col min="23" max="23" width="8.140625" bestFit="1" customWidth="1"/>
    <col min="24" max="24" width="8.5703125" bestFit="1" customWidth="1"/>
    <col min="25" max="25" width="18" customWidth="1"/>
    <col min="26" max="26" width="8.42578125" customWidth="1"/>
    <col min="27" max="27" width="7.5703125" bestFit="1" customWidth="1"/>
    <col min="28" max="28" width="8.85546875" bestFit="1" customWidth="1"/>
    <col min="29" max="30" width="8.85546875" customWidth="1"/>
  </cols>
  <sheetData>
    <row r="1" spans="1:25" x14ac:dyDescent="0.25">
      <c r="A1" s="4" t="s">
        <v>0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</row>
    <row r="2" spans="1:25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25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25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25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5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25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25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25" x14ac:dyDescent="0.25">
      <c r="A9" s="11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25" x14ac:dyDescent="0.25">
      <c r="A10" s="11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Y10" s="13"/>
    </row>
    <row r="11" spans="1:25" x14ac:dyDescent="0.25">
      <c r="A11" s="11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Y11" s="3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Y12" s="3"/>
    </row>
    <row r="13" spans="1:2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Y13" s="3"/>
    </row>
    <row r="14" spans="1:25" x14ac:dyDescent="0.25">
      <c r="A14" s="4" t="s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Y14" s="3"/>
    </row>
    <row r="15" spans="1:25" x14ac:dyDescent="0.25">
      <c r="A15" s="1" t="s">
        <v>67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O15" s="1" t="s">
        <v>25</v>
      </c>
      <c r="Y15" s="3"/>
    </row>
    <row r="16" spans="1:25" x14ac:dyDescent="0.25">
      <c r="A16" t="s">
        <v>56</v>
      </c>
      <c r="B16" t="s">
        <v>26</v>
      </c>
      <c r="C16">
        <v>0</v>
      </c>
      <c r="D16">
        <v>4</v>
      </c>
      <c r="E16">
        <v>5</v>
      </c>
      <c r="F16">
        <v>1</v>
      </c>
      <c r="G16">
        <v>500</v>
      </c>
      <c r="H16">
        <v>1.7</v>
      </c>
      <c r="I16">
        <v>0.5</v>
      </c>
      <c r="J16">
        <v>20</v>
      </c>
      <c r="K16">
        <v>0.65800000000000003</v>
      </c>
      <c r="L16">
        <v>0.39700000000000002</v>
      </c>
      <c r="M16">
        <v>0.49</v>
      </c>
      <c r="N16">
        <v>2.04</v>
      </c>
      <c r="O16">
        <v>400</v>
      </c>
      <c r="Y16" s="3"/>
    </row>
    <row r="17" spans="1:25" x14ac:dyDescent="0.25">
      <c r="A17" t="s">
        <v>55</v>
      </c>
      <c r="B17" t="s">
        <v>26</v>
      </c>
      <c r="C17">
        <v>0</v>
      </c>
      <c r="D17">
        <v>4</v>
      </c>
      <c r="E17">
        <v>5</v>
      </c>
      <c r="F17">
        <v>1</v>
      </c>
      <c r="G17">
        <v>500</v>
      </c>
      <c r="H17">
        <v>1.8</v>
      </c>
      <c r="I17">
        <v>1</v>
      </c>
      <c r="J17">
        <v>23</v>
      </c>
      <c r="K17">
        <v>0.60899999999999999</v>
      </c>
      <c r="L17">
        <v>0.379</v>
      </c>
      <c r="M17">
        <v>0.438</v>
      </c>
      <c r="N17">
        <v>2.2829999999999999</v>
      </c>
      <c r="O17">
        <v>475</v>
      </c>
      <c r="Y17" s="3"/>
    </row>
    <row r="18" spans="1:25" x14ac:dyDescent="0.25">
      <c r="A18" t="s">
        <v>57</v>
      </c>
      <c r="B18" t="s">
        <v>27</v>
      </c>
      <c r="C18">
        <v>4</v>
      </c>
      <c r="D18">
        <v>5.5</v>
      </c>
      <c r="E18">
        <v>2</v>
      </c>
      <c r="F18">
        <v>1.43</v>
      </c>
      <c r="G18">
        <v>286</v>
      </c>
      <c r="H18">
        <v>1.5</v>
      </c>
      <c r="I18">
        <v>0.8</v>
      </c>
      <c r="J18">
        <v>15</v>
      </c>
      <c r="K18">
        <v>0.74099999999999999</v>
      </c>
      <c r="L18">
        <v>0.42599999999999999</v>
      </c>
      <c r="M18">
        <v>0.58899999999999997</v>
      </c>
      <c r="N18">
        <v>1.698</v>
      </c>
      <c r="O18">
        <v>100</v>
      </c>
      <c r="Y18" s="3"/>
    </row>
    <row r="19" spans="1:25" x14ac:dyDescent="0.25">
      <c r="A19" t="s">
        <v>58</v>
      </c>
      <c r="B19" t="s">
        <v>27</v>
      </c>
      <c r="C19">
        <v>4</v>
      </c>
      <c r="D19">
        <v>5.5</v>
      </c>
      <c r="E19">
        <v>3</v>
      </c>
      <c r="F19">
        <v>1.43</v>
      </c>
      <c r="G19">
        <v>429</v>
      </c>
      <c r="H19">
        <v>1.5</v>
      </c>
      <c r="I19">
        <v>0.8</v>
      </c>
      <c r="J19">
        <v>18</v>
      </c>
      <c r="K19">
        <v>0.69099999999999995</v>
      </c>
      <c r="L19">
        <v>0.40899999999999997</v>
      </c>
      <c r="M19">
        <v>0.52800000000000002</v>
      </c>
      <c r="N19">
        <v>1.8939999999999999</v>
      </c>
      <c r="O19">
        <v>150</v>
      </c>
      <c r="Y19" s="3"/>
    </row>
    <row r="20" spans="1:25" x14ac:dyDescent="0.25">
      <c r="A20" t="s">
        <v>59</v>
      </c>
      <c r="B20" t="s">
        <v>27</v>
      </c>
      <c r="C20">
        <v>4</v>
      </c>
      <c r="D20">
        <v>5.5</v>
      </c>
      <c r="E20">
        <v>4</v>
      </c>
      <c r="F20">
        <v>1.43</v>
      </c>
      <c r="G20">
        <v>572</v>
      </c>
      <c r="H20">
        <v>1.6</v>
      </c>
      <c r="I20">
        <v>1.2</v>
      </c>
      <c r="J20">
        <v>20</v>
      </c>
      <c r="K20">
        <v>0.65800000000000003</v>
      </c>
      <c r="L20">
        <v>0.39700000000000002</v>
      </c>
      <c r="M20">
        <v>0.49</v>
      </c>
      <c r="N20">
        <v>2.04</v>
      </c>
      <c r="O20">
        <v>200</v>
      </c>
      <c r="Y20" s="3"/>
    </row>
    <row r="21" spans="1:25" x14ac:dyDescent="0.25">
      <c r="A21" t="s">
        <v>60</v>
      </c>
      <c r="B21" t="s">
        <v>28</v>
      </c>
      <c r="C21">
        <v>5.5</v>
      </c>
      <c r="D21">
        <v>10.5</v>
      </c>
      <c r="E21">
        <v>5</v>
      </c>
      <c r="F21">
        <v>2.5</v>
      </c>
      <c r="G21">
        <v>1250</v>
      </c>
      <c r="H21">
        <v>1.7</v>
      </c>
      <c r="I21">
        <v>0.5</v>
      </c>
      <c r="J21">
        <v>25</v>
      </c>
      <c r="K21">
        <v>0.57699999999999996</v>
      </c>
      <c r="L21">
        <v>0.36599999999999999</v>
      </c>
      <c r="M21">
        <v>0.40600000000000003</v>
      </c>
      <c r="N21">
        <v>2.464</v>
      </c>
      <c r="O21">
        <v>300</v>
      </c>
      <c r="Y21" s="3"/>
    </row>
    <row r="22" spans="1:25" x14ac:dyDescent="0.25">
      <c r="A22" t="s">
        <v>61</v>
      </c>
      <c r="B22" t="s">
        <v>28</v>
      </c>
      <c r="C22">
        <v>5.5</v>
      </c>
      <c r="D22">
        <v>10.5</v>
      </c>
      <c r="E22">
        <v>15</v>
      </c>
      <c r="F22">
        <v>2.5</v>
      </c>
      <c r="G22">
        <v>3750</v>
      </c>
      <c r="H22">
        <v>1.7</v>
      </c>
      <c r="I22">
        <v>0.5</v>
      </c>
      <c r="J22">
        <v>28</v>
      </c>
      <c r="K22">
        <v>0.53100000000000003</v>
      </c>
      <c r="L22">
        <v>0.34699999999999998</v>
      </c>
      <c r="M22">
        <v>0.36099999999999999</v>
      </c>
      <c r="N22">
        <v>2.77</v>
      </c>
      <c r="O22">
        <v>500</v>
      </c>
      <c r="Y22" s="3"/>
    </row>
    <row r="23" spans="1:25" x14ac:dyDescent="0.25">
      <c r="A23" t="s">
        <v>62</v>
      </c>
      <c r="B23" t="s">
        <v>29</v>
      </c>
      <c r="C23">
        <v>10.5</v>
      </c>
      <c r="D23">
        <v>12</v>
      </c>
      <c r="E23">
        <v>5</v>
      </c>
      <c r="F23">
        <v>2</v>
      </c>
      <c r="G23">
        <v>1000</v>
      </c>
      <c r="H23">
        <v>1.7</v>
      </c>
      <c r="I23">
        <v>0.9</v>
      </c>
      <c r="J23">
        <v>22</v>
      </c>
      <c r="K23">
        <v>0.625</v>
      </c>
      <c r="L23">
        <v>0.38500000000000001</v>
      </c>
      <c r="M23">
        <v>0.45500000000000002</v>
      </c>
      <c r="N23">
        <v>2.198</v>
      </c>
      <c r="O23">
        <v>800</v>
      </c>
      <c r="Y23" s="3"/>
    </row>
    <row r="24" spans="1:25" x14ac:dyDescent="0.25">
      <c r="A24" t="s">
        <v>63</v>
      </c>
      <c r="B24" t="s">
        <v>29</v>
      </c>
      <c r="C24">
        <v>10.5</v>
      </c>
      <c r="D24">
        <v>12</v>
      </c>
      <c r="E24">
        <v>7.5</v>
      </c>
      <c r="F24">
        <v>2</v>
      </c>
      <c r="G24">
        <v>1500</v>
      </c>
      <c r="H24">
        <v>1.8</v>
      </c>
      <c r="I24">
        <v>1.1000000000000001</v>
      </c>
      <c r="J24">
        <v>26</v>
      </c>
      <c r="K24">
        <v>0.56200000000000006</v>
      </c>
      <c r="L24">
        <v>0.36</v>
      </c>
      <c r="M24">
        <v>0.39</v>
      </c>
      <c r="N24">
        <v>2.5609999999999999</v>
      </c>
      <c r="O24">
        <v>1350</v>
      </c>
      <c r="Y24" s="3"/>
    </row>
    <row r="25" spans="1:25" x14ac:dyDescent="0.25">
      <c r="A25" t="s">
        <v>64</v>
      </c>
      <c r="B25" t="s">
        <v>29</v>
      </c>
      <c r="C25">
        <v>10.5</v>
      </c>
      <c r="D25">
        <v>12</v>
      </c>
      <c r="E25">
        <v>15</v>
      </c>
      <c r="F25">
        <v>2</v>
      </c>
      <c r="G25">
        <v>3000</v>
      </c>
      <c r="H25">
        <v>1.8</v>
      </c>
      <c r="I25">
        <v>1.35</v>
      </c>
      <c r="J25">
        <v>29</v>
      </c>
      <c r="K25">
        <v>0.51500000000000001</v>
      </c>
      <c r="L25">
        <v>0.34</v>
      </c>
      <c r="M25">
        <v>0.34699999999999998</v>
      </c>
      <c r="N25">
        <v>2.8820000000000001</v>
      </c>
      <c r="O25">
        <v>1850</v>
      </c>
      <c r="Y25" s="3"/>
    </row>
    <row r="26" spans="1:25" x14ac:dyDescent="0.25">
      <c r="A26" t="s">
        <v>65</v>
      </c>
      <c r="B26" t="s">
        <v>29</v>
      </c>
      <c r="C26">
        <v>10.5</v>
      </c>
      <c r="D26">
        <v>100</v>
      </c>
      <c r="E26">
        <v>20</v>
      </c>
      <c r="F26">
        <v>2</v>
      </c>
      <c r="G26">
        <v>4000</v>
      </c>
      <c r="H26">
        <v>1.9</v>
      </c>
      <c r="I26">
        <v>1.75</v>
      </c>
      <c r="J26">
        <v>31</v>
      </c>
      <c r="K26">
        <v>0.48499999999999999</v>
      </c>
      <c r="L26">
        <v>0.32700000000000001</v>
      </c>
      <c r="M26">
        <v>0.32</v>
      </c>
      <c r="N26">
        <v>3.1240000000000001</v>
      </c>
      <c r="O26">
        <v>3000</v>
      </c>
      <c r="S26" s="17" t="s">
        <v>68</v>
      </c>
      <c r="T26" s="5"/>
      <c r="U26" s="5"/>
      <c r="V26" s="5"/>
      <c r="Y26" s="3"/>
    </row>
    <row r="27" spans="1:25" x14ac:dyDescent="0.25">
      <c r="S27" s="19" t="s">
        <v>69</v>
      </c>
      <c r="T27" s="19"/>
      <c r="U27" s="3">
        <f>SUM(Y37:Y78)</f>
        <v>35.940774373005603</v>
      </c>
      <c r="Y27" s="3"/>
    </row>
    <row r="28" spans="1:25" x14ac:dyDescent="0.25">
      <c r="A28" s="2" t="s">
        <v>30</v>
      </c>
      <c r="B28" s="10">
        <v>2.5</v>
      </c>
      <c r="S28" s="19" t="s">
        <v>70</v>
      </c>
      <c r="T28" s="19"/>
      <c r="U28" s="3">
        <f>SUM(Z37:Z78)</f>
        <v>109.51579052566181</v>
      </c>
      <c r="Y28" s="3"/>
    </row>
    <row r="29" spans="1:25" x14ac:dyDescent="0.25">
      <c r="A29" s="2" t="s">
        <v>31</v>
      </c>
      <c r="B29" s="10">
        <v>3</v>
      </c>
      <c r="C29">
        <f>3/8</f>
        <v>0.375</v>
      </c>
      <c r="S29" s="19" t="s">
        <v>71</v>
      </c>
      <c r="T29" s="19"/>
      <c r="U29" s="3" cm="1">
        <f t="array" ref="U29">SUMPRODUCT(Y37:Y78, 12-A37:A78)</f>
        <v>204.91723325617789</v>
      </c>
      <c r="Y29" s="3"/>
    </row>
    <row r="30" spans="1:25" x14ac:dyDescent="0.25">
      <c r="A30" s="2" t="s">
        <v>32</v>
      </c>
      <c r="B30" s="10">
        <v>2.5</v>
      </c>
      <c r="S30" s="19" t="s">
        <v>72</v>
      </c>
      <c r="T30" s="19"/>
      <c r="U30" s="3" cm="1">
        <f t="array" ref="U30">SUMPRODUCT(Z37:Z78, MAX(A37:A78)-A37:A78)</f>
        <v>348.45336127837942</v>
      </c>
      <c r="Y30" s="3"/>
    </row>
    <row r="31" spans="1:25" x14ac:dyDescent="0.25">
      <c r="A31" s="2" t="s">
        <v>33</v>
      </c>
      <c r="B31" s="10">
        <v>1</v>
      </c>
      <c r="S31" s="19" t="s">
        <v>73</v>
      </c>
      <c r="T31" s="19"/>
      <c r="U31" s="3">
        <f>U28/U27</f>
        <v>3.0471182782282216</v>
      </c>
      <c r="V31" s="18" t="str">
        <f>IF(U31&gt;1.5, "OK (Seguro)", IF(U31&gt;1, "Limítrofe", "FALHA (Sem Equilíbrio)"))</f>
        <v>OK (Seguro)</v>
      </c>
      <c r="Y31" s="3"/>
    </row>
    <row r="32" spans="1:25" x14ac:dyDescent="0.25">
      <c r="A32" s="2" t="s">
        <v>34</v>
      </c>
      <c r="B32" s="10">
        <v>1</v>
      </c>
      <c r="S32" s="19" t="s">
        <v>74</v>
      </c>
      <c r="T32" s="19"/>
      <c r="U32" s="3">
        <f>U30/U29</f>
        <v>1.7004590377362718</v>
      </c>
      <c r="V32" s="18" t="str">
        <f>IF(U32&gt;1.5, "OK (Seguro)", IF(U32&gt;1, "Limítrofe", "FALHA (Sem Equilíbrio)"))</f>
        <v>OK (Seguro)</v>
      </c>
      <c r="Y32" s="3"/>
    </row>
    <row r="33" spans="1:32" x14ac:dyDescent="0.25">
      <c r="Y33" s="3"/>
    </row>
    <row r="34" spans="1:32" x14ac:dyDescent="0.25">
      <c r="Y34" s="3"/>
    </row>
    <row r="35" spans="1:32" x14ac:dyDescent="0.25">
      <c r="A35" s="12" t="s">
        <v>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32" ht="48" x14ac:dyDescent="0.25">
      <c r="A36" s="13" t="s">
        <v>36</v>
      </c>
      <c r="B36" s="13" t="s">
        <v>66</v>
      </c>
      <c r="C36" s="13" t="s">
        <v>54</v>
      </c>
      <c r="D36" s="13" t="s">
        <v>18</v>
      </c>
      <c r="E36" s="13" t="s">
        <v>19</v>
      </c>
      <c r="F36" s="13" t="s">
        <v>20</v>
      </c>
      <c r="G36" s="13" t="s">
        <v>23</v>
      </c>
      <c r="H36" s="13" t="s">
        <v>24</v>
      </c>
      <c r="I36" s="13" t="s">
        <v>25</v>
      </c>
      <c r="J36" s="13" t="s">
        <v>37</v>
      </c>
      <c r="K36" s="13" t="s">
        <v>38</v>
      </c>
      <c r="L36" s="13" t="s">
        <v>39</v>
      </c>
      <c r="M36" s="13" t="s">
        <v>40</v>
      </c>
      <c r="N36" s="13" t="s">
        <v>41</v>
      </c>
      <c r="O36" s="13" t="s">
        <v>42</v>
      </c>
      <c r="P36" s="13" t="s">
        <v>43</v>
      </c>
      <c r="Q36" s="13" t="s">
        <v>44</v>
      </c>
      <c r="R36" s="13" t="s">
        <v>45</v>
      </c>
      <c r="S36" s="13" t="s">
        <v>46</v>
      </c>
      <c r="T36" s="13" t="s">
        <v>47</v>
      </c>
      <c r="U36" s="13" t="s">
        <v>48</v>
      </c>
      <c r="V36" s="13" t="s">
        <v>49</v>
      </c>
      <c r="W36" s="13" t="s">
        <v>50</v>
      </c>
      <c r="X36" s="13" t="s">
        <v>51</v>
      </c>
      <c r="Y36" s="13" t="s">
        <v>75</v>
      </c>
      <c r="Z36" s="13" t="s">
        <v>76</v>
      </c>
      <c r="AA36" s="13" t="s">
        <v>52</v>
      </c>
      <c r="AB36" s="13" t="s">
        <v>53</v>
      </c>
      <c r="AC36" s="13" t="s">
        <v>77</v>
      </c>
      <c r="AD36" s="13"/>
    </row>
    <row r="37" spans="1:32" x14ac:dyDescent="0.25">
      <c r="A37" s="3">
        <v>0</v>
      </c>
      <c r="B37" s="10" t="str">
        <f>IF(A37&lt;=$D$17,$B$16,IF(A37&lt;=$D$20,$B$18,IF(A37&lt;=$D$22,$B$21,IF(A37&lt;=$D$26,$B$23))))</f>
        <v>Aterro</v>
      </c>
      <c r="C37" s="14">
        <v>2</v>
      </c>
      <c r="D37" s="3">
        <f>IF(B37="Aterro", IF(C37&lt;5, 1.7, 1.8), IF(B37="Aluvionar Argiloso", IF(C37&lt;2, 1.5, IF(C37&lt;=4, 1.5, 1.6)), IF(B37="Aluvionar Arenoso", IF(C37&lt;10, 1.7, 1.7), IF(B37="Solo Residual", IF(C37&lt;5, 1.7, IF(C37&lt;10, 1.8, IF(C37&lt;=20, 1.8, 1.9))), 0))))</f>
        <v>1.7</v>
      </c>
      <c r="E37" s="3">
        <f>IF(B37="Aterro", IF(C37&lt;5, 0.5, 1), IF(B37="Aluvionar Argiloso", IF(C37&lt;2, 0.8, IF(C37&lt;=4, 0.8, 1.2)), IF(B37="Aluvionar Arenoso", IF(C37&lt;10, 0.5, 0.5), IF(B37="Solo Residual", IF(C37&lt;5, 0.9, IF(C37&lt;10, 1.1, IF(C37&lt;=20, 1.35, 1.75))), 0))))</f>
        <v>0.5</v>
      </c>
      <c r="F37" s="3">
        <f>IF(B37="Aterro", IF(C37&lt;5, 20, 23), IF(B37="Aluvionar Argiloso", IF(C37&lt;2, 15, IF(C37&lt;=4, 18, 20)), IF(B37="Aluvionar Arenoso", IF(C37&lt;10, 25, 28), IF(B37="Solo Residual", IF(C37&lt;5, 22, IF(C37&lt;10, 26, IF(C37&lt;=20, 29, 31))), 0))))</f>
        <v>20</v>
      </c>
      <c r="G37" s="3">
        <f>TAN(RADIANS(45 - F37/2))^2</f>
        <v>0.49029059656570206</v>
      </c>
      <c r="H37" s="3">
        <f>TAN(RADIANS(45 + F37/2))^2</f>
        <v>2.0396067291614743</v>
      </c>
      <c r="I37" s="3">
        <f>IF(B37="Aterro", IF(C37&lt;5, 400, 475), IF(B37="Aluvionar Argiloso", IF(C37&lt;2, 100, IF(C37&lt;=4, 150, 200)), IF(B37="Aluvionar Arenoso", IF(C37&lt;10, 300, 500), IF(B37="Solo Residual", IF(C37&lt;5, 800, IF(C37&lt;10, 1350, IF(C37&lt;=20, 1850, 3000))), 0))))</f>
        <v>400</v>
      </c>
      <c r="J37" s="3">
        <f>(A38-A37)/2</f>
        <v>0.25</v>
      </c>
      <c r="K37" s="3">
        <f>MAX(0, (A37 - $B$28)*1)</f>
        <v>0</v>
      </c>
      <c r="L37" s="3">
        <v>0</v>
      </c>
      <c r="M37" s="3">
        <f>L37 - K37</f>
        <v>0</v>
      </c>
      <c r="N37" s="3">
        <f>MAX(0, M37*G37 - 2*E37*SQRT(G37))</f>
        <v>0</v>
      </c>
      <c r="O37" s="3">
        <f>$B$29 * G37</f>
        <v>1.4708717896971062</v>
      </c>
      <c r="P37" s="3">
        <f>N37 + O37</f>
        <v>1.4708717896971062</v>
      </c>
      <c r="Q37" s="3">
        <f>IF(A37&gt;=$B$30, MAX(0, (A37 - $B$30)*1), 0)</f>
        <v>0</v>
      </c>
      <c r="R37" s="3">
        <v>0</v>
      </c>
      <c r="S37" s="3">
        <f>R37 - Q37</f>
        <v>0</v>
      </c>
      <c r="T37" s="3">
        <f>IF(A37&gt;=$B$30, S37*H37 + 2*E37*SQRT(H37), 0)</f>
        <v>0</v>
      </c>
      <c r="U37" s="3">
        <f>T37</f>
        <v>0</v>
      </c>
      <c r="V37" s="3">
        <f>N37 * $B$32</f>
        <v>0</v>
      </c>
      <c r="W37" s="3">
        <f>O37 * $B$32</f>
        <v>1.4708717896971062</v>
      </c>
      <c r="X37" s="3">
        <f>K37 * $B$32</f>
        <v>0</v>
      </c>
      <c r="Y37" s="3">
        <f>P37 * $B$32 * J37</f>
        <v>0.36771794742427655</v>
      </c>
      <c r="Z37" s="3">
        <f>U37 * $B$32 * J37</f>
        <v>0</v>
      </c>
      <c r="AA37" s="3">
        <f>IF(A37&gt;=$B$30, I37 * $B$32 * J37, 0)</f>
        <v>0</v>
      </c>
      <c r="AB37" s="3">
        <f>T37 * $B$32 * J37</f>
        <v>0</v>
      </c>
      <c r="AC37" s="3">
        <f>IF(AA37&gt;0, (AB37 /AA37) * 1000, 0)</f>
        <v>0</v>
      </c>
      <c r="AD37" s="3">
        <f>IF(A37=A38,AVERAGE(AC37:AC38),AC37)</f>
        <v>0</v>
      </c>
    </row>
    <row r="38" spans="1:32" x14ac:dyDescent="0.25">
      <c r="A38" s="3">
        <f>IF(OR(A37=$D$16,A37=$D$18,A37=$D$21),A37+0.001,A37+0.5)</f>
        <v>0.5</v>
      </c>
      <c r="B38" s="10" t="str">
        <f t="shared" ref="B38:B94" si="0">IF(A38&lt;=$D$17,$B$16,IF(A38&lt;=$D$20,$B$18,IF(A38&lt;=$D$22,$B$21,IF(A38&lt;=$D$26,$B$23))))</f>
        <v>Aterro</v>
      </c>
      <c r="C38" s="14">
        <v>2</v>
      </c>
      <c r="D38" s="3">
        <f>IF(B38="Aterro", IF(C38&lt;5, 1.7, 1.8), IF(B38="Aluvionar Argiloso", IF(C38&lt;2, 1.5, IF(C38&lt;=4, 1.5, 1.6)), IF(B38="Aluvionar Arenoso", IF(C38&lt;10, 1.7, 1.7), IF(B38="Solo Residual", IF(C38&lt;5, 1.7, IF(C38&lt;10, 1.8, IF(C38&lt;=20, 1.8, 1.9))), 0))))</f>
        <v>1.7</v>
      </c>
      <c r="E38" s="3">
        <f>IF(B38="Aterro", IF(C38&lt;5, 0.5, 1), IF(B38="Aluvionar Argiloso", IF(C38&lt;2, 0.8, IF(C38&lt;=4, 0.8, 1.2)), IF(B38="Aluvionar Arenoso", IF(C38&lt;10, 0.5, 0.5), IF(B38="Solo Residual", IF(C38&lt;5, 0.9, IF(C38&lt;10, 1.1, IF(C38&lt;=20, 1.35, 1.75))), 0))))</f>
        <v>0.5</v>
      </c>
      <c r="F38" s="3">
        <f>IF(B38="Aterro", IF(C38&lt;5, 20, 23), IF(B38="Aluvionar Argiloso", IF(C38&lt;2, 15, IF(C38&lt;=4, 18, 20)), IF(B38="Aluvionar Arenoso", IF(C38&lt;10, 25, 28), IF(B38="Solo Residual", IF(C38&lt;5, 22, IF(C38&lt;10, 26, IF(C38&lt;=20, 29, 31))), 0))))</f>
        <v>20</v>
      </c>
      <c r="G38" s="3">
        <f>TAN(RADIANS(45 - F38/2))^2</f>
        <v>0.49029059656570206</v>
      </c>
      <c r="H38" s="3">
        <f>TAN(RADIANS(45 + F38/2))^2</f>
        <v>2.0396067291614743</v>
      </c>
      <c r="I38" s="3">
        <f>IF(B38="Aterro", IF(C38&lt;5, 400, 475), IF(B38="Aluvionar Argiloso", IF(C38&lt;2, 100, IF(C38&lt;=4, 150, 200)), IF(B38="Aluvionar Arenoso", IF(C38&lt;10, 300, 500), IF(B38="Solo Residual", IF(C38&lt;5, 800, IF(C38&lt;10, 1350, IF(C38&lt;=20, 1850, 3000))), 0))))</f>
        <v>400</v>
      </c>
      <c r="J38" s="3">
        <f>(A39-A37)/2</f>
        <v>0.5</v>
      </c>
      <c r="K38" s="3">
        <f>MAX(0, (A38 - $B$28)*1)</f>
        <v>0</v>
      </c>
      <c r="L38" s="3">
        <f>L37 + D37*(A38 - A37)</f>
        <v>0.85</v>
      </c>
      <c r="M38" s="3">
        <f>L38 - K38</f>
        <v>0.85</v>
      </c>
      <c r="N38" s="3">
        <f>MAX(0, M38*G38 - 2*E38*SQRT(G38))</f>
        <v>0</v>
      </c>
      <c r="O38" s="3">
        <f>$B$29 * G38</f>
        <v>1.4708717896971062</v>
      </c>
      <c r="P38" s="3">
        <f t="shared" ref="P38:P65" si="1">N38 + O38</f>
        <v>1.4708717896971062</v>
      </c>
      <c r="Q38" s="3">
        <f>IF(A38&gt;=$B$30, MAX(0, (A38 - $B$30)*1), 0)</f>
        <v>0</v>
      </c>
      <c r="R38" s="3">
        <f>IF(A38&lt;=$B$30, 0, R37 + D37*(A38 - A37))</f>
        <v>0</v>
      </c>
      <c r="S38" s="3">
        <f>R38 - Q38</f>
        <v>0</v>
      </c>
      <c r="T38" s="3">
        <f>IF(A38&gt;=$B$30, S38*H38 + 2*E38*SQRT(H38), 0)</f>
        <v>0</v>
      </c>
      <c r="U38" s="3">
        <f t="shared" ref="U38:U94" si="2">T38</f>
        <v>0</v>
      </c>
      <c r="V38" s="3">
        <f>N38 * $B$32</f>
        <v>0</v>
      </c>
      <c r="W38" s="3">
        <f>O38 * $B$32</f>
        <v>1.4708717896971062</v>
      </c>
      <c r="X38" s="3">
        <f>K38 * $B$32</f>
        <v>0</v>
      </c>
      <c r="Y38" s="3">
        <f t="shared" ref="Y38:Y65" si="3">P38 * $B$32 * J38</f>
        <v>0.7354358948485531</v>
      </c>
      <c r="Z38" s="3">
        <f>U38 * $B$32 * J38</f>
        <v>0</v>
      </c>
      <c r="AA38" s="3">
        <f>IF(A38&gt;=$B$30, I38 * $B$32 * J38, 0)</f>
        <v>0</v>
      </c>
      <c r="AB38" s="3">
        <f>T38 * $B$32 * J38</f>
        <v>0</v>
      </c>
      <c r="AC38" s="3">
        <f t="shared" ref="AC38:AC65" si="4">IF(AA38&gt;0, (AB38 /AA38) * 1000, 0)</f>
        <v>0</v>
      </c>
      <c r="AD38" s="3">
        <f t="shared" ref="AD38:AD64" si="5">IF(A38=A39,AVERAGE(AC38:AC39),AC38)</f>
        <v>0</v>
      </c>
    </row>
    <row r="39" spans="1:32" x14ac:dyDescent="0.25">
      <c r="A39" s="3">
        <f t="shared" ref="A39:A65" si="6">IF(OR(A38=$D$16,A38=$D$18,A38=$D$21),A38+0.001,A38+0.5)</f>
        <v>1</v>
      </c>
      <c r="B39" s="10" t="str">
        <f t="shared" si="0"/>
        <v>Aterro</v>
      </c>
      <c r="C39" s="14">
        <v>2</v>
      </c>
      <c r="D39" s="3">
        <f>IF(B39="Aterro", IF(C39&lt;5, 1.7, 1.8), IF(B39="Aluvionar Argiloso", IF(C39&lt;2, 1.5, IF(C39&lt;=4, 1.5, 1.6)), IF(B39="Aluvionar Arenoso", IF(C39&lt;10, 1.7, 1.7), IF(B39="Solo Residual", IF(C39&lt;5, 1.7, IF(C39&lt;10, 1.8, IF(C39&lt;=20, 1.8, 1.9))), 0))))</f>
        <v>1.7</v>
      </c>
      <c r="E39" s="3">
        <f>IF(B39="Aterro", IF(C39&lt;5, 0.5, 1), IF(B39="Aluvionar Argiloso", IF(C39&lt;2, 0.8, IF(C39&lt;=4, 0.8, 1.2)), IF(B39="Aluvionar Arenoso", IF(C39&lt;10, 0.5, 0.5), IF(B39="Solo Residual", IF(C39&lt;5, 0.9, IF(C39&lt;10, 1.1, IF(C39&lt;=20, 1.35, 1.75))), 0))))</f>
        <v>0.5</v>
      </c>
      <c r="F39" s="3">
        <f>IF(B39="Aterro", IF(C39&lt;5, 20, 23), IF(B39="Aluvionar Argiloso", IF(C39&lt;2, 15, IF(C39&lt;=4, 18, 20)), IF(B39="Aluvionar Arenoso", IF(C39&lt;10, 25, 28), IF(B39="Solo Residual", IF(C39&lt;5, 22, IF(C39&lt;10, 26, IF(C39&lt;=20, 29, 31))), 0))))</f>
        <v>20</v>
      </c>
      <c r="G39" s="3">
        <f>TAN(RADIANS(45 - F39/2))^2</f>
        <v>0.49029059656570206</v>
      </c>
      <c r="H39" s="3">
        <f>TAN(RADIANS(45 + F39/2))^2</f>
        <v>2.0396067291614743</v>
      </c>
      <c r="I39" s="3">
        <f>IF(B39="Aterro", IF(C39&lt;5, 400, 475), IF(B39="Aluvionar Argiloso", IF(C39&lt;2, 100, IF(C39&lt;=4, 150, 200)), IF(B39="Aluvionar Arenoso", IF(C39&lt;10, 300, 500), IF(B39="Solo Residual", IF(C39&lt;5, 800, IF(C39&lt;10, 1350, IF(C39&lt;=20, 1850, 3000))), 0))))</f>
        <v>400</v>
      </c>
      <c r="J39" s="3">
        <f>(A40-A38)/2</f>
        <v>0.5</v>
      </c>
      <c r="K39" s="3">
        <f>MAX(0, (A39 - $B$28)*1)</f>
        <v>0</v>
      </c>
      <c r="L39" s="3">
        <f>L38 + D38*(A39 - A38)</f>
        <v>1.7</v>
      </c>
      <c r="M39" s="3">
        <f>L39 - K39</f>
        <v>1.7</v>
      </c>
      <c r="N39" s="3">
        <f>MAX(0, M39*G39 - 2*E39*SQRT(G39))</f>
        <v>0.13328647595198373</v>
      </c>
      <c r="O39" s="3">
        <f>$B$29 * G39</f>
        <v>1.4708717896971062</v>
      </c>
      <c r="P39" s="3">
        <f t="shared" si="1"/>
        <v>1.6041582656490898</v>
      </c>
      <c r="Q39" s="3">
        <f>IF(A39&gt;=$B$30, MAX(0, (A39 - $B$30)*1), 0)</f>
        <v>0</v>
      </c>
      <c r="R39" s="3">
        <f>IF(A39&lt;=$B$30, 0, R38 + D38*(A39 - A38))</f>
        <v>0</v>
      </c>
      <c r="S39" s="3">
        <f>R39 - Q39</f>
        <v>0</v>
      </c>
      <c r="T39" s="3">
        <f>IF(A39&gt;=$B$30, S39*H39 + 2*E39*SQRT(H39), 0)</f>
        <v>0</v>
      </c>
      <c r="U39" s="3">
        <f t="shared" si="2"/>
        <v>0</v>
      </c>
      <c r="V39" s="3">
        <f>N39 * $B$32</f>
        <v>0.13328647595198373</v>
      </c>
      <c r="W39" s="3">
        <f>O39 * $B$32</f>
        <v>1.4708717896971062</v>
      </c>
      <c r="X39" s="3">
        <f>K39 * $B$32</f>
        <v>0</v>
      </c>
      <c r="Y39" s="3">
        <f t="shared" si="3"/>
        <v>0.8020791328245449</v>
      </c>
      <c r="Z39" s="3">
        <f>U39 * $B$32 * J39</f>
        <v>0</v>
      </c>
      <c r="AA39" s="3">
        <f>IF(A39&gt;=$B$30, I39 * $B$32 * J39, 0)</f>
        <v>0</v>
      </c>
      <c r="AB39" s="3">
        <f>T39 * $B$32 * J39</f>
        <v>0</v>
      </c>
      <c r="AC39" s="3">
        <f t="shared" si="4"/>
        <v>0</v>
      </c>
      <c r="AD39" s="3">
        <f t="shared" si="5"/>
        <v>0</v>
      </c>
    </row>
    <row r="40" spans="1:32" x14ac:dyDescent="0.25">
      <c r="A40" s="3">
        <f t="shared" si="6"/>
        <v>1.5</v>
      </c>
      <c r="B40" s="10" t="str">
        <f t="shared" si="0"/>
        <v>Aterro</v>
      </c>
      <c r="C40" s="14">
        <v>2</v>
      </c>
      <c r="D40" s="3">
        <f>IF(B40="Aterro", IF(C40&lt;5, 1.7, 1.8), IF(B40="Aluvionar Argiloso", IF(C40&lt;2, 1.5, IF(C40&lt;=4, 1.5, 1.6)), IF(B40="Aluvionar Arenoso", IF(C40&lt;10, 1.7, 1.7), IF(B40="Solo Residual", IF(C40&lt;5, 1.7, IF(C40&lt;10, 1.8, IF(C40&lt;=20, 1.8, 1.9))), 0))))</f>
        <v>1.7</v>
      </c>
      <c r="E40" s="3">
        <f>IF(B40="Aterro", IF(C40&lt;5, 0.5, 1), IF(B40="Aluvionar Argiloso", IF(C40&lt;2, 0.8, IF(C40&lt;=4, 0.8, 1.2)), IF(B40="Aluvionar Arenoso", IF(C40&lt;10, 0.5, 0.5), IF(B40="Solo Residual", IF(C40&lt;5, 0.9, IF(C40&lt;10, 1.1, IF(C40&lt;=20, 1.35, 1.75))), 0))))</f>
        <v>0.5</v>
      </c>
      <c r="F40" s="3">
        <f>IF(B40="Aterro", IF(C40&lt;5, 20, 23), IF(B40="Aluvionar Argiloso", IF(C40&lt;2, 15, IF(C40&lt;=4, 18, 20)), IF(B40="Aluvionar Arenoso", IF(C40&lt;10, 25, 28), IF(B40="Solo Residual", IF(C40&lt;5, 22, IF(C40&lt;10, 26, IF(C40&lt;=20, 29, 31))), 0))))</f>
        <v>20</v>
      </c>
      <c r="G40" s="3">
        <f>TAN(RADIANS(45 - F40/2))^2</f>
        <v>0.49029059656570206</v>
      </c>
      <c r="H40" s="3">
        <f>TAN(RADIANS(45 + F40/2))^2</f>
        <v>2.0396067291614743</v>
      </c>
      <c r="I40" s="3">
        <f>IF(B40="Aterro", IF(C40&lt;5, 400, 475), IF(B40="Aluvionar Argiloso", IF(C40&lt;2, 100, IF(C40&lt;=4, 150, 200)), IF(B40="Aluvionar Arenoso", IF(C40&lt;10, 300, 500), IF(B40="Solo Residual", IF(C40&lt;5, 800, IF(C40&lt;10, 1350, IF(C40&lt;=20, 1850, 3000))), 0))))</f>
        <v>400</v>
      </c>
      <c r="J40" s="3">
        <f>(A41-A39)/2</f>
        <v>0.5</v>
      </c>
      <c r="K40" s="3">
        <f>MAX(0, (A40 - $B$28)*1)</f>
        <v>0</v>
      </c>
      <c r="L40" s="3">
        <f>L39 + D39*(A40 - A39)</f>
        <v>2.5499999999999998</v>
      </c>
      <c r="M40" s="3">
        <f>L40 - K40</f>
        <v>2.5499999999999998</v>
      </c>
      <c r="N40" s="3">
        <f>MAX(0, M40*G40 - 2*E40*SQRT(G40))</f>
        <v>0.55003348303283039</v>
      </c>
      <c r="O40" s="3">
        <f>$B$29 * G40</f>
        <v>1.4708717896971062</v>
      </c>
      <c r="P40" s="3">
        <f t="shared" si="1"/>
        <v>2.0209052727299364</v>
      </c>
      <c r="Q40" s="3">
        <f>IF(A40&gt;=$B$30, MAX(0, (A40 - $B$30)*1), 0)</f>
        <v>0</v>
      </c>
      <c r="R40" s="3">
        <f>IF(A40&lt;=$B$30, 0, R39 + D39*(A40 - A39))</f>
        <v>0</v>
      </c>
      <c r="S40" s="3">
        <f>R40 - Q40</f>
        <v>0</v>
      </c>
      <c r="T40" s="3">
        <f>IF(A40&gt;=$B$30, S40*H40 + 2*E40*SQRT(H40), 0)</f>
        <v>0</v>
      </c>
      <c r="U40" s="3">
        <f t="shared" si="2"/>
        <v>0</v>
      </c>
      <c r="V40" s="3">
        <f>N40 * $B$32</f>
        <v>0.55003348303283039</v>
      </c>
      <c r="W40" s="3">
        <f>O40 * $B$32</f>
        <v>1.4708717896971062</v>
      </c>
      <c r="X40" s="3">
        <f>K40 * $B$32</f>
        <v>0</v>
      </c>
      <c r="Y40" s="3">
        <f t="shared" si="3"/>
        <v>1.0104526363649682</v>
      </c>
      <c r="Z40" s="3">
        <f>U40 * $B$32 * J40</f>
        <v>0</v>
      </c>
      <c r="AA40" s="3">
        <f>IF(A40&gt;=$B$30, I40 * $B$32 * J40, 0)</f>
        <v>0</v>
      </c>
      <c r="AB40" s="3">
        <f>T40 * $B$32 * J40</f>
        <v>0</v>
      </c>
      <c r="AC40" s="3">
        <f t="shared" si="4"/>
        <v>0</v>
      </c>
      <c r="AD40" s="3">
        <f t="shared" si="5"/>
        <v>0</v>
      </c>
    </row>
    <row r="41" spans="1:32" x14ac:dyDescent="0.25">
      <c r="A41" s="3">
        <f t="shared" si="6"/>
        <v>2</v>
      </c>
      <c r="B41" s="10" t="str">
        <f t="shared" si="0"/>
        <v>Aterro</v>
      </c>
      <c r="C41" s="14">
        <v>2</v>
      </c>
      <c r="D41" s="3">
        <f>IF(B41="Aterro", IF(C41&lt;5, 1.7, 1.8), IF(B41="Aluvionar Argiloso", IF(C41&lt;2, 1.5, IF(C41&lt;=4, 1.5, 1.6)), IF(B41="Aluvionar Arenoso", IF(C41&lt;10, 1.7, 1.7), IF(B41="Solo Residual", IF(C41&lt;5, 1.7, IF(C41&lt;10, 1.8, IF(C41&lt;=20, 1.8, 1.9))), 0))))</f>
        <v>1.7</v>
      </c>
      <c r="E41" s="3">
        <f>IF(B41="Aterro", IF(C41&lt;5, 0.5, 1), IF(B41="Aluvionar Argiloso", IF(C41&lt;2, 0.8, IF(C41&lt;=4, 0.8, 1.2)), IF(B41="Aluvionar Arenoso", IF(C41&lt;10, 0.5, 0.5), IF(B41="Solo Residual", IF(C41&lt;5, 0.9, IF(C41&lt;10, 1.1, IF(C41&lt;=20, 1.35, 1.75))), 0))))</f>
        <v>0.5</v>
      </c>
      <c r="F41" s="3">
        <f>IF(B41="Aterro", IF(C41&lt;5, 20, 23), IF(B41="Aluvionar Argiloso", IF(C41&lt;2, 15, IF(C41&lt;=4, 18, 20)), IF(B41="Aluvionar Arenoso", IF(C41&lt;10, 25, 28), IF(B41="Solo Residual", IF(C41&lt;5, 22, IF(C41&lt;10, 26, IF(C41&lt;=20, 29, 31))), 0))))</f>
        <v>20</v>
      </c>
      <c r="G41" s="3">
        <f>TAN(RADIANS(45 - F41/2))^2</f>
        <v>0.49029059656570206</v>
      </c>
      <c r="H41" s="3">
        <f>TAN(RADIANS(45 + F41/2))^2</f>
        <v>2.0396067291614743</v>
      </c>
      <c r="I41" s="3">
        <f>IF(B41="Aterro", IF(C41&lt;5, 400, 475), IF(B41="Aluvionar Argiloso", IF(C41&lt;2, 100, IF(C41&lt;=4, 150, 200)), IF(B41="Aluvionar Arenoso", IF(C41&lt;10, 300, 500), IF(B41="Solo Residual", IF(C41&lt;5, 800, IF(C41&lt;10, 1350, IF(C41&lt;=20, 1850, 3000))), 0))))</f>
        <v>400</v>
      </c>
      <c r="J41" s="3">
        <f>(A42-A40)/2</f>
        <v>0.5</v>
      </c>
      <c r="K41" s="3">
        <f>MAX(0, (A41 - $B$28)*1)</f>
        <v>0</v>
      </c>
      <c r="L41" s="3">
        <f>L40 + D40*(A41 - A40)</f>
        <v>3.4</v>
      </c>
      <c r="M41" s="3">
        <f>L41 - K41</f>
        <v>3.4</v>
      </c>
      <c r="N41" s="3">
        <f>MAX(0, M41*G41 - 2*E41*SQRT(G41))</f>
        <v>0.96678049011367717</v>
      </c>
      <c r="O41" s="3">
        <f>$B$29 * G41</f>
        <v>1.4708717896971062</v>
      </c>
      <c r="P41" s="3">
        <f t="shared" si="1"/>
        <v>2.4376522798107834</v>
      </c>
      <c r="Q41" s="3">
        <f>IF(A41&gt;=$B$30, MAX(0, (A41 - $B$30)*1), 0)</f>
        <v>0</v>
      </c>
      <c r="R41" s="3">
        <f>IF(A41&lt;=$B$30, 0, R40 + D40*(A41 - A40))</f>
        <v>0</v>
      </c>
      <c r="S41" s="3">
        <f>R41 - Q41</f>
        <v>0</v>
      </c>
      <c r="T41" s="3">
        <f>IF(A41&gt;=$B$30, S41*H41 + 2*E41*SQRT(H41), 0)</f>
        <v>0</v>
      </c>
      <c r="U41" s="3">
        <f t="shared" si="2"/>
        <v>0</v>
      </c>
      <c r="V41" s="3">
        <f>N41 * $B$32</f>
        <v>0.96678049011367717</v>
      </c>
      <c r="W41" s="3">
        <f>O41 * $B$32</f>
        <v>1.4708717896971062</v>
      </c>
      <c r="X41" s="3">
        <f>K41 * $B$32</f>
        <v>0</v>
      </c>
      <c r="Y41" s="3">
        <f t="shared" si="3"/>
        <v>1.2188261399053917</v>
      </c>
      <c r="Z41" s="3">
        <f>U41 * $B$32 * J41</f>
        <v>0</v>
      </c>
      <c r="AA41" s="3">
        <f>IF(A41&gt;=$B$30, I41 * $B$32 * J41, 0)</f>
        <v>0</v>
      </c>
      <c r="AB41" s="3">
        <f>T41 * $B$32 * J41</f>
        <v>0</v>
      </c>
      <c r="AC41" s="3">
        <f t="shared" si="4"/>
        <v>0</v>
      </c>
      <c r="AD41" s="3">
        <f t="shared" si="5"/>
        <v>0</v>
      </c>
    </row>
    <row r="42" spans="1:32" x14ac:dyDescent="0.25">
      <c r="A42" s="3">
        <f t="shared" si="6"/>
        <v>2.5</v>
      </c>
      <c r="B42" s="10" t="str">
        <f t="shared" si="0"/>
        <v>Aterro</v>
      </c>
      <c r="C42" s="14">
        <v>2</v>
      </c>
      <c r="D42" s="3">
        <f>IF(B42="Aterro", IF(C42&lt;5, 1.7, 1.8), IF(B42="Aluvionar Argiloso", IF(C42&lt;2, 1.5, IF(C42&lt;=4, 1.5, 1.6)), IF(B42="Aluvionar Arenoso", IF(C42&lt;10, 1.7, 1.7), IF(B42="Solo Residual", IF(C42&lt;5, 1.7, IF(C42&lt;10, 1.8, IF(C42&lt;=20, 1.8, 1.9))), 0))))</f>
        <v>1.7</v>
      </c>
      <c r="E42" s="3">
        <f>IF(B42="Aterro", IF(C42&lt;5, 0.5, 1), IF(B42="Aluvionar Argiloso", IF(C42&lt;2, 0.8, IF(C42&lt;=4, 0.8, 1.2)), IF(B42="Aluvionar Arenoso", IF(C42&lt;10, 0.5, 0.5), IF(B42="Solo Residual", IF(C42&lt;5, 0.9, IF(C42&lt;10, 1.1, IF(C42&lt;=20, 1.35, 1.75))), 0))))</f>
        <v>0.5</v>
      </c>
      <c r="F42" s="3">
        <f>IF(B42="Aterro", IF(C42&lt;5, 20, 23), IF(B42="Aluvionar Argiloso", IF(C42&lt;2, 15, IF(C42&lt;=4, 18, 20)), IF(B42="Aluvionar Arenoso", IF(C42&lt;10, 25, 28), IF(B42="Solo Residual", IF(C42&lt;5, 22, IF(C42&lt;10, 26, IF(C42&lt;=20, 29, 31))), 0))))</f>
        <v>20</v>
      </c>
      <c r="G42" s="3">
        <f>TAN(RADIANS(45 - F42/2))^2</f>
        <v>0.49029059656570206</v>
      </c>
      <c r="H42" s="3">
        <f>TAN(RADIANS(45 + F42/2))^2</f>
        <v>2.0396067291614743</v>
      </c>
      <c r="I42" s="3">
        <f>IF(B42="Aterro", IF(C42&lt;5, 400, 475), IF(B42="Aluvionar Argiloso", IF(C42&lt;2, 100, IF(C42&lt;=4, 150, 200)), IF(B42="Aluvionar Arenoso", IF(C42&lt;10, 300, 500), IF(B42="Solo Residual", IF(C42&lt;5, 800, IF(C42&lt;10, 1350, IF(C42&lt;=20, 1850, 3000))), 0))))</f>
        <v>400</v>
      </c>
      <c r="J42" s="3">
        <f>(A44-A41)/2</f>
        <v>0.5</v>
      </c>
      <c r="K42" s="3">
        <f>MAX(0, (A42 - $B$28)*1)</f>
        <v>0</v>
      </c>
      <c r="L42" s="3">
        <f>L41 + D41*(A42 - A41)</f>
        <v>4.25</v>
      </c>
      <c r="M42" s="3">
        <f>L42 - K42</f>
        <v>4.25</v>
      </c>
      <c r="N42" s="3">
        <f>MAX(0, M42*G42 - 2*E42*SQRT(G42))</f>
        <v>1.3835274971945239</v>
      </c>
      <c r="O42" s="3">
        <f>$B$29 * G42</f>
        <v>1.4708717896971062</v>
      </c>
      <c r="P42" s="3">
        <f t="shared" si="1"/>
        <v>2.8543992868916304</v>
      </c>
      <c r="Q42" s="3">
        <f>IF(A42&gt;=$B$30, MAX(0, (A42 - $B$30)*1), 0)</f>
        <v>0</v>
      </c>
      <c r="R42" s="3">
        <f>IF(A42&lt;=$B$30, 0, R41 + D41*(A42 - A41))</f>
        <v>0</v>
      </c>
      <c r="S42" s="3">
        <f>R42 - Q42</f>
        <v>0</v>
      </c>
      <c r="T42" s="3">
        <f>IF(A42&gt;=$B$30, S42*H42 + 2*E42*SQRT(H42), 0)</f>
        <v>1.4281480067421144</v>
      </c>
      <c r="U42" s="3">
        <f t="shared" si="2"/>
        <v>1.4281480067421144</v>
      </c>
      <c r="V42" s="3">
        <f>N42 * $B$32</f>
        <v>1.3835274971945239</v>
      </c>
      <c r="W42" s="3">
        <f>O42 * $B$32</f>
        <v>1.4708717896971062</v>
      </c>
      <c r="X42" s="3">
        <f>K42 * $B$32</f>
        <v>0</v>
      </c>
      <c r="Y42" s="3">
        <f t="shared" si="3"/>
        <v>1.4271996434458152</v>
      </c>
      <c r="Z42" s="3">
        <f>U42 * $B$32 * J42</f>
        <v>0.7140740033710572</v>
      </c>
      <c r="AA42" s="3">
        <f>IF(A42&gt;=$B$30, I42 * $B$32 * J42, 0)</f>
        <v>200</v>
      </c>
      <c r="AB42" s="3">
        <f>T42 * $B$32 * J42</f>
        <v>0.7140740033710572</v>
      </c>
      <c r="AC42" s="3">
        <f t="shared" si="4"/>
        <v>3.5703700168552861</v>
      </c>
      <c r="AD42" s="3">
        <f t="shared" si="5"/>
        <v>3.5703700168552861</v>
      </c>
    </row>
    <row r="43" spans="1:32" x14ac:dyDescent="0.25">
      <c r="A43" s="3">
        <v>2.5</v>
      </c>
      <c r="B43" s="10" t="str">
        <f t="shared" si="0"/>
        <v>Aterro</v>
      </c>
      <c r="C43" s="14">
        <v>2</v>
      </c>
      <c r="D43" s="3">
        <f>IF(B43="Aterro", IF(C43&lt;5, 1.7, 1.8), IF(B43="Aluvionar Argiloso", IF(C43&lt;2, 1.5, IF(C43&lt;=4, 1.5, 1.6)), IF(B43="Aluvionar Arenoso", IF(C43&lt;10, 1.7, 1.7), IF(B43="Solo Residual", IF(C43&lt;5, 1.7, IF(C43&lt;10, 1.8, IF(C43&lt;=20, 1.8, 1.9))), 0))))</f>
        <v>1.7</v>
      </c>
      <c r="E43" s="3">
        <f>IF(B43="Aterro", IF(C43&lt;5, 0.5, 1), IF(B43="Aluvionar Argiloso", IF(C43&lt;2, 0.8, IF(C43&lt;=4, 0.8, 1.2)), IF(B43="Aluvionar Arenoso", IF(C43&lt;10, 0.5, 0.5), IF(B43="Solo Residual", IF(C43&lt;5, 0.9, IF(C43&lt;10, 1.1, IF(C43&lt;=20, 1.35, 1.75))), 0))))</f>
        <v>0.5</v>
      </c>
      <c r="F43" s="3">
        <f>IF(B43="Aterro", IF(C43&lt;5, 20, 23), IF(B43="Aluvionar Argiloso", IF(C43&lt;2, 15, IF(C43&lt;=4, 18, 20)), IF(B43="Aluvionar Arenoso", IF(C43&lt;10, 25, 28), IF(B43="Solo Residual", IF(C43&lt;5, 22, IF(C43&lt;10, 26, IF(C43&lt;=20, 29, 31))), 0))))</f>
        <v>20</v>
      </c>
      <c r="G43" s="3">
        <f>TAN(RADIANS(45 - F43/2))^2</f>
        <v>0.49029059656570206</v>
      </c>
      <c r="H43" s="3">
        <f>TAN(RADIANS(45 + F43/2))^2</f>
        <v>2.0396067291614743</v>
      </c>
      <c r="I43" s="3">
        <f>IF(B43="Aterro", IF(C43&lt;5, 400, 475), IF(B43="Aluvionar Argiloso", IF(C43&lt;2, 100, IF(C43&lt;=4, 150, 200)), IF(B43="Aluvionar Arenoso", IF(C43&lt;10, 300, 500), IF(B43="Solo Residual", IF(C43&lt;5, 800, IF(C43&lt;10, 1350, IF(C43&lt;=20, 1850, 3000))), 0))))</f>
        <v>400</v>
      </c>
      <c r="J43" s="3">
        <f>(A45-A42)/2</f>
        <v>0.5</v>
      </c>
      <c r="K43" s="3">
        <f>MAX(0, (A43 - $B$28)*1)</f>
        <v>0</v>
      </c>
      <c r="L43" s="3">
        <f>L42 + D42*(A43 - A42)</f>
        <v>4.25</v>
      </c>
      <c r="M43" s="3">
        <f>L43 - K43</f>
        <v>4.25</v>
      </c>
      <c r="N43" s="3">
        <f>MAX(0, M43*G43 - 2*E43*SQRT(G43))</f>
        <v>1.3835274971945239</v>
      </c>
      <c r="O43" s="3">
        <f>$B$29 * G43</f>
        <v>1.4708717896971062</v>
      </c>
      <c r="P43" s="3">
        <f t="shared" si="1"/>
        <v>2.8543992868916304</v>
      </c>
      <c r="Q43" s="3">
        <f>IF(A43&gt;=$B$30, MAX(0, (A43 - $B$30)*1), 0)</f>
        <v>0</v>
      </c>
      <c r="R43" s="3">
        <f>IF(A43&lt;=$B$30, 0, R42 + D42*(A43 - A42))</f>
        <v>0</v>
      </c>
      <c r="S43" s="3">
        <f>R43 - Q43</f>
        <v>0</v>
      </c>
      <c r="T43" s="3">
        <f>IF(A43&gt;=$B$30, S43*H43 + 2*E43*SQRT(H43), 0)</f>
        <v>1.4281480067421144</v>
      </c>
      <c r="U43" s="3">
        <f t="shared" si="2"/>
        <v>1.4281480067421144</v>
      </c>
      <c r="V43" s="3">
        <f>N43 * $B$32</f>
        <v>1.3835274971945239</v>
      </c>
      <c r="W43" s="3">
        <f>O43 * $B$32</f>
        <v>1.4708717896971062</v>
      </c>
      <c r="X43" s="3">
        <f>K43 * $B$32</f>
        <v>0</v>
      </c>
      <c r="Y43" s="3">
        <f t="shared" si="3"/>
        <v>1.4271996434458152</v>
      </c>
      <c r="Z43" s="3">
        <f>U43 * $B$32 * J43</f>
        <v>0.7140740033710572</v>
      </c>
      <c r="AA43" s="3">
        <f>IF(A43&gt;=$B$30, I43 * $B$32 * J43, 0)</f>
        <v>200</v>
      </c>
      <c r="AB43" s="3">
        <f>T43 * $B$32 * J43</f>
        <v>0.7140740033710572</v>
      </c>
      <c r="AC43" s="3">
        <f t="shared" si="4"/>
        <v>3.5703700168552861</v>
      </c>
      <c r="AD43" s="3">
        <f t="shared" si="5"/>
        <v>3.5703700168552861</v>
      </c>
    </row>
    <row r="44" spans="1:32" x14ac:dyDescent="0.25">
      <c r="A44" s="3">
        <f>IF(OR(A42=$D$16,A42=$D$18,A42=$D$21),A42+0.001,A42+0.5)</f>
        <v>3</v>
      </c>
      <c r="B44" s="10" t="str">
        <f t="shared" si="0"/>
        <v>Aterro</v>
      </c>
      <c r="C44" s="14">
        <v>2</v>
      </c>
      <c r="D44" s="3">
        <f>IF(B44="Aterro", IF(C44&lt;5, 1.7, 1.8), IF(B44="Aluvionar Argiloso", IF(C44&lt;2, 1.5, IF(C44&lt;=4, 1.5, 1.6)), IF(B44="Aluvionar Arenoso", IF(C44&lt;10, 1.7, 1.7), IF(B44="Solo Residual", IF(C44&lt;5, 1.7, IF(C44&lt;10, 1.8, IF(C44&lt;=20, 1.8, 1.9))), 0))))</f>
        <v>1.7</v>
      </c>
      <c r="E44" s="3">
        <f>IF(B44="Aterro", IF(C44&lt;5, 0.5, 1), IF(B44="Aluvionar Argiloso", IF(C44&lt;2, 0.8, IF(C44&lt;=4, 0.8, 1.2)), IF(B44="Aluvionar Arenoso", IF(C44&lt;10, 0.5, 0.5), IF(B44="Solo Residual", IF(C44&lt;5, 0.9, IF(C44&lt;10, 1.1, IF(C44&lt;=20, 1.35, 1.75))), 0))))</f>
        <v>0.5</v>
      </c>
      <c r="F44" s="3">
        <f>IF(B44="Aterro", IF(C44&lt;5, 20, 23), IF(B44="Aluvionar Argiloso", IF(C44&lt;2, 15, IF(C44&lt;=4, 18, 20)), IF(B44="Aluvionar Arenoso", IF(C44&lt;10, 25, 28), IF(B44="Solo Residual", IF(C44&lt;5, 22, IF(C44&lt;10, 26, IF(C44&lt;=20, 29, 31))), 0))))</f>
        <v>20</v>
      </c>
      <c r="G44" s="3">
        <f>TAN(RADIANS(45 - F44/2))^2</f>
        <v>0.49029059656570206</v>
      </c>
      <c r="H44" s="3">
        <f>TAN(RADIANS(45 + F44/2))^2</f>
        <v>2.0396067291614743</v>
      </c>
      <c r="I44" s="3">
        <f>IF(B44="Aterro", IF(C44&lt;5, 400, 475), IF(B44="Aluvionar Argiloso", IF(C44&lt;2, 100, IF(C44&lt;=4, 150, 200)), IF(B44="Aluvionar Arenoso", IF(C44&lt;10, 300, 500), IF(B44="Solo Residual", IF(C44&lt;5, 800, IF(C44&lt;10, 1350, IF(C44&lt;=20, 1850, 3000))), 0))))</f>
        <v>400</v>
      </c>
      <c r="J44" s="3">
        <f>(A45-A42)/2</f>
        <v>0.5</v>
      </c>
      <c r="K44" s="3">
        <f>MAX(0, (A44 - $B$28)*1)</f>
        <v>0.5</v>
      </c>
      <c r="L44" s="3">
        <f t="shared" ref="L44:L65" si="7">L43 + D43*(A44 - A43)</f>
        <v>5.0999999999999996</v>
      </c>
      <c r="M44" s="3">
        <f>L44 - K44</f>
        <v>4.5999999999999996</v>
      </c>
      <c r="N44" s="3">
        <f>MAX(0, M44*G44 - 2*E44*SQRT(G44))</f>
        <v>1.5551292059925197</v>
      </c>
      <c r="O44" s="3">
        <f>$B$29 * G44</f>
        <v>1.4708717896971062</v>
      </c>
      <c r="P44" s="3">
        <f t="shared" si="1"/>
        <v>3.0260009956896257</v>
      </c>
      <c r="Q44" s="3">
        <f>IF(A44&gt;=$B$30, MAX(0, (A44 - $B$30)*1), 0)</f>
        <v>0.5</v>
      </c>
      <c r="R44" s="3">
        <f>IF(A44&lt;=$B$30, 0, R42 + D42*(A44 - A42))</f>
        <v>0.85</v>
      </c>
      <c r="S44" s="3">
        <f>R44 - Q44</f>
        <v>0.35</v>
      </c>
      <c r="T44" s="3">
        <f>IF(A44&gt;=$B$30, S44*H44 + 2*E44*SQRT(H44), 0)</f>
        <v>2.1420103619486301</v>
      </c>
      <c r="U44" s="3">
        <f t="shared" si="2"/>
        <v>2.1420103619486301</v>
      </c>
      <c r="V44" s="3">
        <f>N44 * $B$32</f>
        <v>1.5551292059925197</v>
      </c>
      <c r="W44" s="3">
        <f>O44 * $B$32</f>
        <v>1.4708717896971062</v>
      </c>
      <c r="X44" s="3">
        <f>K44 * $B$32</f>
        <v>0.5</v>
      </c>
      <c r="Y44" s="3">
        <f t="shared" si="3"/>
        <v>1.5130004978448128</v>
      </c>
      <c r="Z44" s="3">
        <f>U44 * $B$32 * J44</f>
        <v>1.0710051809743151</v>
      </c>
      <c r="AA44" s="3">
        <f>IF(A44&gt;=$B$30, I44 * $B$32 * J44, 0)</f>
        <v>200</v>
      </c>
      <c r="AB44" s="3">
        <f>T44 * $B$32 * J44</f>
        <v>1.0710051809743151</v>
      </c>
      <c r="AC44" s="3">
        <f t="shared" si="4"/>
        <v>5.3550259048715754</v>
      </c>
      <c r="AD44" s="3">
        <f t="shared" si="5"/>
        <v>5.3550259048715754</v>
      </c>
    </row>
    <row r="45" spans="1:32" x14ac:dyDescent="0.25">
      <c r="A45" s="3">
        <f t="shared" si="6"/>
        <v>3.5</v>
      </c>
      <c r="B45" s="10" t="str">
        <f t="shared" si="0"/>
        <v>Aterro</v>
      </c>
      <c r="C45" s="14">
        <v>2</v>
      </c>
      <c r="D45" s="3">
        <f>IF(B45="Aterro", IF(C45&lt;5, 1.7, 1.8), IF(B45="Aluvionar Argiloso", IF(C45&lt;2, 1.5, IF(C45&lt;=4, 1.5, 1.6)), IF(B45="Aluvionar Arenoso", IF(C45&lt;10, 1.7, 1.7), IF(B45="Solo Residual", IF(C45&lt;5, 1.7, IF(C45&lt;10, 1.8, IF(C45&lt;=20, 1.8, 1.9))), 0))))</f>
        <v>1.7</v>
      </c>
      <c r="E45" s="3">
        <f>IF(B45="Aterro", IF(C45&lt;5, 0.5, 1), IF(B45="Aluvionar Argiloso", IF(C45&lt;2, 0.8, IF(C45&lt;=4, 0.8, 1.2)), IF(B45="Aluvionar Arenoso", IF(C45&lt;10, 0.5, 0.5), IF(B45="Solo Residual", IF(C45&lt;5, 0.9, IF(C45&lt;10, 1.1, IF(C45&lt;=20, 1.35, 1.75))), 0))))</f>
        <v>0.5</v>
      </c>
      <c r="F45" s="3">
        <f>IF(B45="Aterro", IF(C45&lt;5, 20, 23), IF(B45="Aluvionar Argiloso", IF(C45&lt;2, 15, IF(C45&lt;=4, 18, 20)), IF(B45="Aluvionar Arenoso", IF(C45&lt;10, 25, 28), IF(B45="Solo Residual", IF(C45&lt;5, 22, IF(C45&lt;10, 26, IF(C45&lt;=20, 29, 31))), 0))))</f>
        <v>20</v>
      </c>
      <c r="G45" s="3">
        <f>TAN(RADIANS(45 - F45/2))^2</f>
        <v>0.49029059656570206</v>
      </c>
      <c r="H45" s="3">
        <f>TAN(RADIANS(45 + F45/2))^2</f>
        <v>2.0396067291614743</v>
      </c>
      <c r="I45" s="3">
        <f>IF(B45="Aterro", IF(C45&lt;5, 400, 475), IF(B45="Aluvionar Argiloso", IF(C45&lt;2, 100, IF(C45&lt;=4, 150, 200)), IF(B45="Aluvionar Arenoso", IF(C45&lt;10, 300, 500), IF(B45="Solo Residual", IF(C45&lt;5, 800, IF(C45&lt;10, 1350, IF(C45&lt;=20, 1850, 3000))), 0))))</f>
        <v>400</v>
      </c>
      <c r="J45" s="3">
        <f>(A46-A44)/2</f>
        <v>0.5</v>
      </c>
      <c r="K45" s="3">
        <f>MAX(0, (A45 - $B$28)*1)</f>
        <v>1</v>
      </c>
      <c r="L45" s="3">
        <f t="shared" si="7"/>
        <v>5.9499999999999993</v>
      </c>
      <c r="M45" s="3">
        <f>L45 - K45</f>
        <v>4.9499999999999993</v>
      </c>
      <c r="N45" s="3">
        <f>MAX(0, M45*G45 - 2*E45*SQRT(G45))</f>
        <v>1.726730914790515</v>
      </c>
      <c r="O45" s="3">
        <f>$B$29 * G45</f>
        <v>1.4708717896971062</v>
      </c>
      <c r="P45" s="3">
        <f t="shared" si="1"/>
        <v>3.197602704487621</v>
      </c>
      <c r="Q45" s="3">
        <f>IF(A45&gt;=$B$30, MAX(0, (A45 - $B$30)*1), 0)</f>
        <v>1</v>
      </c>
      <c r="R45" s="3">
        <f t="shared" ref="R45:R65" si="8">IF(A45&lt;=$B$30, 0, R43 + D43*(A45 - A43))</f>
        <v>1.7</v>
      </c>
      <c r="S45" s="3">
        <f>R45 - Q45</f>
        <v>0.7</v>
      </c>
      <c r="T45" s="3">
        <f>IF(A45&gt;=$B$30, S45*H45 + 2*E45*SQRT(H45), 0)</f>
        <v>2.8558727171551466</v>
      </c>
      <c r="U45" s="3">
        <f t="shared" si="2"/>
        <v>2.8558727171551466</v>
      </c>
      <c r="V45" s="3">
        <f>N45 * $B$32</f>
        <v>1.726730914790515</v>
      </c>
      <c r="W45" s="3">
        <f>O45 * $B$32</f>
        <v>1.4708717896971062</v>
      </c>
      <c r="X45" s="3">
        <f>K45 * $B$32</f>
        <v>1</v>
      </c>
      <c r="Y45" s="3">
        <f t="shared" si="3"/>
        <v>1.5988013522438105</v>
      </c>
      <c r="Z45" s="3">
        <f>U45 * $B$32 * J45</f>
        <v>1.4279363585775733</v>
      </c>
      <c r="AA45" s="3">
        <f>IF(A45&gt;=$B$30, I45 * $B$32 * J45, 0)</f>
        <v>200</v>
      </c>
      <c r="AB45" s="3">
        <f>T45 * $B$32 * J45</f>
        <v>1.4279363585775733</v>
      </c>
      <c r="AC45" s="3">
        <f t="shared" si="4"/>
        <v>7.1396817928878669</v>
      </c>
      <c r="AD45" s="3">
        <f t="shared" si="5"/>
        <v>7.1396817928878669</v>
      </c>
    </row>
    <row r="46" spans="1:32" s="7" customFormat="1" ht="14.25" customHeight="1" x14ac:dyDescent="0.25">
      <c r="A46" s="6">
        <f t="shared" si="6"/>
        <v>4</v>
      </c>
      <c r="B46" s="8" t="str">
        <f t="shared" si="0"/>
        <v>Aterro</v>
      </c>
      <c r="C46" s="15">
        <v>2</v>
      </c>
      <c r="D46" s="6">
        <f>IF(B46="Aterro", IF(C46&lt;5, 1.7, 1.8), IF(B46="Aluvionar Argiloso", IF(C46&lt;2, 1.5, IF(C46&lt;=4, 1.5, 1.6)), IF(B46="Aluvionar Arenoso", IF(C46&lt;10, 1.7, 1.7), IF(B46="Solo Residual", IF(C46&lt;5, 1.7, IF(C46&lt;10, 1.8, IF(C46&lt;=20, 1.8, 1.9))), 0))))</f>
        <v>1.7</v>
      </c>
      <c r="E46" s="6">
        <f>IF(B46="Aterro", IF(C46&lt;5, 0.5, 1), IF(B46="Aluvionar Argiloso", IF(C46&lt;2, 0.8, IF(C46&lt;=4, 0.8, 1.2)), IF(B46="Aluvionar Arenoso", IF(C46&lt;10, 0.5, 0.5), IF(B46="Solo Residual", IF(C46&lt;5, 0.9, IF(C46&lt;10, 1.1, IF(C46&lt;=20, 1.35, 1.75))), 0))))</f>
        <v>0.5</v>
      </c>
      <c r="F46" s="6">
        <f>IF(B46="Aterro", IF(C46&lt;5, 20, 23), IF(B46="Aluvionar Argiloso", IF(C46&lt;2, 15, IF(C46&lt;=4, 18, 20)), IF(B46="Aluvionar Arenoso", IF(C46&lt;10, 25, 28), IF(B46="Solo Residual", IF(C46&lt;5, 22, IF(C46&lt;10, 26, IF(C46&lt;=20, 29, 31))), 0))))</f>
        <v>20</v>
      </c>
      <c r="G46" s="6">
        <f>TAN(RADIANS(45 - F46/2))^2</f>
        <v>0.49029059656570206</v>
      </c>
      <c r="H46" s="6">
        <f>TAN(RADIANS(45 + F46/2))^2</f>
        <v>2.0396067291614743</v>
      </c>
      <c r="I46" s="6">
        <f>IF(B46="Aterro", IF(C46&lt;5, 400, 475), IF(B46="Aluvionar Argiloso", IF(C46&lt;2, 100, IF(C46&lt;=4, 150, 200)), IF(B46="Aluvionar Arenoso", IF(C46&lt;10, 300, 500), IF(B46="Solo Residual", IF(C46&lt;5, 800, IF(C46&lt;10, 1350, IF(C46&lt;=20, 1850, 3000))), 0))))</f>
        <v>400</v>
      </c>
      <c r="J46" s="6">
        <f>(A47-A45)/2</f>
        <v>0.25050000000000017</v>
      </c>
      <c r="K46" s="6">
        <f>MAX(0, (A46 - $B$28)*1)</f>
        <v>1.5</v>
      </c>
      <c r="L46" s="3">
        <f t="shared" si="7"/>
        <v>6.7999999999999989</v>
      </c>
      <c r="M46" s="6">
        <f>L46 - K46</f>
        <v>5.2999999999999989</v>
      </c>
      <c r="N46" s="6">
        <f>MAX(0, M46*G46 - 2*E46*SQRT(G46))</f>
        <v>1.8983326235885107</v>
      </c>
      <c r="O46" s="6">
        <f>$B$29 * G46</f>
        <v>1.4708717896971062</v>
      </c>
      <c r="P46" s="3">
        <f t="shared" si="1"/>
        <v>3.3692044132856172</v>
      </c>
      <c r="Q46" s="6">
        <f>IF(A46&gt;=$B$30, MAX(0, (A46 - $B$30)*1), 0)</f>
        <v>1.5</v>
      </c>
      <c r="R46" s="3">
        <f t="shared" si="8"/>
        <v>2.5499999999999998</v>
      </c>
      <c r="S46" s="6">
        <f>R46 - Q46</f>
        <v>1.0499999999999998</v>
      </c>
      <c r="T46" s="6">
        <f>IF(A46&gt;=$B$30, S46*H46 + 2*E46*SQRT(H46), 0)</f>
        <v>3.5697350723616621</v>
      </c>
      <c r="U46" s="3">
        <f t="shared" si="2"/>
        <v>3.5697350723616621</v>
      </c>
      <c r="V46" s="6">
        <f>N46 * $B$32</f>
        <v>1.8983326235885107</v>
      </c>
      <c r="W46" s="6">
        <f>O46 * $B$32</f>
        <v>1.4708717896971062</v>
      </c>
      <c r="X46" s="6">
        <f>K46 * $B$32</f>
        <v>1.5</v>
      </c>
      <c r="Y46" s="3">
        <f t="shared" si="3"/>
        <v>0.84398570552804764</v>
      </c>
      <c r="Z46" s="3">
        <f>U46 * $B$32 * J46</f>
        <v>0.89421863562659698</v>
      </c>
      <c r="AA46" s="6">
        <f>IF(A46&gt;=$B$30, I46 * $B$32 * J46, 0)</f>
        <v>100.20000000000007</v>
      </c>
      <c r="AB46" s="6">
        <f>T46 * $B$32 * J46</f>
        <v>0.89421863562659698</v>
      </c>
      <c r="AC46" s="3">
        <f t="shared" si="4"/>
        <v>8.9243376809041557</v>
      </c>
      <c r="AD46" s="20">
        <f t="shared" si="5"/>
        <v>8.9243376809041557</v>
      </c>
      <c r="AE46" s="16">
        <f>SUM(AA46:AA47)</f>
        <v>150.20000000000007</v>
      </c>
      <c r="AF46" s="16">
        <f>SUM(AB46:AB47)</f>
        <v>2.2868611372543559</v>
      </c>
    </row>
    <row r="47" spans="1:32" s="7" customFormat="1" x14ac:dyDescent="0.25">
      <c r="A47" s="6">
        <f t="shared" si="6"/>
        <v>4.0010000000000003</v>
      </c>
      <c r="B47" s="8" t="str">
        <f t="shared" si="0"/>
        <v>Aluvionar Argiloso</v>
      </c>
      <c r="C47" s="15">
        <v>5</v>
      </c>
      <c r="D47" s="6">
        <f>IF(B47="Aterro", IF(C47&lt;5, 1.7, 1.8), IF(B47="Aluvionar Argiloso", IF(C47&lt;2, 1.5, IF(C47&lt;=4, 1.5, 1.6)), IF(B47="Aluvionar Arenoso", IF(C47&lt;10, 1.7, 1.7), IF(B47="Solo Residual", IF(C47&lt;5, 1.7, IF(C47&lt;10, 1.8, IF(C47&lt;=20, 1.8, 1.9))), 0))))</f>
        <v>1.6</v>
      </c>
      <c r="E47" s="6">
        <f>IF(B47="Aterro", IF(C47&lt;5, 0.5, 1), IF(B47="Aluvionar Argiloso", IF(C47&lt;2, 0.8, IF(C47&lt;=4, 0.8, 1.2)), IF(B47="Aluvionar Arenoso", IF(C47&lt;10, 0.5, 0.5), IF(B47="Solo Residual", IF(C47&lt;5, 0.9, IF(C47&lt;10, 1.1, IF(C47&lt;=20, 1.35, 1.75))), 0))))</f>
        <v>1.2</v>
      </c>
      <c r="F47" s="6">
        <f>IF(B47="Aterro", IF(C47&lt;5, 20, 23), IF(B47="Aluvionar Argiloso", IF(C47&lt;2, 15, IF(C47&lt;=4, 18, 20)), IF(B47="Aluvionar Arenoso", IF(C47&lt;10, 25, 28), IF(B47="Solo Residual", IF(C47&lt;5, 22, IF(C47&lt;10, 26, IF(C47&lt;=20, 29, 31))), 0))))</f>
        <v>20</v>
      </c>
      <c r="G47" s="6">
        <f>TAN(RADIANS(45 - F47/2))^2</f>
        <v>0.49029059656570206</v>
      </c>
      <c r="H47" s="6">
        <f>TAN(RADIANS(45 + F47/2))^2</f>
        <v>2.0396067291614743</v>
      </c>
      <c r="I47" s="6">
        <f>IF(B47="Aterro", IF(C47&lt;5, 400, 475), IF(B47="Aluvionar Argiloso", IF(C47&lt;2, 100, IF(C47&lt;=4, 150, 200)), IF(B47="Aluvionar Arenoso", IF(C47&lt;10, 300, 500), IF(B47="Solo Residual", IF(C47&lt;5, 800, IF(C47&lt;10, 1350, IF(C47&lt;=20, 1850, 3000))), 0))))</f>
        <v>200</v>
      </c>
      <c r="J47" s="6">
        <f>(A48-A46)/2</f>
        <v>0.25</v>
      </c>
      <c r="K47" s="6">
        <f>MAX(0, (A47 - $B$28)*1)</f>
        <v>1.5010000000000003</v>
      </c>
      <c r="L47" s="3">
        <f t="shared" si="7"/>
        <v>6.8016999999999994</v>
      </c>
      <c r="M47" s="6">
        <f>L47 - K47</f>
        <v>5.3006999999999991</v>
      </c>
      <c r="N47" s="6">
        <f>MAX(0, M47*G47 - 2*E47*SQRT(G47))</f>
        <v>0.91838527351251331</v>
      </c>
      <c r="O47" s="6">
        <f>$B$29 * G47</f>
        <v>1.4708717896971062</v>
      </c>
      <c r="P47" s="3">
        <f t="shared" si="1"/>
        <v>2.3892570632096195</v>
      </c>
      <c r="Q47" s="6">
        <f>IF(A47&gt;=$B$30, MAX(0, (A47 - $B$30)*1), 0)</f>
        <v>1.5010000000000003</v>
      </c>
      <c r="R47" s="3">
        <f t="shared" si="8"/>
        <v>2.5517000000000003</v>
      </c>
      <c r="S47" s="6">
        <f>R47 - Q47</f>
        <v>1.0507</v>
      </c>
      <c r="T47" s="6">
        <f>IF(A47&gt;=$B$30, S47*H47 + 2*E47*SQRT(H47), 0)</f>
        <v>5.5705700065110353</v>
      </c>
      <c r="U47" s="3">
        <f t="shared" si="2"/>
        <v>5.5705700065110353</v>
      </c>
      <c r="V47" s="6">
        <f>N47 * $B$32</f>
        <v>0.91838527351251331</v>
      </c>
      <c r="W47" s="6">
        <f>O47 * $B$32</f>
        <v>1.4708717896971062</v>
      </c>
      <c r="X47" s="6">
        <f>K47 * $B$32</f>
        <v>1.5010000000000003</v>
      </c>
      <c r="Y47" s="3">
        <f t="shared" si="3"/>
        <v>0.59731426580240488</v>
      </c>
      <c r="Z47" s="3">
        <f>U47 * $B$32 * J47</f>
        <v>1.3926425016277588</v>
      </c>
      <c r="AA47" s="6">
        <f>IF(A47&gt;=$B$30, I47 * $B$32 * J47, 0)</f>
        <v>50</v>
      </c>
      <c r="AB47" s="6">
        <f>T47 * $B$32 * J47</f>
        <v>1.3926425016277588</v>
      </c>
      <c r="AC47" s="3">
        <f t="shared" si="4"/>
        <v>27.852850032555175</v>
      </c>
      <c r="AD47" s="20"/>
      <c r="AE47" s="9"/>
      <c r="AF47" s="9"/>
    </row>
    <row r="48" spans="1:32" x14ac:dyDescent="0.25">
      <c r="A48" s="3">
        <v>4.5</v>
      </c>
      <c r="B48" s="10" t="str">
        <f t="shared" si="0"/>
        <v>Aluvionar Argiloso</v>
      </c>
      <c r="C48" s="14">
        <v>5</v>
      </c>
      <c r="D48" s="3">
        <f>IF(B48="Aterro", IF(C48&lt;5, 1.7, 1.8), IF(B48="Aluvionar Argiloso", IF(C48&lt;2, 1.5, IF(C48&lt;=4, 1.5, 1.6)), IF(B48="Aluvionar Arenoso", IF(C48&lt;10, 1.7, 1.7), IF(B48="Solo Residual", IF(C48&lt;5, 1.7, IF(C48&lt;10, 1.8, IF(C48&lt;=20, 1.8, 1.9))), 0))))</f>
        <v>1.6</v>
      </c>
      <c r="E48" s="3">
        <f>IF(B48="Aterro", IF(C48&lt;5, 0.5, 1), IF(B48="Aluvionar Argiloso", IF(C48&lt;2, 0.8, IF(C48&lt;=4, 0.8, 1.2)), IF(B48="Aluvionar Arenoso", IF(C48&lt;10, 0.5, 0.5), IF(B48="Solo Residual", IF(C48&lt;5, 0.9, IF(C48&lt;10, 1.1, IF(C48&lt;=20, 1.35, 1.75))), 0))))</f>
        <v>1.2</v>
      </c>
      <c r="F48" s="3">
        <f>IF(B48="Aterro", IF(C48&lt;5, 20, 23), IF(B48="Aluvionar Argiloso", IF(C48&lt;2, 15, IF(C48&lt;=4, 18, 20)), IF(B48="Aluvionar Arenoso", IF(C48&lt;10, 25, 28), IF(B48="Solo Residual", IF(C48&lt;5, 22, IF(C48&lt;10, 26, IF(C48&lt;=20, 29, 31))), 0))))</f>
        <v>20</v>
      </c>
      <c r="G48" s="3">
        <f>TAN(RADIANS(45 - F48/2))^2</f>
        <v>0.49029059656570206</v>
      </c>
      <c r="H48" s="3">
        <f>TAN(RADIANS(45 + F48/2))^2</f>
        <v>2.0396067291614743</v>
      </c>
      <c r="I48" s="3">
        <f>IF(B48="Aterro", IF(C48&lt;5, 400, 475), IF(B48="Aluvionar Argiloso", IF(C48&lt;2, 100, IF(C48&lt;=4, 150, 200)), IF(B48="Aluvionar Arenoso", IF(C48&lt;10, 300, 500), IF(B48="Solo Residual", IF(C48&lt;5, 800, IF(C48&lt;10, 1350, IF(C48&lt;=20, 1850, 3000))), 0))))</f>
        <v>200</v>
      </c>
      <c r="J48" s="3">
        <f>(A49-A47)/2</f>
        <v>0.49949999999999983</v>
      </c>
      <c r="K48" s="3">
        <f>MAX(0, (A48 - $B$28)*1)</f>
        <v>2</v>
      </c>
      <c r="L48" s="3">
        <f t="shared" si="7"/>
        <v>7.6000999999999994</v>
      </c>
      <c r="M48" s="3">
        <f>L48 - K48</f>
        <v>5.6000999999999994</v>
      </c>
      <c r="N48" s="3">
        <f>MAX(0, M48*G48 - 2*E48*SQRT(G48))</f>
        <v>1.0651782781242845</v>
      </c>
      <c r="O48" s="3">
        <f>$B$29 * G48</f>
        <v>1.4708717896971062</v>
      </c>
      <c r="P48" s="3">
        <f t="shared" si="1"/>
        <v>2.5360500678213906</v>
      </c>
      <c r="Q48" s="3">
        <f>IF(A48&gt;=$B$30, MAX(0, (A48 - $B$30)*1), 0)</f>
        <v>2</v>
      </c>
      <c r="R48" s="3">
        <f t="shared" si="8"/>
        <v>3.4</v>
      </c>
      <c r="S48" s="3">
        <f>R48 - Q48</f>
        <v>1.4</v>
      </c>
      <c r="T48" s="3">
        <f>IF(A48&gt;=$B$30, S48*H48 + 2*E48*SQRT(H48), 0)</f>
        <v>6.2830046370071386</v>
      </c>
      <c r="U48" s="3">
        <f t="shared" si="2"/>
        <v>6.2830046370071386</v>
      </c>
      <c r="V48" s="3">
        <f>N48 * $B$32</f>
        <v>1.0651782781242845</v>
      </c>
      <c r="W48" s="3">
        <f>O48 * $B$32</f>
        <v>1.4708717896971062</v>
      </c>
      <c r="X48" s="3">
        <f>K48 * $B$32</f>
        <v>2</v>
      </c>
      <c r="Y48" s="3">
        <f t="shared" si="3"/>
        <v>1.2667570088767841</v>
      </c>
      <c r="Z48" s="3">
        <f>U48 * $B$32 * J48</f>
        <v>3.1383608161850649</v>
      </c>
      <c r="AA48" s="3">
        <f>IF(A48&gt;=$B$30, I48 * $B$32 * J48, 0)</f>
        <v>99.899999999999963</v>
      </c>
      <c r="AB48" s="3">
        <f>T48 * $B$32 * J48</f>
        <v>3.1383608161850649</v>
      </c>
      <c r="AC48" s="3">
        <f t="shared" si="4"/>
        <v>31.415023185035697</v>
      </c>
      <c r="AD48" s="3">
        <f t="shared" si="5"/>
        <v>31.415023185035697</v>
      </c>
    </row>
    <row r="49" spans="1:32" x14ac:dyDescent="0.25">
      <c r="A49" s="3">
        <f t="shared" si="6"/>
        <v>5</v>
      </c>
      <c r="B49" s="10" t="str">
        <f t="shared" si="0"/>
        <v>Aluvionar Argiloso</v>
      </c>
      <c r="C49" s="14">
        <v>5</v>
      </c>
      <c r="D49" s="3">
        <f>IF(B49="Aterro", IF(C49&lt;5, 1.7, 1.8), IF(B49="Aluvionar Argiloso", IF(C49&lt;2, 1.5, IF(C49&lt;=4, 1.5, 1.6)), IF(B49="Aluvionar Arenoso", IF(C49&lt;10, 1.7, 1.7), IF(B49="Solo Residual", IF(C49&lt;5, 1.7, IF(C49&lt;10, 1.8, IF(C49&lt;=20, 1.8, 1.9))), 0))))</f>
        <v>1.6</v>
      </c>
      <c r="E49" s="3">
        <f>IF(B49="Aterro", IF(C49&lt;5, 0.5, 1), IF(B49="Aluvionar Argiloso", IF(C49&lt;2, 0.8, IF(C49&lt;=4, 0.8, 1.2)), IF(B49="Aluvionar Arenoso", IF(C49&lt;10, 0.5, 0.5), IF(B49="Solo Residual", IF(C49&lt;5, 0.9, IF(C49&lt;10, 1.1, IF(C49&lt;=20, 1.35, 1.75))), 0))))</f>
        <v>1.2</v>
      </c>
      <c r="F49" s="3">
        <f>IF(B49="Aterro", IF(C49&lt;5, 20, 23), IF(B49="Aluvionar Argiloso", IF(C49&lt;2, 15, IF(C49&lt;=4, 18, 20)), IF(B49="Aluvionar Arenoso", IF(C49&lt;10, 25, 28), IF(B49="Solo Residual", IF(C49&lt;5, 22, IF(C49&lt;10, 26, IF(C49&lt;=20, 29, 31))), 0))))</f>
        <v>20</v>
      </c>
      <c r="G49" s="3">
        <f>TAN(RADIANS(45 - F49/2))^2</f>
        <v>0.49029059656570206</v>
      </c>
      <c r="H49" s="3">
        <f>TAN(RADIANS(45 + F49/2))^2</f>
        <v>2.0396067291614743</v>
      </c>
      <c r="I49" s="3">
        <f>IF(B49="Aterro", IF(C49&lt;5, 400, 475), IF(B49="Aluvionar Argiloso", IF(C49&lt;2, 100, IF(C49&lt;=4, 150, 200)), IF(B49="Aluvionar Arenoso", IF(C49&lt;10, 300, 500), IF(B49="Solo Residual", IF(C49&lt;5, 800, IF(C49&lt;10, 1350, IF(C49&lt;=20, 1850, 3000))), 0))))</f>
        <v>200</v>
      </c>
      <c r="J49" s="3">
        <f>(A50-A48)/2</f>
        <v>0.5</v>
      </c>
      <c r="K49" s="3">
        <f>MAX(0, (A49 - $B$28)*1)</f>
        <v>2.5</v>
      </c>
      <c r="L49" s="3">
        <f t="shared" si="7"/>
        <v>8.4001000000000001</v>
      </c>
      <c r="M49" s="3">
        <f>L49 - K49</f>
        <v>5.9001000000000001</v>
      </c>
      <c r="N49" s="3">
        <f>MAX(0, M49*G49 - 2*E49*SQRT(G49))</f>
        <v>1.2122654570939955</v>
      </c>
      <c r="O49" s="3">
        <f>$B$29 * G49</f>
        <v>1.4708717896971062</v>
      </c>
      <c r="P49" s="3">
        <f t="shared" si="1"/>
        <v>2.6831372467911017</v>
      </c>
      <c r="Q49" s="3">
        <f>IF(A49&gt;=$B$30, MAX(0, (A49 - $B$30)*1), 0)</f>
        <v>2.5</v>
      </c>
      <c r="R49" s="3">
        <f t="shared" si="8"/>
        <v>4.1501000000000001</v>
      </c>
      <c r="S49" s="3">
        <f>R49 - Q49</f>
        <v>1.6501000000000001</v>
      </c>
      <c r="T49" s="3">
        <f>IF(A49&gt;=$B$30, S49*H49 + 2*E49*SQRT(H49), 0)</f>
        <v>6.7931102799704233</v>
      </c>
      <c r="U49" s="3">
        <f t="shared" si="2"/>
        <v>6.7931102799704233</v>
      </c>
      <c r="V49" s="3">
        <f>N49 * $B$32</f>
        <v>1.2122654570939955</v>
      </c>
      <c r="W49" s="3">
        <f>O49 * $B$32</f>
        <v>1.4708717896971062</v>
      </c>
      <c r="X49" s="3">
        <f>K49 * $B$32</f>
        <v>2.5</v>
      </c>
      <c r="Y49" s="3">
        <f t="shared" si="3"/>
        <v>1.3415686233955508</v>
      </c>
      <c r="Z49" s="3">
        <f>U49 * $B$32 * J49</f>
        <v>3.3965551399852116</v>
      </c>
      <c r="AA49" s="3">
        <f>IF(A49&gt;=$B$30, I49 * $B$32 * J49, 0)</f>
        <v>100</v>
      </c>
      <c r="AB49" s="3">
        <f>T49 * $B$32 * J49</f>
        <v>3.3965551399852116</v>
      </c>
      <c r="AC49" s="3">
        <f t="shared" si="4"/>
        <v>33.96555139985211</v>
      </c>
      <c r="AD49" s="3">
        <f t="shared" si="5"/>
        <v>33.96555139985211</v>
      </c>
    </row>
    <row r="50" spans="1:32" s="7" customFormat="1" x14ac:dyDescent="0.25">
      <c r="A50" s="6">
        <f t="shared" si="6"/>
        <v>5.5</v>
      </c>
      <c r="B50" s="8" t="str">
        <f t="shared" si="0"/>
        <v>Aluvionar Argiloso</v>
      </c>
      <c r="C50" s="15">
        <v>5</v>
      </c>
      <c r="D50" s="6">
        <f>IF(B50="Aterro", IF(C50&lt;5, 1.7, 1.8), IF(B50="Aluvionar Argiloso", IF(C50&lt;2, 1.5, IF(C50&lt;=4, 1.5, 1.6)), IF(B50="Aluvionar Arenoso", IF(C50&lt;10, 1.7, 1.7), IF(B50="Solo Residual", IF(C50&lt;5, 1.7, IF(C50&lt;10, 1.8, IF(C50&lt;=20, 1.8, 1.9))), 0))))</f>
        <v>1.6</v>
      </c>
      <c r="E50" s="6">
        <f>IF(B50="Aterro", IF(C50&lt;5, 0.5, 1), IF(B50="Aluvionar Argiloso", IF(C50&lt;2, 0.8, IF(C50&lt;=4, 0.8, 1.2)), IF(B50="Aluvionar Arenoso", IF(C50&lt;10, 0.5, 0.5), IF(B50="Solo Residual", IF(C50&lt;5, 0.9, IF(C50&lt;10, 1.1, IF(C50&lt;=20, 1.35, 1.75))), 0))))</f>
        <v>1.2</v>
      </c>
      <c r="F50" s="6">
        <f>IF(B50="Aterro", IF(C50&lt;5, 20, 23), IF(B50="Aluvionar Argiloso", IF(C50&lt;2, 15, IF(C50&lt;=4, 18, 20)), IF(B50="Aluvionar Arenoso", IF(C50&lt;10, 25, 28), IF(B50="Solo Residual", IF(C50&lt;5, 22, IF(C50&lt;10, 26, IF(C50&lt;=20, 29, 31))), 0))))</f>
        <v>20</v>
      </c>
      <c r="G50" s="6">
        <f>TAN(RADIANS(45 - F50/2))^2</f>
        <v>0.49029059656570206</v>
      </c>
      <c r="H50" s="6">
        <f>TAN(RADIANS(45 + F50/2))^2</f>
        <v>2.0396067291614743</v>
      </c>
      <c r="I50" s="6">
        <f>IF(B50="Aterro", IF(C50&lt;5, 400, 475), IF(B50="Aluvionar Argiloso", IF(C50&lt;2, 100, IF(C50&lt;=4, 150, 200)), IF(B50="Aluvionar Arenoso", IF(C50&lt;10, 300, 500), IF(B50="Solo Residual", IF(C50&lt;5, 800, IF(C50&lt;10, 1350, IF(C50&lt;=20, 1850, 3000))), 0))))</f>
        <v>200</v>
      </c>
      <c r="J50" s="6">
        <f>(A51-A49)/2</f>
        <v>0.25050000000000017</v>
      </c>
      <c r="K50" s="6">
        <f>MAX(0, (A50 - $B$28)*1)</f>
        <v>3</v>
      </c>
      <c r="L50" s="3">
        <f t="shared" si="7"/>
        <v>9.2001000000000008</v>
      </c>
      <c r="M50" s="6">
        <f>L50 - K50</f>
        <v>6.2001000000000008</v>
      </c>
      <c r="N50" s="6">
        <f>MAX(0, M50*G50 - 2*E50*SQRT(G50))</f>
        <v>1.3593526360637065</v>
      </c>
      <c r="O50" s="6">
        <f>$B$29 * G50</f>
        <v>1.4708717896971062</v>
      </c>
      <c r="P50" s="3">
        <f t="shared" si="1"/>
        <v>2.8302244257608127</v>
      </c>
      <c r="Q50" s="6">
        <f>IF(A50&gt;=$B$30, MAX(0, (A50 - $B$30)*1), 0)</f>
        <v>3</v>
      </c>
      <c r="R50" s="3">
        <f t="shared" si="8"/>
        <v>5</v>
      </c>
      <c r="S50" s="6">
        <f>R50 - Q50</f>
        <v>2</v>
      </c>
      <c r="T50" s="6">
        <f>IF(A50&gt;=$B$30, S50*H50 + 2*E50*SQRT(H50), 0)</f>
        <v>7.5067686745040234</v>
      </c>
      <c r="U50" s="3">
        <f t="shared" si="2"/>
        <v>7.5067686745040234</v>
      </c>
      <c r="V50" s="6">
        <f>N50 * $B$32</f>
        <v>1.3593526360637065</v>
      </c>
      <c r="W50" s="6">
        <f>O50 * $B$32</f>
        <v>1.4708717896971062</v>
      </c>
      <c r="X50" s="6">
        <f>K50 * $B$32</f>
        <v>3</v>
      </c>
      <c r="Y50" s="3">
        <f t="shared" si="3"/>
        <v>0.7089712186530841</v>
      </c>
      <c r="Z50" s="3">
        <f>U50 * $B$32 * J50</f>
        <v>1.8804455529632591</v>
      </c>
      <c r="AA50" s="6">
        <f>IF(A50&gt;=$B$30, I50 * $B$32 * J50, 0)</f>
        <v>50.100000000000037</v>
      </c>
      <c r="AB50" s="6">
        <f>T50 * $B$32 * J50</f>
        <v>1.8804455529632591</v>
      </c>
      <c r="AC50" s="3">
        <f t="shared" si="4"/>
        <v>37.533843372520117</v>
      </c>
      <c r="AD50" s="20">
        <f t="shared" si="5"/>
        <v>37.533843372520117</v>
      </c>
      <c r="AE50" s="16">
        <f>SUM(AA50:AA51)</f>
        <v>125.10000000000004</v>
      </c>
      <c r="AF50" s="16">
        <f>SUM(AB50:AB51)</f>
        <v>3.4744556273522598</v>
      </c>
    </row>
    <row r="51" spans="1:32" s="7" customFormat="1" x14ac:dyDescent="0.25">
      <c r="A51" s="6">
        <f t="shared" si="6"/>
        <v>5.5010000000000003</v>
      </c>
      <c r="B51" s="8" t="str">
        <f t="shared" si="0"/>
        <v>Aluvionar Arenoso</v>
      </c>
      <c r="C51" s="15">
        <v>6</v>
      </c>
      <c r="D51" s="6">
        <f>IF(B51="Aterro", IF(C51&lt;5, 1.7, 1.8), IF(B51="Aluvionar Argiloso", IF(C51&lt;2, 1.5, IF(C51&lt;=4, 1.5, 1.6)), IF(B51="Aluvionar Arenoso", IF(C51&lt;10, 1.7, 1.7), IF(B51="Solo Residual", IF(C51&lt;5, 1.7, IF(C51&lt;10, 1.8, IF(C51&lt;=20, 1.8, 1.9))), 0))))</f>
        <v>1.7</v>
      </c>
      <c r="E51" s="6">
        <f>IF(B51="Aterro", IF(C51&lt;5, 0.5, 1), IF(B51="Aluvionar Argiloso", IF(C51&lt;2, 0.8, IF(C51&lt;=4, 0.8, 1.2)), IF(B51="Aluvionar Arenoso", IF(C51&lt;10, 0.5, 0.5), IF(B51="Solo Residual", IF(C51&lt;5, 0.9, IF(C51&lt;10, 1.1, IF(C51&lt;=20, 1.35, 1.75))), 0))))</f>
        <v>0.5</v>
      </c>
      <c r="F51" s="6">
        <f>IF(B51="Aterro", IF(C51&lt;5, 20, 23), IF(B51="Aluvionar Argiloso", IF(C51&lt;2, 15, IF(C51&lt;=4, 18, 20)), IF(B51="Aluvionar Arenoso", IF(C51&lt;10, 25, 28), IF(B51="Solo Residual", IF(C51&lt;5, 22, IF(C51&lt;10, 26, IF(C51&lt;=20, 29, 31))), 0))))</f>
        <v>25</v>
      </c>
      <c r="G51" s="6">
        <f>TAN(RADIANS(45 - F51/2))^2</f>
        <v>0.4058585172053274</v>
      </c>
      <c r="H51" s="6">
        <f>TAN(RADIANS(45 + F51/2))^2</f>
        <v>2.4639128110106685</v>
      </c>
      <c r="I51" s="6">
        <f>IF(B51="Aterro", IF(C51&lt;5, 400, 475), IF(B51="Aluvionar Argiloso", IF(C51&lt;2, 100, IF(C51&lt;=4, 150, 200)), IF(B51="Aluvionar Arenoso", IF(C51&lt;10, 300, 500), IF(B51="Solo Residual", IF(C51&lt;5, 800, IF(C51&lt;10, 1350, IF(C51&lt;=20, 1850, 3000))), 0))))</f>
        <v>300</v>
      </c>
      <c r="J51" s="6">
        <f>(A52-A50)/2</f>
        <v>0.25</v>
      </c>
      <c r="K51" s="6">
        <f>MAX(0, (A51 - $B$28)*1)</f>
        <v>3.0010000000000003</v>
      </c>
      <c r="L51" s="3">
        <f t="shared" si="7"/>
        <v>9.2017000000000007</v>
      </c>
      <c r="M51" s="6">
        <f>L51 - K51</f>
        <v>6.2007000000000003</v>
      </c>
      <c r="N51" s="6">
        <f>MAX(0, M51*G51 - 2*E51*SQRT(G51))</f>
        <v>1.8795366468275805</v>
      </c>
      <c r="O51" s="6">
        <f>$B$29 * G51</f>
        <v>1.2175755516159823</v>
      </c>
      <c r="P51" s="3">
        <f t="shared" si="1"/>
        <v>3.097112198443563</v>
      </c>
      <c r="Q51" s="6">
        <f>IF(A51&gt;=$B$30, MAX(0, (A51 - $B$30)*1), 0)</f>
        <v>3.0010000000000003</v>
      </c>
      <c r="R51" s="3">
        <f t="shared" si="8"/>
        <v>4.9517000000000007</v>
      </c>
      <c r="S51" s="6">
        <f>R51 - Q51</f>
        <v>1.9507000000000003</v>
      </c>
      <c r="T51" s="6">
        <f>IF(A51&gt;=$B$30, S51*H51 + 2*E51*SQRT(H51), 0)</f>
        <v>6.3760402975560027</v>
      </c>
      <c r="U51" s="3">
        <f t="shared" si="2"/>
        <v>6.3760402975560027</v>
      </c>
      <c r="V51" s="6">
        <f>N51 * $B$32</f>
        <v>1.8795366468275805</v>
      </c>
      <c r="W51" s="6">
        <f>O51 * $B$32</f>
        <v>1.2175755516159823</v>
      </c>
      <c r="X51" s="6">
        <f>K51 * $B$32</f>
        <v>3.0010000000000003</v>
      </c>
      <c r="Y51" s="3">
        <f t="shared" si="3"/>
        <v>0.77427804961089075</v>
      </c>
      <c r="Z51" s="3">
        <f>U51 * $B$32 * J51</f>
        <v>1.5940100743890007</v>
      </c>
      <c r="AA51" s="6">
        <f>IF(A51&gt;=$B$30, I51 * $B$32 * J51, 0)</f>
        <v>75</v>
      </c>
      <c r="AB51" s="6">
        <f>T51 * $B$32 * J51</f>
        <v>1.5940100743890007</v>
      </c>
      <c r="AC51" s="3">
        <f t="shared" si="4"/>
        <v>21.253467658520009</v>
      </c>
      <c r="AD51" s="20"/>
      <c r="AE51" s="9"/>
      <c r="AF51" s="9"/>
    </row>
    <row r="52" spans="1:32" x14ac:dyDescent="0.25">
      <c r="A52" s="3">
        <v>6</v>
      </c>
      <c r="B52" s="10" t="str">
        <f t="shared" si="0"/>
        <v>Aluvionar Arenoso</v>
      </c>
      <c r="C52" s="14">
        <v>6</v>
      </c>
      <c r="D52" s="3">
        <f>IF(B52="Aterro", IF(C52&lt;5, 1.7, 1.8), IF(B52="Aluvionar Argiloso", IF(C52&lt;2, 1.5, IF(C52&lt;=4, 1.5, 1.6)), IF(B52="Aluvionar Arenoso", IF(C52&lt;10, 1.7, 1.7), IF(B52="Solo Residual", IF(C52&lt;5, 1.7, IF(C52&lt;10, 1.8, IF(C52&lt;=20, 1.8, 1.9))), 0))))</f>
        <v>1.7</v>
      </c>
      <c r="E52" s="3">
        <f>IF(B52="Aterro", IF(C52&lt;5, 0.5, 1), IF(B52="Aluvionar Argiloso", IF(C52&lt;2, 0.8, IF(C52&lt;=4, 0.8, 1.2)), IF(B52="Aluvionar Arenoso", IF(C52&lt;10, 0.5, 0.5), IF(B52="Solo Residual", IF(C52&lt;5, 0.9, IF(C52&lt;10, 1.1, IF(C52&lt;=20, 1.35, 1.75))), 0))))</f>
        <v>0.5</v>
      </c>
      <c r="F52" s="3">
        <f>IF(B52="Aterro", IF(C52&lt;5, 20, 23), IF(B52="Aluvionar Argiloso", IF(C52&lt;2, 15, IF(C52&lt;=4, 18, 20)), IF(B52="Aluvionar Arenoso", IF(C52&lt;10, 25, 28), IF(B52="Solo Residual", IF(C52&lt;5, 22, IF(C52&lt;10, 26, IF(C52&lt;=20, 29, 31))), 0))))</f>
        <v>25</v>
      </c>
      <c r="G52" s="3">
        <f>TAN(RADIANS(45 - F52/2))^2</f>
        <v>0.4058585172053274</v>
      </c>
      <c r="H52" s="3">
        <f>TAN(RADIANS(45 + F52/2))^2</f>
        <v>2.4639128110106685</v>
      </c>
      <c r="I52" s="3">
        <f>IF(B52="Aterro", IF(C52&lt;5, 400, 475), IF(B52="Aluvionar Argiloso", IF(C52&lt;2, 100, IF(C52&lt;=4, 150, 200)), IF(B52="Aluvionar Arenoso", IF(C52&lt;10, 300, 500), IF(B52="Solo Residual", IF(C52&lt;5, 800, IF(C52&lt;10, 1350, IF(C52&lt;=20, 1850, 3000))), 0))))</f>
        <v>300</v>
      </c>
      <c r="J52" s="3">
        <f>(A53-A51)/2</f>
        <v>0.49949999999999983</v>
      </c>
      <c r="K52" s="3">
        <f>MAX(0, (A52 - $B$28)*1)</f>
        <v>3.5</v>
      </c>
      <c r="L52" s="3">
        <f t="shared" si="7"/>
        <v>10.050000000000001</v>
      </c>
      <c r="M52" s="3">
        <f>L52 - K52</f>
        <v>6.5500000000000007</v>
      </c>
      <c r="N52" s="3">
        <f>MAX(0, M52*G52 - 2*E52*SQRT(G52))</f>
        <v>2.0213030268874013</v>
      </c>
      <c r="O52" s="3">
        <f>$B$29 * G52</f>
        <v>1.2175755516159823</v>
      </c>
      <c r="P52" s="3">
        <f t="shared" si="1"/>
        <v>3.2388785785033836</v>
      </c>
      <c r="Q52" s="3">
        <f>IF(A52&gt;=$B$30, MAX(0, (A52 - $B$30)*1), 0)</f>
        <v>3.5</v>
      </c>
      <c r="R52" s="3">
        <f t="shared" si="8"/>
        <v>5.8</v>
      </c>
      <c r="S52" s="3">
        <f>R52 - Q52</f>
        <v>2.2999999999999998</v>
      </c>
      <c r="T52" s="3">
        <f>IF(A52&gt;=$B$30, S52*H52 + 2*E52*SQRT(H52), 0)</f>
        <v>7.2366850424420273</v>
      </c>
      <c r="U52" s="3">
        <f t="shared" si="2"/>
        <v>7.2366850424420273</v>
      </c>
      <c r="V52" s="3">
        <f>N52 * $B$32</f>
        <v>2.0213030268874013</v>
      </c>
      <c r="W52" s="3">
        <f>O52 * $B$32</f>
        <v>1.2175755516159823</v>
      </c>
      <c r="X52" s="3">
        <f>K52 * $B$32</f>
        <v>3.5</v>
      </c>
      <c r="Y52" s="3">
        <f t="shared" si="3"/>
        <v>1.6178198499624397</v>
      </c>
      <c r="Z52" s="3">
        <f>U52 * $B$32 * J52</f>
        <v>3.6147241786997912</v>
      </c>
      <c r="AA52" s="3">
        <f>IF(A52&gt;=$B$30, I52 * $B$32 * J52, 0)</f>
        <v>149.84999999999994</v>
      </c>
      <c r="AB52" s="3">
        <f>T52 * $B$32 * J52</f>
        <v>3.6147241786997912</v>
      </c>
      <c r="AC52" s="3">
        <f t="shared" si="4"/>
        <v>24.122283474806757</v>
      </c>
      <c r="AD52" s="3">
        <f t="shared" si="5"/>
        <v>24.122283474806757</v>
      </c>
    </row>
    <row r="53" spans="1:32" x14ac:dyDescent="0.25">
      <c r="A53" s="3">
        <f t="shared" si="6"/>
        <v>6.5</v>
      </c>
      <c r="B53" s="10" t="str">
        <f t="shared" si="0"/>
        <v>Aluvionar Arenoso</v>
      </c>
      <c r="C53" s="14">
        <v>8</v>
      </c>
      <c r="D53" s="3">
        <f>IF(B53="Aterro", IF(C53&lt;5, 1.7, 1.8), IF(B53="Aluvionar Argiloso", IF(C53&lt;2, 1.5, IF(C53&lt;=4, 1.5, 1.6)), IF(B53="Aluvionar Arenoso", IF(C53&lt;10, 1.7, 1.7), IF(B53="Solo Residual", IF(C53&lt;5, 1.7, IF(C53&lt;10, 1.8, IF(C53&lt;=20, 1.8, 1.9))), 0))))</f>
        <v>1.7</v>
      </c>
      <c r="E53" s="3">
        <f>IF(B53="Aterro", IF(C53&lt;5, 0.5, 1), IF(B53="Aluvionar Argiloso", IF(C53&lt;2, 0.8, IF(C53&lt;=4, 0.8, 1.2)), IF(B53="Aluvionar Arenoso", IF(C53&lt;10, 0.5, 0.5), IF(B53="Solo Residual", IF(C53&lt;5, 0.9, IF(C53&lt;10, 1.1, IF(C53&lt;=20, 1.35, 1.75))), 0))))</f>
        <v>0.5</v>
      </c>
      <c r="F53" s="3">
        <f>IF(B53="Aterro", IF(C53&lt;5, 20, 23), IF(B53="Aluvionar Argiloso", IF(C53&lt;2, 15, IF(C53&lt;=4, 18, 20)), IF(B53="Aluvionar Arenoso", IF(C53&lt;10, 25, 28), IF(B53="Solo Residual", IF(C53&lt;5, 22, IF(C53&lt;10, 26, IF(C53&lt;=20, 29, 31))), 0))))</f>
        <v>25</v>
      </c>
      <c r="G53" s="3">
        <f>TAN(RADIANS(45 - F53/2))^2</f>
        <v>0.4058585172053274</v>
      </c>
      <c r="H53" s="3">
        <f>TAN(RADIANS(45 + F53/2))^2</f>
        <v>2.4639128110106685</v>
      </c>
      <c r="I53" s="3">
        <f>IF(B53="Aterro", IF(C53&lt;5, 400, 475), IF(B53="Aluvionar Argiloso", IF(C53&lt;2, 100, IF(C53&lt;=4, 150, 200)), IF(B53="Aluvionar Arenoso", IF(C53&lt;10, 300, 500), IF(B53="Solo Residual", IF(C53&lt;5, 800, IF(C53&lt;10, 1350, IF(C53&lt;=20, 1850, 3000))), 0))))</f>
        <v>300</v>
      </c>
      <c r="J53" s="3">
        <f>(A54-A52)/2</f>
        <v>0.5</v>
      </c>
      <c r="K53" s="3">
        <f>MAX(0, (A53 - $B$28)*1)</f>
        <v>4</v>
      </c>
      <c r="L53" s="3">
        <f t="shared" si="7"/>
        <v>10.9</v>
      </c>
      <c r="M53" s="3">
        <f>L53 - K53</f>
        <v>6.9</v>
      </c>
      <c r="N53" s="3">
        <f>MAX(0, M53*G53 - 2*E53*SQRT(G53))</f>
        <v>2.1633535079092656</v>
      </c>
      <c r="O53" s="3">
        <f>$B$29 * G53</f>
        <v>1.2175755516159823</v>
      </c>
      <c r="P53" s="3">
        <f t="shared" si="1"/>
        <v>3.3809290595252479</v>
      </c>
      <c r="Q53" s="3">
        <f>IF(A53&gt;=$B$30, MAX(0, (A53 - $B$30)*1), 0)</f>
        <v>4</v>
      </c>
      <c r="R53" s="3">
        <f t="shared" si="8"/>
        <v>6.65</v>
      </c>
      <c r="S53" s="3">
        <f>R53 - Q53</f>
        <v>2.6500000000000004</v>
      </c>
      <c r="T53" s="3">
        <f>IF(A53&gt;=$B$30, S53*H53 + 2*E53*SQRT(H53), 0)</f>
        <v>8.0990545262957632</v>
      </c>
      <c r="U53" s="3">
        <f t="shared" si="2"/>
        <v>8.0990545262957632</v>
      </c>
      <c r="V53" s="3">
        <f>N53 * $B$32</f>
        <v>2.1633535079092656</v>
      </c>
      <c r="W53" s="3">
        <f>O53 * $B$32</f>
        <v>1.2175755516159823</v>
      </c>
      <c r="X53" s="3">
        <f>K53 * $B$32</f>
        <v>4</v>
      </c>
      <c r="Y53" s="3">
        <f t="shared" si="3"/>
        <v>1.690464529762624</v>
      </c>
      <c r="Z53" s="3">
        <f>U53 * $B$32 * J53</f>
        <v>4.0495272631478816</v>
      </c>
      <c r="AA53" s="3">
        <f>IF(A53&gt;=$B$30, I53 * $B$32 * J53, 0)</f>
        <v>150</v>
      </c>
      <c r="AB53" s="3">
        <f>T53 * $B$32 * J53</f>
        <v>4.0495272631478816</v>
      </c>
      <c r="AC53" s="3">
        <f t="shared" si="4"/>
        <v>26.996848420985877</v>
      </c>
      <c r="AD53" s="3">
        <f t="shared" si="5"/>
        <v>26.996848420985877</v>
      </c>
    </row>
    <row r="54" spans="1:32" x14ac:dyDescent="0.25">
      <c r="A54" s="3">
        <f t="shared" si="6"/>
        <v>7</v>
      </c>
      <c r="B54" s="10" t="str">
        <f t="shared" si="0"/>
        <v>Aluvionar Arenoso</v>
      </c>
      <c r="C54" s="14">
        <v>8</v>
      </c>
      <c r="D54" s="3">
        <f>IF(B54="Aterro", IF(C54&lt;5, 1.7, 1.8), IF(B54="Aluvionar Argiloso", IF(C54&lt;2, 1.5, IF(C54&lt;=4, 1.5, 1.6)), IF(B54="Aluvionar Arenoso", IF(C54&lt;10, 1.7, 1.7), IF(B54="Solo Residual", IF(C54&lt;5, 1.7, IF(C54&lt;10, 1.8, IF(C54&lt;=20, 1.8, 1.9))), 0))))</f>
        <v>1.7</v>
      </c>
      <c r="E54" s="3">
        <f>IF(B54="Aterro", IF(C54&lt;5, 0.5, 1), IF(B54="Aluvionar Argiloso", IF(C54&lt;2, 0.8, IF(C54&lt;=4, 0.8, 1.2)), IF(B54="Aluvionar Arenoso", IF(C54&lt;10, 0.5, 0.5), IF(B54="Solo Residual", IF(C54&lt;5, 0.9, IF(C54&lt;10, 1.1, IF(C54&lt;=20, 1.35, 1.75))), 0))))</f>
        <v>0.5</v>
      </c>
      <c r="F54" s="3">
        <f>IF(B54="Aterro", IF(C54&lt;5, 20, 23), IF(B54="Aluvionar Argiloso", IF(C54&lt;2, 15, IF(C54&lt;=4, 18, 20)), IF(B54="Aluvionar Arenoso", IF(C54&lt;10, 25, 28), IF(B54="Solo Residual", IF(C54&lt;5, 22, IF(C54&lt;10, 26, IF(C54&lt;=20, 29, 31))), 0))))</f>
        <v>25</v>
      </c>
      <c r="G54" s="3">
        <f>TAN(RADIANS(45 - F54/2))^2</f>
        <v>0.4058585172053274</v>
      </c>
      <c r="H54" s="3">
        <f>TAN(RADIANS(45 + F54/2))^2</f>
        <v>2.4639128110106685</v>
      </c>
      <c r="I54" s="3">
        <f>IF(B54="Aterro", IF(C54&lt;5, 400, 475), IF(B54="Aluvionar Argiloso", IF(C54&lt;2, 100, IF(C54&lt;=4, 150, 200)), IF(B54="Aluvionar Arenoso", IF(C54&lt;10, 300, 500), IF(B54="Solo Residual", IF(C54&lt;5, 800, IF(C54&lt;10, 1350, IF(C54&lt;=20, 1850, 3000))), 0))))</f>
        <v>300</v>
      </c>
      <c r="J54" s="3">
        <f>(A55-A53)/2</f>
        <v>0.5</v>
      </c>
      <c r="K54" s="3">
        <f>MAX(0, (A54 - $B$28)*1)</f>
        <v>4.5</v>
      </c>
      <c r="L54" s="3">
        <f t="shared" si="7"/>
        <v>11.75</v>
      </c>
      <c r="M54" s="3">
        <f>L54 - K54</f>
        <v>7.25</v>
      </c>
      <c r="N54" s="3">
        <f>MAX(0, M54*G54 - 2*E54*SQRT(G54))</f>
        <v>2.3054039889311309</v>
      </c>
      <c r="O54" s="3">
        <f>$B$29 * G54</f>
        <v>1.2175755516159823</v>
      </c>
      <c r="P54" s="3">
        <f t="shared" si="1"/>
        <v>3.5229795405471132</v>
      </c>
      <c r="Q54" s="3">
        <f>IF(A54&gt;=$B$30, MAX(0, (A54 - $B$30)*1), 0)</f>
        <v>4.5</v>
      </c>
      <c r="R54" s="3">
        <f t="shared" si="8"/>
        <v>7.5</v>
      </c>
      <c r="S54" s="3">
        <f>R54 - Q54</f>
        <v>3</v>
      </c>
      <c r="T54" s="3">
        <f>IF(A54&gt;=$B$30, S54*H54 + 2*E54*SQRT(H54), 0)</f>
        <v>8.9614240101494946</v>
      </c>
      <c r="U54" s="3">
        <f t="shared" si="2"/>
        <v>8.9614240101494946</v>
      </c>
      <c r="V54" s="3">
        <f>N54 * $B$32</f>
        <v>2.3054039889311309</v>
      </c>
      <c r="W54" s="3">
        <f>O54 * $B$32</f>
        <v>1.2175755516159823</v>
      </c>
      <c r="X54" s="3">
        <f>K54 * $B$32</f>
        <v>4.5</v>
      </c>
      <c r="Y54" s="3">
        <f t="shared" si="3"/>
        <v>1.7614897702735566</v>
      </c>
      <c r="Z54" s="3">
        <f>U54 * $B$32 * J54</f>
        <v>4.4807120050747473</v>
      </c>
      <c r="AA54" s="3">
        <f>IF(A54&gt;=$B$30, I54 * $B$32 * J54, 0)</f>
        <v>150</v>
      </c>
      <c r="AB54" s="3">
        <f>T54 * $B$32 * J54</f>
        <v>4.4807120050747473</v>
      </c>
      <c r="AC54" s="3">
        <f t="shared" si="4"/>
        <v>29.871413367164983</v>
      </c>
      <c r="AD54" s="3">
        <f t="shared" si="5"/>
        <v>29.871413367164983</v>
      </c>
    </row>
    <row r="55" spans="1:32" x14ac:dyDescent="0.25">
      <c r="A55" s="3">
        <f t="shared" si="6"/>
        <v>7.5</v>
      </c>
      <c r="B55" s="10" t="str">
        <f t="shared" si="0"/>
        <v>Aluvionar Arenoso</v>
      </c>
      <c r="C55" s="14">
        <v>11</v>
      </c>
      <c r="D55" s="3">
        <f>IF(B55="Aterro", IF(C55&lt;5, 1.7, 1.8), IF(B55="Aluvionar Argiloso", IF(C55&lt;2, 1.5, IF(C55&lt;=4, 1.5, 1.6)), IF(B55="Aluvionar Arenoso", IF(C55&lt;10, 1.7, 1.7), IF(B55="Solo Residual", IF(C55&lt;5, 1.7, IF(C55&lt;10, 1.8, IF(C55&lt;=20, 1.8, 1.9))), 0))))</f>
        <v>1.7</v>
      </c>
      <c r="E55" s="3">
        <f>IF(B55="Aterro", IF(C55&lt;5, 0.5, 1), IF(B55="Aluvionar Argiloso", IF(C55&lt;2, 0.8, IF(C55&lt;=4, 0.8, 1.2)), IF(B55="Aluvionar Arenoso", IF(C55&lt;10, 0.5, 0.5), IF(B55="Solo Residual", IF(C55&lt;5, 0.9, IF(C55&lt;10, 1.1, IF(C55&lt;=20, 1.35, 1.75))), 0))))</f>
        <v>0.5</v>
      </c>
      <c r="F55" s="3">
        <f>IF(B55="Aterro", IF(C55&lt;5, 20, 23), IF(B55="Aluvionar Argiloso", IF(C55&lt;2, 15, IF(C55&lt;=4, 18, 20)), IF(B55="Aluvionar Arenoso", IF(C55&lt;10, 25, 28), IF(B55="Solo Residual", IF(C55&lt;5, 22, IF(C55&lt;10, 26, IF(C55&lt;=20, 29, 31))), 0))))</f>
        <v>28</v>
      </c>
      <c r="G55" s="3">
        <f>TAN(RADIANS(45 - F55/2))^2</f>
        <v>0.36103348349818304</v>
      </c>
      <c r="H55" s="3">
        <f>TAN(RADIANS(45 + F55/2))^2</f>
        <v>2.7698261953729091</v>
      </c>
      <c r="I55" s="3">
        <f>IF(B55="Aterro", IF(C55&lt;5, 400, 475), IF(B55="Aluvionar Argiloso", IF(C55&lt;2, 100, IF(C55&lt;=4, 150, 200)), IF(B55="Aluvionar Arenoso", IF(C55&lt;10, 300, 500), IF(B55="Solo Residual", IF(C55&lt;5, 800, IF(C55&lt;10, 1350, IF(C55&lt;=20, 1850, 3000))), 0))))</f>
        <v>500</v>
      </c>
      <c r="J55" s="3">
        <f>(A56-A54)/2</f>
        <v>0.5</v>
      </c>
      <c r="K55" s="3">
        <f>MAX(0, (A55 - $B$28)*1)</f>
        <v>5</v>
      </c>
      <c r="L55" s="3">
        <f t="shared" si="7"/>
        <v>12.6</v>
      </c>
      <c r="M55" s="3">
        <f>L55 - K55</f>
        <v>7.6</v>
      </c>
      <c r="N55" s="3">
        <f>MAX(0, M55*G55 - 2*E55*SQRT(G55))</f>
        <v>2.1429938555586308</v>
      </c>
      <c r="O55" s="3">
        <f>$B$29 * G55</f>
        <v>1.0831004504945492</v>
      </c>
      <c r="P55" s="3">
        <f t="shared" si="1"/>
        <v>3.2260943060531799</v>
      </c>
      <c r="Q55" s="3">
        <f>IF(A55&gt;=$B$30, MAX(0, (A55 - $B$30)*1), 0)</f>
        <v>5</v>
      </c>
      <c r="R55" s="3">
        <f t="shared" si="8"/>
        <v>8.35</v>
      </c>
      <c r="S55" s="3">
        <f>R55 - Q55</f>
        <v>3.3499999999999996</v>
      </c>
      <c r="T55" s="3">
        <f>IF(A55&gt;=$B$30, S55*H55 + 2*E55*SQRT(H55), 0)</f>
        <v>10.943197236849763</v>
      </c>
      <c r="U55" s="3">
        <f t="shared" si="2"/>
        <v>10.943197236849763</v>
      </c>
      <c r="V55" s="3">
        <f>N55 * $B$32</f>
        <v>2.1429938555586308</v>
      </c>
      <c r="W55" s="3">
        <f>O55 * $B$32</f>
        <v>1.0831004504945492</v>
      </c>
      <c r="X55" s="3">
        <f>K55 * $B$32</f>
        <v>5</v>
      </c>
      <c r="Y55" s="3">
        <f t="shared" si="3"/>
        <v>1.61304715302659</v>
      </c>
      <c r="Z55" s="3">
        <f>U55 * $B$32 * J55</f>
        <v>5.4715986184248813</v>
      </c>
      <c r="AA55" s="3">
        <f>IF(A55&gt;=$B$30, I55 * $B$32 * J55, 0)</f>
        <v>250</v>
      </c>
      <c r="AB55" s="3">
        <f>T55 * $B$32 * J55</f>
        <v>5.4715986184248813</v>
      </c>
      <c r="AC55" s="3">
        <f t="shared" si="4"/>
        <v>21.886394473699525</v>
      </c>
      <c r="AD55" s="3">
        <f t="shared" si="5"/>
        <v>21.886394473699525</v>
      </c>
    </row>
    <row r="56" spans="1:32" x14ac:dyDescent="0.25">
      <c r="A56" s="3">
        <f t="shared" si="6"/>
        <v>8</v>
      </c>
      <c r="B56" s="10" t="str">
        <f t="shared" si="0"/>
        <v>Aluvionar Arenoso</v>
      </c>
      <c r="C56" s="14">
        <v>11</v>
      </c>
      <c r="D56" s="3">
        <f>IF(B56="Aterro", IF(C56&lt;5, 1.7, 1.8), IF(B56="Aluvionar Argiloso", IF(C56&lt;2, 1.5, IF(C56&lt;=4, 1.5, 1.6)), IF(B56="Aluvionar Arenoso", IF(C56&lt;10, 1.7, 1.7), IF(B56="Solo Residual", IF(C56&lt;5, 1.7, IF(C56&lt;10, 1.8, IF(C56&lt;=20, 1.8, 1.9))), 0))))</f>
        <v>1.7</v>
      </c>
      <c r="E56" s="3">
        <f>IF(B56="Aterro", IF(C56&lt;5, 0.5, 1), IF(B56="Aluvionar Argiloso", IF(C56&lt;2, 0.8, IF(C56&lt;=4, 0.8, 1.2)), IF(B56="Aluvionar Arenoso", IF(C56&lt;10, 0.5, 0.5), IF(B56="Solo Residual", IF(C56&lt;5, 0.9, IF(C56&lt;10, 1.1, IF(C56&lt;=20, 1.35, 1.75))), 0))))</f>
        <v>0.5</v>
      </c>
      <c r="F56" s="3">
        <f>IF(B56="Aterro", IF(C56&lt;5, 20, 23), IF(B56="Aluvionar Argiloso", IF(C56&lt;2, 15, IF(C56&lt;=4, 18, 20)), IF(B56="Aluvionar Arenoso", IF(C56&lt;10, 25, 28), IF(B56="Solo Residual", IF(C56&lt;5, 22, IF(C56&lt;10, 26, IF(C56&lt;=20, 29, 31))), 0))))</f>
        <v>28</v>
      </c>
      <c r="G56" s="3">
        <f>TAN(RADIANS(45 - F56/2))^2</f>
        <v>0.36103348349818304</v>
      </c>
      <c r="H56" s="3">
        <f>TAN(RADIANS(45 + F56/2))^2</f>
        <v>2.7698261953729091</v>
      </c>
      <c r="I56" s="3">
        <f>IF(B56="Aterro", IF(C56&lt;5, 400, 475), IF(B56="Aluvionar Argiloso", IF(C56&lt;2, 100, IF(C56&lt;=4, 150, 200)), IF(B56="Aluvionar Arenoso", IF(C56&lt;10, 300, 500), IF(B56="Solo Residual", IF(C56&lt;5, 800, IF(C56&lt;10, 1350, IF(C56&lt;=20, 1850, 3000))), 0))))</f>
        <v>500</v>
      </c>
      <c r="J56" s="3">
        <f>(A57-A55)/2</f>
        <v>0.5</v>
      </c>
      <c r="K56" s="3">
        <f>MAX(0, (A56 - $B$28)*1)</f>
        <v>5.5</v>
      </c>
      <c r="L56" s="3">
        <f t="shared" si="7"/>
        <v>13.45</v>
      </c>
      <c r="M56" s="3">
        <f>L56 - K56</f>
        <v>7.9499999999999993</v>
      </c>
      <c r="N56" s="3">
        <f>MAX(0, M56*G56 - 2*E56*SQRT(G56))</f>
        <v>2.2693555747829945</v>
      </c>
      <c r="O56" s="3">
        <f>$B$29 * G56</f>
        <v>1.0831004504945492</v>
      </c>
      <c r="P56" s="3">
        <f t="shared" si="1"/>
        <v>3.3524560252775437</v>
      </c>
      <c r="Q56" s="3">
        <f>IF(A56&gt;=$B$30, MAX(0, (A56 - $B$30)*1), 0)</f>
        <v>5.5</v>
      </c>
      <c r="R56" s="3">
        <f t="shared" si="8"/>
        <v>9.1999999999999993</v>
      </c>
      <c r="S56" s="3">
        <f>R56 - Q56</f>
        <v>3.6999999999999993</v>
      </c>
      <c r="T56" s="3">
        <f>IF(A56&gt;=$B$30, S56*H56 + 2*E56*SQRT(H56), 0)</f>
        <v>11.91263640523028</v>
      </c>
      <c r="U56" s="3">
        <f t="shared" si="2"/>
        <v>11.91263640523028</v>
      </c>
      <c r="V56" s="3">
        <f>N56 * $B$32</f>
        <v>2.2693555747829945</v>
      </c>
      <c r="W56" s="3">
        <f>O56 * $B$32</f>
        <v>1.0831004504945492</v>
      </c>
      <c r="X56" s="3">
        <f>K56 * $B$32</f>
        <v>5.5</v>
      </c>
      <c r="Y56" s="3">
        <f t="shared" si="3"/>
        <v>1.6762280126387719</v>
      </c>
      <c r="Z56" s="3">
        <f>U56 * $B$32 * J56</f>
        <v>5.9563182026151402</v>
      </c>
      <c r="AA56" s="3">
        <f>IF(A56&gt;=$B$30, I56 * $B$32 * J56, 0)</f>
        <v>250</v>
      </c>
      <c r="AB56" s="3">
        <f>T56 * $B$32 * J56</f>
        <v>5.9563182026151402</v>
      </c>
      <c r="AC56" s="3">
        <f t="shared" si="4"/>
        <v>23.825272810460561</v>
      </c>
      <c r="AD56" s="3">
        <f t="shared" si="5"/>
        <v>23.825272810460561</v>
      </c>
    </row>
    <row r="57" spans="1:32" x14ac:dyDescent="0.25">
      <c r="A57" s="3">
        <f t="shared" si="6"/>
        <v>8.5</v>
      </c>
      <c r="B57" s="10" t="str">
        <f t="shared" si="0"/>
        <v>Aluvionar Arenoso</v>
      </c>
      <c r="C57" s="14">
        <v>11</v>
      </c>
      <c r="D57" s="3">
        <f>IF(B57="Aterro", IF(C57&lt;5, 1.7, 1.8), IF(B57="Aluvionar Argiloso", IF(C57&lt;2, 1.5, IF(C57&lt;=4, 1.5, 1.6)), IF(B57="Aluvionar Arenoso", IF(C57&lt;10, 1.7, 1.7), IF(B57="Solo Residual", IF(C57&lt;5, 1.7, IF(C57&lt;10, 1.8, IF(C57&lt;=20, 1.8, 1.9))), 0))))</f>
        <v>1.7</v>
      </c>
      <c r="E57" s="3">
        <f>IF(B57="Aterro", IF(C57&lt;5, 0.5, 1), IF(B57="Aluvionar Argiloso", IF(C57&lt;2, 0.8, IF(C57&lt;=4, 0.8, 1.2)), IF(B57="Aluvionar Arenoso", IF(C57&lt;10, 0.5, 0.5), IF(B57="Solo Residual", IF(C57&lt;5, 0.9, IF(C57&lt;10, 1.1, IF(C57&lt;=20, 1.35, 1.75))), 0))))</f>
        <v>0.5</v>
      </c>
      <c r="F57" s="3">
        <f>IF(B57="Aterro", IF(C57&lt;5, 20, 23), IF(B57="Aluvionar Argiloso", IF(C57&lt;2, 15, IF(C57&lt;=4, 18, 20)), IF(B57="Aluvionar Arenoso", IF(C57&lt;10, 25, 28), IF(B57="Solo Residual", IF(C57&lt;5, 22, IF(C57&lt;10, 26, IF(C57&lt;=20, 29, 31))), 0))))</f>
        <v>28</v>
      </c>
      <c r="G57" s="3">
        <f>TAN(RADIANS(45 - F57/2))^2</f>
        <v>0.36103348349818304</v>
      </c>
      <c r="H57" s="3">
        <f>TAN(RADIANS(45 + F57/2))^2</f>
        <v>2.7698261953729091</v>
      </c>
      <c r="I57" s="3">
        <f>IF(B57="Aterro", IF(C57&lt;5, 400, 475), IF(B57="Aluvionar Argiloso", IF(C57&lt;2, 100, IF(C57&lt;=4, 150, 200)), IF(B57="Aluvionar Arenoso", IF(C57&lt;10, 300, 500), IF(B57="Solo Residual", IF(C57&lt;5, 800, IF(C57&lt;10, 1350, IF(C57&lt;=20, 1850, 3000))), 0))))</f>
        <v>500</v>
      </c>
      <c r="J57" s="3">
        <f>(A58-A56)/2</f>
        <v>0.5</v>
      </c>
      <c r="K57" s="3">
        <f>MAX(0, (A57 - $B$28)*1)</f>
        <v>6</v>
      </c>
      <c r="L57" s="3">
        <f t="shared" si="7"/>
        <v>14.299999999999999</v>
      </c>
      <c r="M57" s="3">
        <f>L57 - K57</f>
        <v>8.2999999999999989</v>
      </c>
      <c r="N57" s="3">
        <f>MAX(0, M57*G57 - 2*E57*SQRT(G57))</f>
        <v>2.3957172940073588</v>
      </c>
      <c r="O57" s="3">
        <f>$B$29 * G57</f>
        <v>1.0831004504945492</v>
      </c>
      <c r="P57" s="3">
        <f t="shared" si="1"/>
        <v>3.4788177445019079</v>
      </c>
      <c r="Q57" s="3">
        <f>IF(A57&gt;=$B$30, MAX(0, (A57 - $B$30)*1), 0)</f>
        <v>6</v>
      </c>
      <c r="R57" s="3">
        <f t="shared" si="8"/>
        <v>10.049999999999999</v>
      </c>
      <c r="S57" s="3">
        <f>R57 - Q57</f>
        <v>4.0499999999999989</v>
      </c>
      <c r="T57" s="3">
        <f>IF(A57&gt;=$B$30, S57*H57 + 2*E57*SQRT(H57), 0)</f>
        <v>12.882075573610798</v>
      </c>
      <c r="U57" s="3">
        <f t="shared" si="2"/>
        <v>12.882075573610798</v>
      </c>
      <c r="V57" s="3">
        <f>N57 * $B$32</f>
        <v>2.3957172940073588</v>
      </c>
      <c r="W57" s="3">
        <f>O57 * $B$32</f>
        <v>1.0831004504945492</v>
      </c>
      <c r="X57" s="3">
        <f>K57 * $B$32</f>
        <v>6</v>
      </c>
      <c r="Y57" s="3">
        <f t="shared" si="3"/>
        <v>1.739408872250954</v>
      </c>
      <c r="Z57" s="3">
        <f>U57 * $B$32 * J57</f>
        <v>6.4410377868053992</v>
      </c>
      <c r="AA57" s="3">
        <f>IF(A57&gt;=$B$30, I57 * $B$32 * J57, 0)</f>
        <v>250</v>
      </c>
      <c r="AB57" s="3">
        <f>T57 * $B$32 * J57</f>
        <v>6.4410377868053992</v>
      </c>
      <c r="AC57" s="3">
        <f t="shared" si="4"/>
        <v>25.764151147221597</v>
      </c>
      <c r="AD57" s="3">
        <f>IF(A57=A58,AVERAGE(AC57:AC58),AC57)</f>
        <v>25.764151147221597</v>
      </c>
    </row>
    <row r="58" spans="1:32" x14ac:dyDescent="0.25">
      <c r="A58" s="3">
        <f>IF(OR(A57=$D$16,A57=$D$18,A57=$D$21),A57+0.001,A57+0.5)</f>
        <v>9</v>
      </c>
      <c r="B58" s="10" t="str">
        <f>IF(A58&lt;=$D$17,$B$16,IF(A58&lt;=$D$20,$B$18,IF(A58&lt;=$D$22,$B$21,IF(A58&lt;=$D$26,$B$23))))</f>
        <v>Aluvionar Arenoso</v>
      </c>
      <c r="C58" s="14">
        <v>11</v>
      </c>
      <c r="D58" s="3">
        <f>IF(B58="Aterro", IF(C58&lt;5, 1.7, 1.8), IF(B58="Aluvionar Argiloso", IF(C58&lt;2, 1.5, IF(C58&lt;=4, 1.5, 1.6)), IF(B58="Aluvionar Arenoso", IF(C58&lt;10, 1.7, 1.7), IF(B58="Solo Residual", IF(C58&lt;5, 1.7, IF(C58&lt;10, 1.8, IF(C58&lt;=20, 1.8, 1.9))), 0))))</f>
        <v>1.7</v>
      </c>
      <c r="E58" s="3">
        <f>IF(B58="Aterro", IF(C58&lt;5, 0.5, 1), IF(B58="Aluvionar Argiloso", IF(C58&lt;2, 0.8, IF(C58&lt;=4, 0.8, 1.2)), IF(B58="Aluvionar Arenoso", IF(C58&lt;10, 0.5, 0.5), IF(B58="Solo Residual", IF(C58&lt;5, 0.9, IF(C58&lt;10, 1.1, IF(C58&lt;=20, 1.35, 1.75))), 0))))</f>
        <v>0.5</v>
      </c>
      <c r="F58" s="3">
        <f>IF(B58="Aterro", IF(C58&lt;5, 20, 23), IF(B58="Aluvionar Argiloso", IF(C58&lt;2, 15, IF(C58&lt;=4, 18, 20)), IF(B58="Aluvionar Arenoso", IF(C58&lt;10, 25, 28), IF(B58="Solo Residual", IF(C58&lt;5, 22, IF(C58&lt;10, 26, IF(C58&lt;=20, 29, 31))), 0))))</f>
        <v>28</v>
      </c>
      <c r="G58" s="3">
        <f>TAN(RADIANS(45 - F58/2))^2</f>
        <v>0.36103348349818304</v>
      </c>
      <c r="H58" s="3">
        <f>TAN(RADIANS(45 + F58/2))^2</f>
        <v>2.7698261953729091</v>
      </c>
      <c r="I58" s="3">
        <f>IF(B58="Aterro", IF(C58&lt;5, 400, 475), IF(B58="Aluvionar Argiloso", IF(C58&lt;2, 100, IF(C58&lt;=4, 150, 200)), IF(B58="Aluvionar Arenoso", IF(C58&lt;10, 300, 500), IF(B58="Solo Residual", IF(C58&lt;5, 800, IF(C58&lt;10, 1350, IF(C58&lt;=20, 1850, 3000))), 0))))</f>
        <v>500</v>
      </c>
      <c r="J58" s="3">
        <f>(A59-A57)/2</f>
        <v>0.5</v>
      </c>
      <c r="K58" s="3">
        <f>MAX(0, (A58 - $B$28)*1)</f>
        <v>6.5</v>
      </c>
      <c r="L58" s="3">
        <f>L57 + D57*(A58 - A57)</f>
        <v>15.149999999999999</v>
      </c>
      <c r="M58" s="3">
        <f>L58 - K58</f>
        <v>8.6499999999999986</v>
      </c>
      <c r="N58" s="3">
        <f>MAX(0, M58*G58 - 2*E58*SQRT(G58))</f>
        <v>2.5220790132317226</v>
      </c>
      <c r="O58" s="3">
        <f>$B$29 * G58</f>
        <v>1.0831004504945492</v>
      </c>
      <c r="P58" s="3">
        <f t="shared" si="1"/>
        <v>3.6051794637262717</v>
      </c>
      <c r="Q58" s="3">
        <f>IF(A58&gt;=$B$30, MAX(0, (A58 - $B$30)*1), 0)</f>
        <v>6.5</v>
      </c>
      <c r="R58" s="3">
        <f>IF(A58&lt;=$B$30, 0, R56 + D56*(A58 - A56))</f>
        <v>10.899999999999999</v>
      </c>
      <c r="S58" s="3">
        <f>R58 - Q58</f>
        <v>4.3999999999999986</v>
      </c>
      <c r="T58" s="3">
        <f>IF(A58&gt;=$B$30, S58*H58 + 2*E58*SQRT(H58), 0)</f>
        <v>13.851514741991313</v>
      </c>
      <c r="U58" s="3">
        <f t="shared" si="2"/>
        <v>13.851514741991313</v>
      </c>
      <c r="V58" s="3">
        <f>N58 * $B$32</f>
        <v>2.5220790132317226</v>
      </c>
      <c r="W58" s="3">
        <f>O58 * $B$32</f>
        <v>1.0831004504945492</v>
      </c>
      <c r="X58" s="3">
        <f>K58 * $B$32</f>
        <v>6.5</v>
      </c>
      <c r="Y58" s="3">
        <f t="shared" si="3"/>
        <v>1.8025897318631359</v>
      </c>
      <c r="Z58" s="3">
        <f>U58 * $B$32 * J58</f>
        <v>6.9257573709956564</v>
      </c>
      <c r="AA58" s="3">
        <f>IF(A58&gt;=$B$30, I58 * $B$32 * J58, 0)</f>
        <v>250</v>
      </c>
      <c r="AB58" s="3">
        <f>T58 * $B$32 * J58</f>
        <v>6.9257573709956564</v>
      </c>
      <c r="AC58" s="3">
        <f t="shared" si="4"/>
        <v>27.703029483982625</v>
      </c>
      <c r="AD58" s="3">
        <f>IF(A58=A59,AVERAGE(AC58:AC59),AC58)</f>
        <v>27.703029483982625</v>
      </c>
    </row>
    <row r="59" spans="1:32" x14ac:dyDescent="0.25">
      <c r="A59" s="3">
        <f>IF(OR(A58=$D$16,A58=$D$18,A58=$D$21),A58+0.001,A58+0.5)</f>
        <v>9.5</v>
      </c>
      <c r="B59" s="10" t="str">
        <f t="shared" si="0"/>
        <v>Aluvionar Arenoso</v>
      </c>
      <c r="C59" s="14">
        <v>14</v>
      </c>
      <c r="D59" s="3">
        <f>IF(B59="Aterro", IF(C59&lt;5, 1.7, 1.8), IF(B59="Aluvionar Argiloso", IF(C59&lt;2, 1.5, IF(C59&lt;=4, 1.5, 1.6)), IF(B59="Aluvionar Arenoso", IF(C59&lt;10, 1.7, 1.7), IF(B59="Solo Residual", IF(C59&lt;5, 1.7, IF(C59&lt;10, 1.8, IF(C59&lt;=20, 1.8, 1.9))), 0))))</f>
        <v>1.7</v>
      </c>
      <c r="E59" s="3">
        <f>IF(B59="Aterro", IF(C59&lt;5, 0.5, 1), IF(B59="Aluvionar Argiloso", IF(C59&lt;2, 0.8, IF(C59&lt;=4, 0.8, 1.2)), IF(B59="Aluvionar Arenoso", IF(C59&lt;10, 0.5, 0.5), IF(B59="Solo Residual", IF(C59&lt;5, 0.9, IF(C59&lt;10, 1.1, IF(C59&lt;=20, 1.35, 1.75))), 0))))</f>
        <v>0.5</v>
      </c>
      <c r="F59" s="3">
        <f>IF(B59="Aterro", IF(C59&lt;5, 20, 23), IF(B59="Aluvionar Argiloso", IF(C59&lt;2, 15, IF(C59&lt;=4, 18, 20)), IF(B59="Aluvionar Arenoso", IF(C59&lt;10, 25, 28), IF(B59="Solo Residual", IF(C59&lt;5, 22, IF(C59&lt;10, 26, IF(C59&lt;=20, 29, 31))), 0))))</f>
        <v>28</v>
      </c>
      <c r="G59" s="3">
        <f>TAN(RADIANS(45 - F59/2))^2</f>
        <v>0.36103348349818304</v>
      </c>
      <c r="H59" s="3">
        <f>TAN(RADIANS(45 + F59/2))^2</f>
        <v>2.7698261953729091</v>
      </c>
      <c r="I59" s="3">
        <f>IF(B59="Aterro", IF(C59&lt;5, 400, 475), IF(B59="Aluvionar Argiloso", IF(C59&lt;2, 100, IF(C59&lt;=4, 150, 200)), IF(B59="Aluvionar Arenoso", IF(C59&lt;10, 300, 500), IF(B59="Solo Residual", IF(C59&lt;5, 800, IF(C59&lt;10, 1350, IF(C59&lt;=20, 1850, 3000))), 0))))</f>
        <v>500</v>
      </c>
      <c r="J59" s="3">
        <f>(A60-A58)/2</f>
        <v>0.5</v>
      </c>
      <c r="K59" s="3">
        <f>MAX(0, (A59 - $B$28)*1)</f>
        <v>7</v>
      </c>
      <c r="L59" s="3">
        <f>L58 + D58*(A59 - A58)</f>
        <v>15.999999999999998</v>
      </c>
      <c r="M59" s="3">
        <f>L59 - K59</f>
        <v>8.9999999999999982</v>
      </c>
      <c r="N59" s="3">
        <f>MAX(0, M59*G59 - 2*E59*SQRT(G59))</f>
        <v>2.6484407324560864</v>
      </c>
      <c r="O59" s="3">
        <f>$B$29 * G59</f>
        <v>1.0831004504945492</v>
      </c>
      <c r="P59" s="3">
        <f t="shared" si="1"/>
        <v>3.7315411829506355</v>
      </c>
      <c r="Q59" s="3">
        <f>IF(A59&gt;=$B$30, MAX(0, (A59 - $B$30)*1), 0)</f>
        <v>7</v>
      </c>
      <c r="R59" s="3">
        <f t="shared" si="8"/>
        <v>11.749999999999998</v>
      </c>
      <c r="S59" s="3">
        <f>R59 - Q59</f>
        <v>4.7499999999999982</v>
      </c>
      <c r="T59" s="3">
        <f>IF(A59&gt;=$B$30, S59*H59 + 2*E59*SQRT(H59), 0)</f>
        <v>14.820953910371831</v>
      </c>
      <c r="U59" s="3">
        <f t="shared" si="2"/>
        <v>14.820953910371831</v>
      </c>
      <c r="V59" s="3">
        <f>N59 * $B$32</f>
        <v>2.6484407324560864</v>
      </c>
      <c r="W59" s="3">
        <f>O59 * $B$32</f>
        <v>1.0831004504945492</v>
      </c>
      <c r="X59" s="3">
        <f>K59 * $B$32</f>
        <v>7</v>
      </c>
      <c r="Y59" s="3">
        <f t="shared" si="3"/>
        <v>1.8657705914753178</v>
      </c>
      <c r="Z59" s="3">
        <f>U59 * $B$32 * J59</f>
        <v>7.4104769551859153</v>
      </c>
      <c r="AA59" s="3">
        <f>IF(A59&gt;=$B$30, I59 * $B$32 * J59, 0)</f>
        <v>250</v>
      </c>
      <c r="AB59" s="3">
        <f>T59 * $B$32 * J59</f>
        <v>7.4104769551859153</v>
      </c>
      <c r="AC59" s="3">
        <f t="shared" si="4"/>
        <v>29.641907820743661</v>
      </c>
      <c r="AD59" s="3">
        <f t="shared" si="5"/>
        <v>29.641907820743661</v>
      </c>
    </row>
    <row r="60" spans="1:32" x14ac:dyDescent="0.25">
      <c r="A60" s="3">
        <f t="shared" si="6"/>
        <v>10</v>
      </c>
      <c r="B60" s="10" t="str">
        <f t="shared" si="0"/>
        <v>Aluvionar Arenoso</v>
      </c>
      <c r="C60" s="14">
        <v>14</v>
      </c>
      <c r="D60" s="3">
        <f>IF(B60="Aterro", IF(C60&lt;5, 1.7, 1.8), IF(B60="Aluvionar Argiloso", IF(C60&lt;2, 1.5, IF(C60&lt;=4, 1.5, 1.6)), IF(B60="Aluvionar Arenoso", IF(C60&lt;10, 1.7, 1.7), IF(B60="Solo Residual", IF(C60&lt;5, 1.7, IF(C60&lt;10, 1.8, IF(C60&lt;=20, 1.8, 1.9))), 0))))</f>
        <v>1.7</v>
      </c>
      <c r="E60" s="3">
        <f>IF(B60="Aterro", IF(C60&lt;5, 0.5, 1), IF(B60="Aluvionar Argiloso", IF(C60&lt;2, 0.8, IF(C60&lt;=4, 0.8, 1.2)), IF(B60="Aluvionar Arenoso", IF(C60&lt;10, 0.5, 0.5), IF(B60="Solo Residual", IF(C60&lt;5, 0.9, IF(C60&lt;10, 1.1, IF(C60&lt;=20, 1.35, 1.75))), 0))))</f>
        <v>0.5</v>
      </c>
      <c r="F60" s="3">
        <f>IF(B60="Aterro", IF(C60&lt;5, 20, 23), IF(B60="Aluvionar Argiloso", IF(C60&lt;2, 15, IF(C60&lt;=4, 18, 20)), IF(B60="Aluvionar Arenoso", IF(C60&lt;10, 25, 28), IF(B60="Solo Residual", IF(C60&lt;5, 22, IF(C60&lt;10, 26, IF(C60&lt;=20, 29, 31))), 0))))</f>
        <v>28</v>
      </c>
      <c r="G60" s="3">
        <f>TAN(RADIANS(45 - F60/2))^2</f>
        <v>0.36103348349818304</v>
      </c>
      <c r="H60" s="3">
        <f>TAN(RADIANS(45 + F60/2))^2</f>
        <v>2.7698261953729091</v>
      </c>
      <c r="I60" s="3">
        <f>IF(B60="Aterro", IF(C60&lt;5, 400, 475), IF(B60="Aluvionar Argiloso", IF(C60&lt;2, 100, IF(C60&lt;=4, 150, 200)), IF(B60="Aluvionar Arenoso", IF(C60&lt;10, 300, 500), IF(B60="Solo Residual", IF(C60&lt;5, 800, IF(C60&lt;10, 1350, IF(C60&lt;=20, 1850, 3000))), 0))))</f>
        <v>500</v>
      </c>
      <c r="J60" s="3">
        <f>(A61-A59)/2</f>
        <v>0.5</v>
      </c>
      <c r="K60" s="3">
        <f>MAX(0, (A60 - $B$28)*1)</f>
        <v>7.5</v>
      </c>
      <c r="L60" s="3">
        <f t="shared" si="7"/>
        <v>16.849999999999998</v>
      </c>
      <c r="M60" s="3">
        <f>L60 - K60</f>
        <v>9.3499999999999979</v>
      </c>
      <c r="N60" s="3">
        <f>MAX(0, M60*G60 - 2*E60*SQRT(G60))</f>
        <v>2.7748024516804506</v>
      </c>
      <c r="O60" s="3">
        <f>$B$29 * G60</f>
        <v>1.0831004504945492</v>
      </c>
      <c r="P60" s="3">
        <f t="shared" si="1"/>
        <v>3.8579029021749998</v>
      </c>
      <c r="Q60" s="3">
        <f>IF(A60&gt;=$B$30, MAX(0, (A60 - $B$30)*1), 0)</f>
        <v>7.5</v>
      </c>
      <c r="R60" s="3">
        <f>IF(A60&lt;=$B$30, 0, R58 + D58*(A60 - A58))</f>
        <v>12.599999999999998</v>
      </c>
      <c r="S60" s="3">
        <f>R60 - Q60</f>
        <v>5.0999999999999979</v>
      </c>
      <c r="T60" s="3">
        <f>IF(A60&gt;=$B$30, S60*H60 + 2*E60*SQRT(H60), 0)</f>
        <v>15.790393078752349</v>
      </c>
      <c r="U60" s="3">
        <f t="shared" si="2"/>
        <v>15.790393078752349</v>
      </c>
      <c r="V60" s="3">
        <f>N60 * $B$32</f>
        <v>2.7748024516804506</v>
      </c>
      <c r="W60" s="3">
        <f>O60 * $B$32</f>
        <v>1.0831004504945492</v>
      </c>
      <c r="X60" s="3">
        <f>K60 * $B$32</f>
        <v>7.5</v>
      </c>
      <c r="Y60" s="3">
        <f t="shared" si="3"/>
        <v>1.9289514510874999</v>
      </c>
      <c r="Z60" s="3">
        <f>U60 * $B$32 * J60</f>
        <v>7.8951965393761743</v>
      </c>
      <c r="AA60" s="3">
        <f>IF(A60&gt;=$B$30, I60 * $B$32 * J60, 0)</f>
        <v>250</v>
      </c>
      <c r="AB60" s="3">
        <f>T60 * $B$32 * J60</f>
        <v>7.8951965393761743</v>
      </c>
      <c r="AC60" s="3">
        <f t="shared" si="4"/>
        <v>31.580786157504697</v>
      </c>
      <c r="AD60" s="3">
        <f t="shared" si="5"/>
        <v>31.580786157504697</v>
      </c>
    </row>
    <row r="61" spans="1:32" s="7" customFormat="1" x14ac:dyDescent="0.25">
      <c r="A61" s="6">
        <f t="shared" si="6"/>
        <v>10.5</v>
      </c>
      <c r="B61" s="8" t="str">
        <f t="shared" si="0"/>
        <v>Aluvionar Arenoso</v>
      </c>
      <c r="C61" s="15">
        <v>19</v>
      </c>
      <c r="D61" s="6">
        <f>IF(B61="Aterro", IF(C61&lt;5, 1.7, 1.8), IF(B61="Aluvionar Argiloso", IF(C61&lt;2, 1.5, IF(C61&lt;=4, 1.5, 1.6)), IF(B61="Aluvionar Arenoso", IF(C61&lt;10, 1.7, 1.7), IF(B61="Solo Residual", IF(C61&lt;5, 1.7, IF(C61&lt;10, 1.8, IF(C61&lt;=20, 1.8, 1.9))), 0))))</f>
        <v>1.7</v>
      </c>
      <c r="E61" s="6">
        <f>IF(B61="Aterro", IF(C61&lt;5, 0.5, 1), IF(B61="Aluvionar Argiloso", IF(C61&lt;2, 0.8, IF(C61&lt;=4, 0.8, 1.2)), IF(B61="Aluvionar Arenoso", IF(C61&lt;10, 0.5, 0.5), IF(B61="Solo Residual", IF(C61&lt;5, 0.9, IF(C61&lt;10, 1.1, IF(C61&lt;=20, 1.35, 1.75))), 0))))</f>
        <v>0.5</v>
      </c>
      <c r="F61" s="6">
        <f>IF(B61="Aterro", IF(C61&lt;5, 20, 23), IF(B61="Aluvionar Argiloso", IF(C61&lt;2, 15, IF(C61&lt;=4, 18, 20)), IF(B61="Aluvionar Arenoso", IF(C61&lt;10, 25, 28), IF(B61="Solo Residual", IF(C61&lt;5, 22, IF(C61&lt;10, 26, IF(C61&lt;=20, 29, 31))), 0))))</f>
        <v>28</v>
      </c>
      <c r="G61" s="6">
        <f>TAN(RADIANS(45 - F61/2))^2</f>
        <v>0.36103348349818304</v>
      </c>
      <c r="H61" s="6">
        <f>TAN(RADIANS(45 + F61/2))^2</f>
        <v>2.7698261953729091</v>
      </c>
      <c r="I61" s="6">
        <f>IF(B61="Aterro", IF(C61&lt;5, 400, 475), IF(B61="Aluvionar Argiloso", IF(C61&lt;2, 100, IF(C61&lt;=4, 150, 200)), IF(B61="Aluvionar Arenoso", IF(C61&lt;10, 300, 500), IF(B61="Solo Residual", IF(C61&lt;5, 800, IF(C61&lt;10, 1350, IF(C61&lt;=20, 1850, 3000))), 0))))</f>
        <v>500</v>
      </c>
      <c r="J61" s="6">
        <f>(A62-A60)/2</f>
        <v>0.25049999999999972</v>
      </c>
      <c r="K61" s="6">
        <f>MAX(0, (A61 - $B$28)*1)</f>
        <v>8</v>
      </c>
      <c r="L61" s="3">
        <f t="shared" si="7"/>
        <v>17.7</v>
      </c>
      <c r="M61" s="6">
        <f>L61 - K61</f>
        <v>9.6999999999999993</v>
      </c>
      <c r="N61" s="6">
        <f>MAX(0, M61*G61 - 2*E61*SQRT(G61))</f>
        <v>2.9011641709048148</v>
      </c>
      <c r="O61" s="6">
        <f>$B$29 * G61</f>
        <v>1.0831004504945492</v>
      </c>
      <c r="P61" s="3">
        <f t="shared" si="1"/>
        <v>3.984264621399364</v>
      </c>
      <c r="Q61" s="6">
        <f>IF(A61&gt;=$B$30, MAX(0, (A61 - $B$30)*1), 0)</f>
        <v>8</v>
      </c>
      <c r="R61" s="3">
        <f t="shared" si="8"/>
        <v>13.449999999999998</v>
      </c>
      <c r="S61" s="6">
        <f>R61 - Q61</f>
        <v>5.4499999999999975</v>
      </c>
      <c r="T61" s="6">
        <f>IF(A61&gt;=$B$30, S61*H61 + 2*E61*SQRT(H61), 0)</f>
        <v>16.759832247132866</v>
      </c>
      <c r="U61" s="3">
        <f t="shared" si="2"/>
        <v>16.759832247132866</v>
      </c>
      <c r="V61" s="6">
        <f>N61 * $B$32</f>
        <v>2.9011641709048148</v>
      </c>
      <c r="W61" s="6">
        <f>O61 * $B$32</f>
        <v>1.0831004504945492</v>
      </c>
      <c r="X61" s="6">
        <f>K61 * $B$32</f>
        <v>8</v>
      </c>
      <c r="Y61" s="3">
        <f t="shared" si="3"/>
        <v>0.99805828766053961</v>
      </c>
      <c r="Z61" s="3">
        <f>U61 * $B$32 * J61</f>
        <v>4.1983379779067782</v>
      </c>
      <c r="AA61" s="6">
        <f>IF(A61&gt;=$B$30, I61 * $B$32 * J61, 0)</f>
        <v>125.24999999999986</v>
      </c>
      <c r="AB61" s="6">
        <f>T61 * $B$32 * J61</f>
        <v>4.1983379779067782</v>
      </c>
      <c r="AC61" s="3">
        <f t="shared" si="4"/>
        <v>33.519664494265733</v>
      </c>
      <c r="AD61" s="20">
        <f t="shared" si="5"/>
        <v>33.519664494265733</v>
      </c>
      <c r="AE61" s="16">
        <f>SUM(AA61:AA62)</f>
        <v>587.74999999999989</v>
      </c>
      <c r="AF61" s="16">
        <f>SUM(AB61:AB62)</f>
        <v>9.2715717848695434</v>
      </c>
    </row>
    <row r="62" spans="1:32" s="7" customFormat="1" x14ac:dyDescent="0.25">
      <c r="A62" s="6">
        <f t="shared" si="6"/>
        <v>10.500999999999999</v>
      </c>
      <c r="B62" s="8" t="str">
        <f t="shared" si="0"/>
        <v>Solo Residual</v>
      </c>
      <c r="C62" s="15">
        <v>19</v>
      </c>
      <c r="D62" s="6">
        <f>IF(B62="Aterro", IF(C62&lt;5, 1.7, 1.8), IF(B62="Aluvionar Argiloso", IF(C62&lt;2, 1.5, IF(C62&lt;=4, 1.5, 1.6)), IF(B62="Aluvionar Arenoso", IF(C62&lt;10, 1.7, 1.7), IF(B62="Solo Residual", IF(C62&lt;5, 1.7, IF(C62&lt;10, 1.8, IF(C62&lt;=20, 1.8, 1.9))), 0))))</f>
        <v>1.8</v>
      </c>
      <c r="E62" s="6">
        <f>IF(B62="Aterro", IF(C62&lt;5, 0.5, 1), IF(B62="Aluvionar Argiloso", IF(C62&lt;2, 0.8, IF(C62&lt;=4, 0.8, 1.2)), IF(B62="Aluvionar Arenoso", IF(C62&lt;10, 0.5, 0.5), IF(B62="Solo Residual", IF(C62&lt;5, 0.9, IF(C62&lt;10, 1.1, IF(C62&lt;=20, 1.35, 1.75))), 0))))</f>
        <v>1.35</v>
      </c>
      <c r="F62" s="6">
        <f>IF(B62="Aterro", IF(C62&lt;5, 20, 23), IF(B62="Aluvionar Argiloso", IF(C62&lt;2, 15, IF(C62&lt;=4, 18, 20)), IF(B62="Aluvionar Arenoso", IF(C62&lt;10, 25, 28), IF(B62="Solo Residual", IF(C62&lt;5, 22, IF(C62&lt;10, 26, IF(C62&lt;=20, 29, 31))), 0))))</f>
        <v>29</v>
      </c>
      <c r="G62" s="6">
        <f>TAN(RADIANS(45 - F62/2))^2</f>
        <v>0.34697403136988714</v>
      </c>
      <c r="H62" s="6">
        <f>TAN(RADIANS(45 + F62/2))^2</f>
        <v>2.8820600667199865</v>
      </c>
      <c r="I62" s="6">
        <f>IF(B62="Aterro", IF(C62&lt;5, 400, 475), IF(B62="Aluvionar Argiloso", IF(C62&lt;2, 100, IF(C62&lt;=4, 150, 200)), IF(B62="Aluvionar Arenoso", IF(C62&lt;10, 300, 500), IF(B62="Solo Residual", IF(C62&lt;5, 800, IF(C62&lt;10, 1350, IF(C62&lt;=20, 1850, 3000))), 0))))</f>
        <v>1850</v>
      </c>
      <c r="J62" s="6">
        <f>(A63-A61)/2</f>
        <v>0.25</v>
      </c>
      <c r="K62" s="6">
        <f>MAX(0, (A62 - $B$28)*1)</f>
        <v>8.0009999999999994</v>
      </c>
      <c r="L62" s="3">
        <f t="shared" si="7"/>
        <v>17.701699999999999</v>
      </c>
      <c r="M62" s="6">
        <f>L62 - K62</f>
        <v>9.7006999999999994</v>
      </c>
      <c r="N62" s="6">
        <f>MAX(0, M62*G62 - 2*E62*SQRT(G62))</f>
        <v>1.7754694417743762</v>
      </c>
      <c r="O62" s="6">
        <f>$B$29 * G62</f>
        <v>1.0409220941096615</v>
      </c>
      <c r="P62" s="3">
        <f t="shared" si="1"/>
        <v>2.8163915358840379</v>
      </c>
      <c r="Q62" s="6">
        <f>IF(A62&gt;=$B$30, MAX(0, (A62 - $B$30)*1), 0)</f>
        <v>8.0009999999999994</v>
      </c>
      <c r="R62" s="3">
        <f t="shared" si="8"/>
        <v>13.451699999999997</v>
      </c>
      <c r="S62" s="6">
        <f>R62 - Q62</f>
        <v>5.4506999999999977</v>
      </c>
      <c r="T62" s="6">
        <f>IF(A62&gt;=$B$30, S62*H62 + 2*E62*SQRT(H62), 0)</f>
        <v>20.292935227851064</v>
      </c>
      <c r="U62" s="3">
        <f t="shared" si="2"/>
        <v>20.292935227851064</v>
      </c>
      <c r="V62" s="6">
        <f>N62 * $B$32</f>
        <v>1.7754694417743762</v>
      </c>
      <c r="W62" s="6">
        <f>O62 * $B$32</f>
        <v>1.0409220941096615</v>
      </c>
      <c r="X62" s="6">
        <f>K62 * $B$32</f>
        <v>8.0009999999999994</v>
      </c>
      <c r="Y62" s="3">
        <f t="shared" si="3"/>
        <v>0.70409788397100947</v>
      </c>
      <c r="Z62" s="3">
        <f>U62 * $B$32 * J62</f>
        <v>5.073233806962766</v>
      </c>
      <c r="AA62" s="6">
        <f>IF(A62&gt;=$B$30, I62 * $B$32 * J62, 0)</f>
        <v>462.5</v>
      </c>
      <c r="AB62" s="6">
        <f>T62 * $B$32 * J62</f>
        <v>5.073233806962766</v>
      </c>
      <c r="AC62" s="3">
        <f t="shared" si="4"/>
        <v>10.969154177216792</v>
      </c>
      <c r="AD62" s="20"/>
      <c r="AE62" s="9"/>
      <c r="AF62" s="9"/>
    </row>
    <row r="63" spans="1:32" x14ac:dyDescent="0.25">
      <c r="A63" s="3">
        <v>11</v>
      </c>
      <c r="B63" s="10" t="str">
        <f t="shared" si="0"/>
        <v>Solo Residual</v>
      </c>
      <c r="C63" s="14">
        <v>21</v>
      </c>
      <c r="D63" s="3">
        <f>IF(B63="Aterro", IF(C63&lt;5, 1.7, 1.8), IF(B63="Aluvionar Argiloso", IF(C63&lt;2, 1.5, IF(C63&lt;=4, 1.5, 1.6)), IF(B63="Aluvionar Arenoso", IF(C63&lt;10, 1.7, 1.7), IF(B63="Solo Residual", IF(C63&lt;5, 1.7, IF(C63&lt;10, 1.8, IF(C63&lt;=20, 1.8, 1.9))), 0))))</f>
        <v>1.9</v>
      </c>
      <c r="E63" s="3">
        <f>IF(B63="Aterro", IF(C63&lt;5, 0.5, 1), IF(B63="Aluvionar Argiloso", IF(C63&lt;2, 0.8, IF(C63&lt;=4, 0.8, 1.2)), IF(B63="Aluvionar Arenoso", IF(C63&lt;10, 0.5, 0.5), IF(B63="Solo Residual", IF(C63&lt;5, 0.9, IF(C63&lt;10, 1.1, IF(C63&lt;=20, 1.35, 1.75))), 0))))</f>
        <v>1.75</v>
      </c>
      <c r="F63" s="3">
        <f>IF(B63="Aterro", IF(C63&lt;5, 20, 23), IF(B63="Aluvionar Argiloso", IF(C63&lt;2, 15, IF(C63&lt;=4, 18, 20)), IF(B63="Aluvionar Arenoso", IF(C63&lt;10, 25, 28), IF(B63="Solo Residual", IF(C63&lt;5, 22, IF(C63&lt;10, 26, IF(C63&lt;=20, 29, 31))), 0))))</f>
        <v>31</v>
      </c>
      <c r="G63" s="3">
        <f>TAN(RADIANS(45 - F63/2))^2</f>
        <v>0.32009883653830778</v>
      </c>
      <c r="H63" s="3">
        <f>TAN(RADIANS(45 + F63/2))^2</f>
        <v>3.1240350974544246</v>
      </c>
      <c r="I63" s="3">
        <f>IF(B63="Aterro", IF(C63&lt;5, 400, 475), IF(B63="Aluvionar Argiloso", IF(C63&lt;2, 100, IF(C63&lt;=4, 150, 200)), IF(B63="Aluvionar Arenoso", IF(C63&lt;10, 300, 500), IF(B63="Solo Residual", IF(C63&lt;5, 800, IF(C63&lt;10, 1350, IF(C63&lt;=20, 1850, 3000))), 0))))</f>
        <v>3000</v>
      </c>
      <c r="J63" s="3">
        <f>(A64-A62)/2</f>
        <v>0.49950000000000028</v>
      </c>
      <c r="K63" s="3">
        <f>MAX(0, (A63 - $B$28)*1)</f>
        <v>8.5</v>
      </c>
      <c r="L63" s="3">
        <f t="shared" si="7"/>
        <v>18.599899999999998</v>
      </c>
      <c r="M63" s="3">
        <f>L63 - K63</f>
        <v>10.099899999999998</v>
      </c>
      <c r="N63" s="3">
        <f>MAX(0, M63*G63 - 2*E63*SQRT(G63))</f>
        <v>1.2527615154960587</v>
      </c>
      <c r="O63" s="3">
        <f>$B$29 * G63</f>
        <v>0.96029650961492341</v>
      </c>
      <c r="P63" s="3">
        <f t="shared" si="1"/>
        <v>2.2130580251109819</v>
      </c>
      <c r="Q63" s="3">
        <f>IF(A63&gt;=$B$30, MAX(0, (A63 - $B$30)*1), 0)</f>
        <v>8.5</v>
      </c>
      <c r="R63" s="3">
        <f t="shared" si="8"/>
        <v>14.299999999999997</v>
      </c>
      <c r="S63" s="3">
        <f>R63 - Q63</f>
        <v>5.7999999999999972</v>
      </c>
      <c r="T63" s="3">
        <f>IF(A63&gt;=$B$30, S63*H63 + 2*E63*SQRT(H63), 0)</f>
        <v>24.305632622085774</v>
      </c>
      <c r="U63" s="3">
        <f t="shared" si="2"/>
        <v>24.305632622085774</v>
      </c>
      <c r="V63" s="3">
        <f>N63 * $B$32</f>
        <v>1.2527615154960587</v>
      </c>
      <c r="W63" s="3">
        <f>O63 * $B$32</f>
        <v>0.96029650961492341</v>
      </c>
      <c r="X63" s="3">
        <f>K63 * $B$32</f>
        <v>8.5</v>
      </c>
      <c r="Y63" s="3">
        <f t="shared" si="3"/>
        <v>1.105422483542936</v>
      </c>
      <c r="Z63" s="3">
        <f>U63 * $B$32 * J63</f>
        <v>12.14066349473185</v>
      </c>
      <c r="AA63" s="3">
        <f>IF(A63&gt;=$B$30, I63 * $B$32 * J63, 0)</f>
        <v>1498.5000000000009</v>
      </c>
      <c r="AB63" s="3">
        <f>T63 * $B$32 * J63</f>
        <v>12.14066349473185</v>
      </c>
      <c r="AC63" s="3">
        <f t="shared" si="4"/>
        <v>8.1018775406952557</v>
      </c>
      <c r="AD63" s="3">
        <f t="shared" si="5"/>
        <v>8.1018775406952557</v>
      </c>
    </row>
    <row r="64" spans="1:32" x14ac:dyDescent="0.25">
      <c r="A64" s="3">
        <f t="shared" si="6"/>
        <v>11.5</v>
      </c>
      <c r="B64" s="10" t="str">
        <f t="shared" si="0"/>
        <v>Solo Residual</v>
      </c>
      <c r="C64" s="14">
        <v>25</v>
      </c>
      <c r="D64" s="3">
        <f>IF(B64="Aterro", IF(C64&lt;5, 1.7, 1.8), IF(B64="Aluvionar Argiloso", IF(C64&lt;2, 1.5, IF(C64&lt;=4, 1.5, 1.6)), IF(B64="Aluvionar Arenoso", IF(C64&lt;10, 1.7, 1.7), IF(B64="Solo Residual", IF(C64&lt;5, 1.7, IF(C64&lt;10, 1.8, IF(C64&lt;=20, 1.8, 1.9))), 0))))</f>
        <v>1.9</v>
      </c>
      <c r="E64" s="3">
        <f>IF(B64="Aterro", IF(C64&lt;5, 0.5, 1), IF(B64="Aluvionar Argiloso", IF(C64&lt;2, 0.8, IF(C64&lt;=4, 0.8, 1.2)), IF(B64="Aluvionar Arenoso", IF(C64&lt;10, 0.5, 0.5), IF(B64="Solo Residual", IF(C64&lt;5, 0.9, IF(C64&lt;10, 1.1, IF(C64&lt;=20, 1.35, 1.75))), 0))))</f>
        <v>1.75</v>
      </c>
      <c r="F64" s="3">
        <f>IF(B64="Aterro", IF(C64&lt;5, 20, 23), IF(B64="Aluvionar Argiloso", IF(C64&lt;2, 15, IF(C64&lt;=4, 18, 20)), IF(B64="Aluvionar Arenoso", IF(C64&lt;10, 25, 28), IF(B64="Solo Residual", IF(C64&lt;5, 22, IF(C64&lt;10, 26, IF(C64&lt;=20, 29, 31))), 0))))</f>
        <v>31</v>
      </c>
      <c r="G64" s="3">
        <f>TAN(RADIANS(45 - F64/2))^2</f>
        <v>0.32009883653830778</v>
      </c>
      <c r="H64" s="3">
        <f>TAN(RADIANS(45 + F64/2))^2</f>
        <v>3.1240350974544246</v>
      </c>
      <c r="I64" s="3">
        <f>IF(B64="Aterro", IF(C64&lt;5, 400, 475), IF(B64="Aluvionar Argiloso", IF(C64&lt;2, 100, IF(C64&lt;=4, 150, 200)), IF(B64="Aluvionar Arenoso", IF(C64&lt;10, 300, 500), IF(B64="Solo Residual", IF(C64&lt;5, 800, IF(C64&lt;10, 1350, IF(C64&lt;=20, 1850, 3000))), 0))))</f>
        <v>3000</v>
      </c>
      <c r="J64" s="3">
        <f>(A65-A63)/2</f>
        <v>0.5</v>
      </c>
      <c r="K64" s="3">
        <f>MAX(0, (A64 - $B$28)*1)</f>
        <v>9</v>
      </c>
      <c r="L64" s="3">
        <f t="shared" si="7"/>
        <v>19.549899999999997</v>
      </c>
      <c r="M64" s="3">
        <f>L64 - K64</f>
        <v>10.549899999999997</v>
      </c>
      <c r="N64" s="3">
        <f>MAX(0, M64*G64 - 2*E64*SQRT(G64))</f>
        <v>1.3968059919382969</v>
      </c>
      <c r="O64" s="3">
        <f>$B$29 * G64</f>
        <v>0.96029650961492341</v>
      </c>
      <c r="P64" s="3">
        <f t="shared" si="1"/>
        <v>2.3571025015532205</v>
      </c>
      <c r="Q64" s="3">
        <f>IF(A64&gt;=$B$30, MAX(0, (A64 - $B$30)*1), 0)</f>
        <v>9</v>
      </c>
      <c r="R64" s="3">
        <f t="shared" si="8"/>
        <v>15.249899999999998</v>
      </c>
      <c r="S64" s="3">
        <f>R64 - Q64</f>
        <v>6.2498999999999985</v>
      </c>
      <c r="T64" s="3">
        <f>IF(A64&gt;=$B$30, S64*H64 + 2*E64*SQRT(H64), 0)</f>
        <v>25.711136012430522</v>
      </c>
      <c r="U64" s="3">
        <f t="shared" si="2"/>
        <v>25.711136012430522</v>
      </c>
      <c r="V64" s="3">
        <f>N64 * $B$32</f>
        <v>1.3968059919382969</v>
      </c>
      <c r="W64" s="3">
        <f>O64 * $B$32</f>
        <v>0.96029650961492341</v>
      </c>
      <c r="X64" s="3">
        <f>K64 * $B$32</f>
        <v>9</v>
      </c>
      <c r="Y64" s="3">
        <f t="shared" si="3"/>
        <v>1.1785512507766103</v>
      </c>
      <c r="Z64" s="3">
        <f>U64 * $B$32 * J64</f>
        <v>12.855568006215261</v>
      </c>
      <c r="AA64" s="3">
        <f>IF(A64&gt;=$B$30, I64 * $B$32 * J64, 0)</f>
        <v>1500</v>
      </c>
      <c r="AB64" s="3">
        <f>T64 * $B$32 * J64</f>
        <v>12.855568006215261</v>
      </c>
      <c r="AC64" s="3">
        <f t="shared" si="4"/>
        <v>8.5703786708101752</v>
      </c>
      <c r="AD64" s="3">
        <f t="shared" si="5"/>
        <v>8.5703786708101752</v>
      </c>
    </row>
    <row r="65" spans="1:30" x14ac:dyDescent="0.25">
      <c r="A65" s="3">
        <f t="shared" si="6"/>
        <v>12</v>
      </c>
      <c r="B65" s="10" t="str">
        <f t="shared" si="0"/>
        <v>Solo Residual</v>
      </c>
      <c r="C65" s="14">
        <v>25</v>
      </c>
      <c r="D65" s="3">
        <f>IF(B65="Aterro", IF(C65&lt;5, 1.7, 1.8), IF(B65="Aluvionar Argiloso", IF(C65&lt;2, 1.5, IF(C65&lt;=4, 1.5, 1.6)), IF(B65="Aluvionar Arenoso", IF(C65&lt;10, 1.7, 1.7), IF(B65="Solo Residual", IF(C65&lt;5, 1.7, IF(C65&lt;10, 1.8, IF(C65&lt;=20, 1.8, 1.9))), 0))))</f>
        <v>1.9</v>
      </c>
      <c r="E65" s="3">
        <f>IF(B65="Aterro", IF(C65&lt;5, 0.5, 1), IF(B65="Aluvionar Argiloso", IF(C65&lt;2, 0.8, IF(C65&lt;=4, 0.8, 1.2)), IF(B65="Aluvionar Arenoso", IF(C65&lt;10, 0.5, 0.5), IF(B65="Solo Residual", IF(C65&lt;5, 0.9, IF(C65&lt;10, 1.1, IF(C65&lt;=20, 1.35, 1.75))), 0))))</f>
        <v>1.75</v>
      </c>
      <c r="F65" s="3">
        <f>IF(B65="Aterro", IF(C65&lt;5, 20, 23), IF(B65="Aluvionar Argiloso", IF(C65&lt;2, 15, IF(C65&lt;=4, 18, 20)), IF(B65="Aluvionar Arenoso", IF(C65&lt;10, 25, 28), IF(B65="Solo Residual", IF(C65&lt;5, 22, IF(C65&lt;10, 26, IF(C65&lt;=20, 29, 31))), 0))))</f>
        <v>31</v>
      </c>
      <c r="G65" s="3">
        <f>TAN(RADIANS(45 - F65/2))^2</f>
        <v>0.32009883653830778</v>
      </c>
      <c r="H65" s="3">
        <f>TAN(RADIANS(45 + F65/2))^2</f>
        <v>3.1240350974544246</v>
      </c>
      <c r="I65" s="3">
        <f>IF(B65="Aterro", IF(C65&lt;5, 400, 475), IF(B65="Aluvionar Argiloso", IF(C65&lt;2, 100, IF(C65&lt;=4, 150, 200)), IF(B65="Aluvionar Arenoso", IF(C65&lt;10, 300, 500), IF(B65="Solo Residual", IF(C65&lt;5, 800, IF(C65&lt;10, 1350, IF(C65&lt;=20, 1850, 3000))), 0))))</f>
        <v>3000</v>
      </c>
      <c r="J65" s="3">
        <v>0.25</v>
      </c>
      <c r="K65" s="3">
        <f>MAX(0, (A65 - $B$28)*1)</f>
        <v>9.5</v>
      </c>
      <c r="L65" s="3">
        <f t="shared" si="7"/>
        <v>20.499899999999997</v>
      </c>
      <c r="M65" s="3">
        <f>L65 - K65</f>
        <v>10.999899999999997</v>
      </c>
      <c r="N65" s="3">
        <f>MAX(0, M65*G65 - 2*E65*SQRT(G65))</f>
        <v>1.5408504683805351</v>
      </c>
      <c r="O65" s="3">
        <f>$B$29 * G65</f>
        <v>0.96029650961492341</v>
      </c>
      <c r="P65" s="3">
        <f t="shared" si="1"/>
        <v>2.5011469779954583</v>
      </c>
      <c r="Q65" s="3">
        <f>IF(A65&gt;=$B$30, MAX(0, (A65 - $B$30)*1), 0)</f>
        <v>9.5</v>
      </c>
      <c r="R65" s="3">
        <f t="shared" si="8"/>
        <v>16.199999999999996</v>
      </c>
      <c r="S65" s="3">
        <f>R65 - Q65</f>
        <v>6.6999999999999957</v>
      </c>
      <c r="T65" s="3">
        <f>IF(A65&gt;=$B$30, S65*H65 + 2*E65*SQRT(H65), 0)</f>
        <v>27.117264209794747</v>
      </c>
      <c r="U65" s="3">
        <f t="shared" si="2"/>
        <v>27.117264209794747</v>
      </c>
      <c r="V65" s="3">
        <f>N65 * $B$32</f>
        <v>1.5408504683805351</v>
      </c>
      <c r="W65" s="3">
        <f>O65 * $B$32</f>
        <v>0.96029650961492341</v>
      </c>
      <c r="X65" s="3">
        <f>K65 * $B$32</f>
        <v>9.5</v>
      </c>
      <c r="Y65" s="3">
        <f t="shared" si="3"/>
        <v>0.62528674449886457</v>
      </c>
      <c r="Z65" s="3">
        <f>U65 * $B$32 * J65</f>
        <v>6.7793160524486868</v>
      </c>
      <c r="AA65" s="3">
        <f>IF(A65&gt;=$B$30, I65 * $B$32 * J65, 0)</f>
        <v>750</v>
      </c>
      <c r="AB65" s="3">
        <f>T65 * $B$32 * J65</f>
        <v>6.7793160524486868</v>
      </c>
      <c r="AC65" s="3">
        <f t="shared" si="4"/>
        <v>9.0390880699315819</v>
      </c>
      <c r="AD65" s="3">
        <f>IF(A65=A66,AVERAGE(AC65:AC66),AC65)</f>
        <v>9.0390880699315819</v>
      </c>
    </row>
    <row r="66" spans="1:30" x14ac:dyDescent="0.25">
      <c r="A66" s="3"/>
      <c r="B66" s="10"/>
      <c r="C66" s="1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5">
      <c r="A67" s="3"/>
      <c r="B67" s="10"/>
      <c r="C67" s="1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5">
      <c r="A68" s="3"/>
      <c r="B68" s="10"/>
      <c r="C68" s="1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25">
      <c r="A69" s="3"/>
      <c r="B69" s="10"/>
      <c r="C69" s="1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5">
      <c r="A70" s="3"/>
      <c r="B70" s="10"/>
      <c r="C70" s="1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5">
      <c r="A71" s="3"/>
      <c r="B71" s="10"/>
      <c r="C71" s="1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5">
      <c r="A72" s="3"/>
      <c r="B72" s="10"/>
      <c r="C72" s="1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5">
      <c r="A73" s="3"/>
      <c r="B73" s="10"/>
      <c r="C73" s="1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5">
      <c r="A74" s="3"/>
      <c r="B74" s="10"/>
      <c r="C74" s="1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25">
      <c r="A75" s="3"/>
      <c r="B75" s="10"/>
      <c r="C75" s="1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5">
      <c r="A76" s="3"/>
      <c r="B76" s="10"/>
      <c r="C76" s="1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5">
      <c r="A77" s="3"/>
      <c r="B77" s="10"/>
      <c r="C77" s="1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25">
      <c r="A78" s="3"/>
      <c r="B78" s="10"/>
      <c r="C78" s="1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25">
      <c r="A79" s="3"/>
      <c r="B79" s="10"/>
      <c r="C79" s="1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5">
      <c r="A80" s="3"/>
      <c r="B80" s="10"/>
      <c r="C80" s="1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5">
      <c r="A81" s="3"/>
      <c r="B81" s="10"/>
      <c r="C81" s="1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25">
      <c r="A82" s="3"/>
      <c r="B82" s="10"/>
      <c r="C82" s="1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25">
      <c r="A83" s="3"/>
      <c r="B83" s="10"/>
      <c r="C83" s="1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25">
      <c r="A84" s="3"/>
      <c r="B84" s="10"/>
      <c r="C84" s="1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25">
      <c r="A85" s="3"/>
      <c r="B85" s="10"/>
      <c r="C85" s="1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25">
      <c r="A86" s="3"/>
      <c r="B86" s="10"/>
      <c r="C86" s="1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25">
      <c r="A87" s="3"/>
      <c r="B87" s="10"/>
      <c r="C87" s="1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5">
      <c r="A88" s="3"/>
      <c r="B88" s="10"/>
      <c r="C88" s="1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25">
      <c r="A89" s="3"/>
      <c r="B89" s="10"/>
      <c r="C89" s="1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25">
      <c r="A90" s="3"/>
      <c r="B90" s="10"/>
      <c r="C90" s="1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5">
      <c r="A91" s="3"/>
      <c r="B91" s="10"/>
      <c r="C91" s="1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25">
      <c r="A92" s="3"/>
      <c r="B92" s="10"/>
      <c r="C92" s="1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5">
      <c r="A93" s="3"/>
      <c r="B93" s="10"/>
      <c r="C93" s="1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5">
      <c r="A94" s="3"/>
      <c r="B94" s="10"/>
      <c r="C94" s="1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</sheetData>
  <mergeCells count="29">
    <mergeCell ref="AF61:AF62"/>
    <mergeCell ref="AE46:AE47"/>
    <mergeCell ref="AE50:AE51"/>
    <mergeCell ref="AE61:AE62"/>
    <mergeCell ref="S26:V26"/>
    <mergeCell ref="S27:T27"/>
    <mergeCell ref="S28:T28"/>
    <mergeCell ref="S29:T29"/>
    <mergeCell ref="S30:T30"/>
    <mergeCell ref="S31:T31"/>
    <mergeCell ref="S32:T32"/>
    <mergeCell ref="AD46:AD47"/>
    <mergeCell ref="AD50:AD51"/>
    <mergeCell ref="AD61:AD62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:L1"/>
    <mergeCell ref="A35:AB35"/>
    <mergeCell ref="A14:O14"/>
    <mergeCell ref="AF46:AF47"/>
    <mergeCell ref="AF50:AF5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DC8E3FBA57EE46811E70D777B01D9C" ma:contentTypeVersion="17" ma:contentTypeDescription="Crie um novo documento." ma:contentTypeScope="" ma:versionID="4dbfe5131c04e18bf4324efbd9776572">
  <xsd:schema xmlns:xsd="http://www.w3.org/2001/XMLSchema" xmlns:xs="http://www.w3.org/2001/XMLSchema" xmlns:p="http://schemas.microsoft.com/office/2006/metadata/properties" xmlns:ns2="f9ce91c5-098e-4b8d-a260-f90af9415a6c" xmlns:ns3="5c0bee9d-3d70-4094-abfa-c970e9551d1f" targetNamespace="http://schemas.microsoft.com/office/2006/metadata/properties" ma:root="true" ma:fieldsID="14996aa3011fd4f1150046dabac9a4de" ns2:_="" ns3:_="">
    <xsd:import namespace="f9ce91c5-098e-4b8d-a260-f90af9415a6c"/>
    <xsd:import namespace="5c0bee9d-3d70-4094-abfa-c970e9551d1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e91c5-098e-4b8d-a260-f90af9415a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69cf3c0-168e-42be-8d7e-d3b1e66658fa}" ma:internalName="TaxCatchAll" ma:showField="CatchAllData" ma:web="f9ce91c5-098e-4b8d-a260-f90af9415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bee9d-3d70-4094-abfa-c970e9551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832410-1cb7-4c53-a330-bb40f0d92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0bee9d-3d70-4094-abfa-c970e9551d1f">
      <Terms xmlns="http://schemas.microsoft.com/office/infopath/2007/PartnerControls"/>
    </lcf76f155ced4ddcb4097134ff3c332f>
    <TaxCatchAll xmlns="f9ce91c5-098e-4b8d-a260-f90af9415a6c" xsi:nil="true"/>
  </documentManagement>
</p:properties>
</file>

<file path=customXml/itemProps1.xml><?xml version="1.0" encoding="utf-8"?>
<ds:datastoreItem xmlns:ds="http://schemas.openxmlformats.org/officeDocument/2006/customXml" ds:itemID="{15A37E98-F0A0-4CE1-92B9-95485E35DC31}"/>
</file>

<file path=customXml/itemProps2.xml><?xml version="1.0" encoding="utf-8"?>
<ds:datastoreItem xmlns:ds="http://schemas.openxmlformats.org/officeDocument/2006/customXml" ds:itemID="{595C4B6A-4757-4C28-891A-59B670DCB4C9}"/>
</file>

<file path=customXml/itemProps3.xml><?xml version="1.0" encoding="utf-8"?>
<ds:datastoreItem xmlns:ds="http://schemas.openxmlformats.org/officeDocument/2006/customXml" ds:itemID="{B66C7071-47BF-4FC3-A29D-331F0FD47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Empuxos_Separados_STRAP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Mateus Farias de Barros</cp:lastModifiedBy>
  <dcterms:created xsi:type="dcterms:W3CDTF">2026-09-23T13:17:34Z</dcterms:created>
  <dcterms:modified xsi:type="dcterms:W3CDTF">2026-09-23T20:18:15Z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0x0101007ADC8E3FBA57EE46811E70D777B01D9C</vt:lpwstr>
  </property>
</Properties>
</file>