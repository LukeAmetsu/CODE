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\OD_AG\Documentos\"/>
    </mc:Choice>
  </mc:AlternateContent>
  <xr:revisionPtr revIDLastSave="0" documentId="13_ncr:1_{F882344D-C6F7-4C5D-BC3E-E7F0E963CBEE}" xr6:coauthVersionLast="47" xr6:coauthVersionMax="47" xr10:uidLastSave="{00000000-0000-0000-0000-000000000000}"/>
  <bookViews>
    <workbookView xWindow="-120" yWindow="-120" windowWidth="29040" windowHeight="15720" xr2:uid="{A1EBF694-5874-49C7-AD3F-771C13AAA3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1" i="1" l="1"/>
  <c r="J31" i="1"/>
  <c r="K11" i="1"/>
  <c r="J11" i="1"/>
  <c r="F30" i="1"/>
  <c r="I15" i="1"/>
  <c r="L15" i="1" s="1"/>
  <c r="I16" i="1"/>
  <c r="J16" i="1" s="1"/>
  <c r="I17" i="1"/>
  <c r="L17" i="1" s="1"/>
  <c r="M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L23" i="1" s="1"/>
  <c r="N23" i="1" s="1"/>
  <c r="I24" i="1"/>
  <c r="J24" i="1" s="1"/>
  <c r="I25" i="1"/>
  <c r="L25" i="1" s="1"/>
  <c r="M25" i="1" s="1"/>
  <c r="I26" i="1"/>
  <c r="J26" i="1" s="1"/>
  <c r="I27" i="1"/>
  <c r="J27" i="1" s="1"/>
  <c r="I28" i="1"/>
  <c r="J28" i="1" s="1"/>
  <c r="I29" i="1"/>
  <c r="L29" i="1" s="1"/>
  <c r="I30" i="1"/>
  <c r="J30" i="1" s="1"/>
  <c r="I14" i="1"/>
  <c r="J14" i="1" s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14" i="1"/>
  <c r="B5" i="1"/>
  <c r="F2" i="1"/>
  <c r="A4" i="1"/>
  <c r="A3" i="1"/>
  <c r="F6" i="1"/>
  <c r="D18" i="1" s="1"/>
  <c r="F5" i="1"/>
  <c r="E19" i="1" s="1"/>
  <c r="D25" i="1" l="1"/>
  <c r="D17" i="1"/>
  <c r="F17" i="1" s="1"/>
  <c r="E26" i="1"/>
  <c r="E18" i="1"/>
  <c r="D24" i="1"/>
  <c r="D16" i="1"/>
  <c r="F16" i="1" s="1"/>
  <c r="E25" i="1"/>
  <c r="E17" i="1"/>
  <c r="D14" i="1"/>
  <c r="D23" i="1"/>
  <c r="F23" i="1" s="1"/>
  <c r="D15" i="1"/>
  <c r="E24" i="1"/>
  <c r="E16" i="1"/>
  <c r="D30" i="1"/>
  <c r="D22" i="1"/>
  <c r="E14" i="1"/>
  <c r="E23" i="1"/>
  <c r="E15" i="1"/>
  <c r="D29" i="1"/>
  <c r="D21" i="1"/>
  <c r="F21" i="1" s="1"/>
  <c r="E30" i="1"/>
  <c r="E22" i="1"/>
  <c r="D28" i="1"/>
  <c r="D20" i="1"/>
  <c r="F20" i="1" s="1"/>
  <c r="E29" i="1"/>
  <c r="E21" i="1"/>
  <c r="J29" i="1"/>
  <c r="D27" i="1"/>
  <c r="D19" i="1"/>
  <c r="F19" i="1" s="1"/>
  <c r="E28" i="1"/>
  <c r="E20" i="1"/>
  <c r="D26" i="1"/>
  <c r="E27" i="1"/>
  <c r="J17" i="1"/>
  <c r="K29" i="1"/>
  <c r="N29" i="1"/>
  <c r="M29" i="1"/>
  <c r="K17" i="1"/>
  <c r="J25" i="1"/>
  <c r="J23" i="1"/>
  <c r="N25" i="1"/>
  <c r="L28" i="1"/>
  <c r="N28" i="1" s="1"/>
  <c r="L20" i="1"/>
  <c r="M20" i="1" s="1"/>
  <c r="J15" i="1"/>
  <c r="M15" i="1"/>
  <c r="L27" i="1"/>
  <c r="M27" i="1" s="1"/>
  <c r="L19" i="1"/>
  <c r="L26" i="1"/>
  <c r="N26" i="1" s="1"/>
  <c r="L18" i="1"/>
  <c r="N18" i="1" s="1"/>
  <c r="K25" i="1"/>
  <c r="M23" i="1"/>
  <c r="N15" i="1"/>
  <c r="L24" i="1"/>
  <c r="L16" i="1"/>
  <c r="N16" i="1" s="1"/>
  <c r="K21" i="1"/>
  <c r="L14" i="1"/>
  <c r="M14" i="1" s="1"/>
  <c r="L30" i="1"/>
  <c r="N30" i="1" s="1"/>
  <c r="L22" i="1"/>
  <c r="N22" i="1" s="1"/>
  <c r="L21" i="1"/>
  <c r="N21" i="1" s="1"/>
  <c r="N17" i="1"/>
  <c r="K19" i="1"/>
  <c r="K26" i="1"/>
  <c r="K18" i="1"/>
  <c r="K24" i="1"/>
  <c r="K16" i="1"/>
  <c r="K28" i="1"/>
  <c r="K14" i="1"/>
  <c r="K23" i="1"/>
  <c r="K15" i="1"/>
  <c r="K20" i="1"/>
  <c r="K27" i="1"/>
  <c r="K30" i="1"/>
  <c r="K22" i="1"/>
  <c r="F4" i="1"/>
  <c r="F28" i="1" s="1"/>
  <c r="F18" i="1"/>
  <c r="F25" i="1"/>
  <c r="F24" i="1"/>
  <c r="F15" i="1"/>
  <c r="F22" i="1"/>
  <c r="F14" i="1"/>
  <c r="F26" i="1"/>
  <c r="J2" i="1" l="1"/>
  <c r="J3" i="1"/>
  <c r="M21" i="1"/>
  <c r="M18" i="1"/>
  <c r="N27" i="1"/>
  <c r="N14" i="1"/>
  <c r="N11" i="1" s="1"/>
  <c r="M30" i="1"/>
  <c r="M19" i="1"/>
  <c r="M11" i="1" s="1"/>
  <c r="N19" i="1"/>
  <c r="M26" i="1"/>
  <c r="N24" i="1"/>
  <c r="M24" i="1"/>
  <c r="M16" i="1"/>
  <c r="M22" i="1"/>
  <c r="N20" i="1"/>
  <c r="M28" i="1"/>
  <c r="F27" i="1"/>
  <c r="F29" i="1"/>
  <c r="F3" i="1"/>
  <c r="J5" i="1" l="1"/>
  <c r="J4" i="1"/>
</calcChain>
</file>

<file path=xl/sharedStrings.xml><?xml version="1.0" encoding="utf-8"?>
<sst xmlns="http://schemas.openxmlformats.org/spreadsheetml/2006/main" count="116" uniqueCount="73">
  <si>
    <t>PROFUNDIDADE</t>
  </si>
  <si>
    <t>N_SPT</t>
  </si>
  <si>
    <t>Rl</t>
  </si>
  <si>
    <t>Solo</t>
  </si>
  <si>
    <t>TIPO DE SOLO</t>
  </si>
  <si>
    <t>K (kg/cm²)</t>
  </si>
  <si>
    <r>
      <rPr>
        <sz val="11"/>
        <color theme="1"/>
        <rFont val="GreekC_IV25"/>
      </rPr>
      <t>α</t>
    </r>
    <r>
      <rPr>
        <sz val="11"/>
        <color theme="1"/>
        <rFont val="Aptos Narrow"/>
        <family val="2"/>
      </rPr>
      <t xml:space="preserve"> (%)</t>
    </r>
  </si>
  <si>
    <t>AREIA</t>
  </si>
  <si>
    <t>AREIA SILTOSA</t>
  </si>
  <si>
    <t>AREIA SILTOARGILOSA</t>
  </si>
  <si>
    <t>AREIA ARGILOSSILTOSA</t>
  </si>
  <si>
    <t>AREIA ARGILOSA</t>
  </si>
  <si>
    <t>SILTE ARENOSO</t>
  </si>
  <si>
    <t>AILTE ARENOARGILOSO</t>
  </si>
  <si>
    <t>SILTE ARGILOARENOSO</t>
  </si>
  <si>
    <t>SILTE ARGILOSO</t>
  </si>
  <si>
    <t>ARGILA ARENOSA</t>
  </si>
  <si>
    <t>ARGILA ARENOSSILTOSA</t>
  </si>
  <si>
    <t>ARGILA SILTOARENOSA</t>
  </si>
  <si>
    <t>ARGILA SILTOSA</t>
  </si>
  <si>
    <t>ARGILA</t>
  </si>
  <si>
    <t>TIPO DE ESTACA</t>
  </si>
  <si>
    <t>F1</t>
  </si>
  <si>
    <t>F2</t>
  </si>
  <si>
    <t>FRANKI DE FUSTE APILOADO</t>
  </si>
  <si>
    <t>FRANKI DE FUSTE VIBRADO</t>
  </si>
  <si>
    <t>METÁLICA</t>
  </si>
  <si>
    <t>PRÉ-MOLDADA DE CONCRETO CRAVA A PERCUSSÃO</t>
  </si>
  <si>
    <t>PRÉ-MOLDADA DE CONCRETO CRAVADA POR PRENSAGEM</t>
  </si>
  <si>
    <t>ESCAVADA COM LAMA BENTONÍTICA</t>
  </si>
  <si>
    <t>RAIZ</t>
  </si>
  <si>
    <t>STRAUSS</t>
  </si>
  <si>
    <t>HÉLICE CONTÍNUA</t>
  </si>
  <si>
    <t>ROCHA</t>
  </si>
  <si>
    <t>Tipo de estaca</t>
  </si>
  <si>
    <t>Perímetro da estaca</t>
  </si>
  <si>
    <t>Área da estaca</t>
  </si>
  <si>
    <t>m</t>
  </si>
  <si>
    <t>Geometria da estaca</t>
  </si>
  <si>
    <t>Circular</t>
  </si>
  <si>
    <t>Quadrada</t>
  </si>
  <si>
    <t>m²</t>
  </si>
  <si>
    <t>Profundidade da estaca</t>
  </si>
  <si>
    <t>Rp</t>
  </si>
  <si>
    <t>tf</t>
  </si>
  <si>
    <t>rl (kg/m²)</t>
  </si>
  <si>
    <t>rp (kg/m²)</t>
  </si>
  <si>
    <t>Recalque admissível</t>
  </si>
  <si>
    <t>mm</t>
  </si>
  <si>
    <t>Kz (tf/m)</t>
  </si>
  <si>
    <r>
      <rPr>
        <sz val="11"/>
        <color theme="1"/>
        <rFont val="GreekC_IV25"/>
      </rPr>
      <t>β</t>
    </r>
    <r>
      <rPr>
        <sz val="11"/>
        <color theme="1"/>
        <rFont val="Aptos Narrow"/>
        <family val="2"/>
      </rPr>
      <t>_MIN</t>
    </r>
  </si>
  <si>
    <r>
      <rPr>
        <sz val="11"/>
        <color theme="1"/>
        <rFont val="GreekC_IV25"/>
      </rPr>
      <t>β</t>
    </r>
    <r>
      <rPr>
        <sz val="11"/>
        <color theme="1"/>
        <rFont val="Aptos Narrow"/>
        <family val="2"/>
      </rPr>
      <t>_MAX</t>
    </r>
  </si>
  <si>
    <t>Kx,y _min(tf/m)</t>
  </si>
  <si>
    <t>Kx,y _max(tf/m)</t>
  </si>
  <si>
    <t>Inputs</t>
  </si>
  <si>
    <t>MOLA ESTÁTICA</t>
  </si>
  <si>
    <t>MOLA DINAMICA</t>
  </si>
  <si>
    <t>Amortecnimento</t>
  </si>
  <si>
    <t xml:space="preserve">γ </t>
  </si>
  <si>
    <t>(tf/m³)</t>
  </si>
  <si>
    <t>Vs</t>
  </si>
  <si>
    <t>G (tf/m²)</t>
  </si>
  <si>
    <t>Kh (tf/m)</t>
  </si>
  <si>
    <t>Cv (tf.s/m)</t>
  </si>
  <si>
    <t>Ch (tf.s/m)</t>
  </si>
  <si>
    <t xml:space="preserve">Número de estacas </t>
  </si>
  <si>
    <t>um</t>
  </si>
  <si>
    <t>Cgcxy</t>
  </si>
  <si>
    <t>Cgcz</t>
  </si>
  <si>
    <t>Massa da estrutura</t>
  </si>
  <si>
    <t>ton</t>
  </si>
  <si>
    <t>Dgz</t>
  </si>
  <si>
    <t>Dgxy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</si>
</sst>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GreekC_IV25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9" fontId="0" fillId="0" borderId="1" xfId="1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Porcentagem" xfId="1" builtinId="5"/>
  </cellStyles>
  <dxfs count="1"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1314450</xdr:colOff>
      <xdr:row>31</xdr:row>
      <xdr:rowOff>66675</xdr:rowOff>
    </xdr:from>
    <xdr:to>
      <xdr:col>8</xdr:col>
      <xdr:colOff>590550</xdr:colOff>
      <xdr:row>58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9F243AB-D172-81CF-CDB4-13837EDC6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5800725"/>
          <a:ext cx="8105775" cy="524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581025</xdr:colOff>
      <xdr:row>32</xdr:row>
      <xdr:rowOff>76200</xdr:rowOff>
    </xdr:from>
    <xdr:to>
      <xdr:col>13</xdr:col>
      <xdr:colOff>362492</xdr:colOff>
      <xdr:row>37</xdr:row>
      <xdr:rowOff>76333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4672E4-A91F-5A39-7EEE-A4F461315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10700" y="6019800"/>
          <a:ext cx="3886742" cy="952633"/>
        </a:xfrm>
        <a:prstGeom prst="rect">
          <a:avLst/>
        </a:prstGeom>
      </xdr:spPr>
    </xdr:pic>
    <xdr:clientData/>
  </xdr:twoCellAnchor>
  <xdr:twoCellAnchor editAs="oneCell">
    <xdr:from>
      <xdr:col>8</xdr:col>
      <xdr:colOff>581025</xdr:colOff>
      <xdr:row>38</xdr:row>
      <xdr:rowOff>76200</xdr:rowOff>
    </xdr:from>
    <xdr:to>
      <xdr:col>14</xdr:col>
      <xdr:colOff>29167</xdr:colOff>
      <xdr:row>61</xdr:row>
      <xdr:rowOff>76812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A7F9B28-6F68-4A87-546D-ACCC1781C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10700" y="7162800"/>
          <a:ext cx="4239217" cy="4382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76BA-C9A9-4000-B36E-A60882CBBDC2}">
  <dimension ref="A1:AB48"/>
  <sheetViews>
    <sheetView tabSelected="1" topLeftCell="A10" zoomScale="130" zoomScaleNormal="130" workbookViewId="0">
      <selection activeCell="F19" sqref="F19"/>
    </sheetView>
  </sheetViews>
  <sheetFormatPr defaultRowHeight="15" x14ac:dyDescent="0.25"/>
  <cols>
    <col min="1" max="1" width="22.42578125" bestFit="1" customWidth="1"/>
    <col min="2" max="2" width="26.85546875" customWidth="1"/>
    <col min="3" max="3" width="18.42578125" customWidth="1"/>
    <col min="4" max="4" width="10.140625" bestFit="1" customWidth="1"/>
    <col min="5" max="5" width="14.140625" bestFit="1" customWidth="1"/>
    <col min="6" max="6" width="11.5703125" bestFit="1" customWidth="1"/>
    <col min="7" max="7" width="14.28515625" bestFit="1" customWidth="1"/>
    <col min="8" max="8" width="14.5703125" bestFit="1" customWidth="1"/>
    <col min="9" max="9" width="14.28515625" bestFit="1" customWidth="1"/>
    <col min="10" max="10" width="14.5703125" bestFit="1" customWidth="1"/>
    <col min="11" max="12" width="10.5703125" bestFit="1" customWidth="1"/>
    <col min="13" max="13" width="11.5703125" bestFit="1" customWidth="1"/>
    <col min="14" max="14" width="10.28515625" bestFit="1" customWidth="1"/>
    <col min="23" max="23" width="22.140625" bestFit="1" customWidth="1"/>
    <col min="24" max="24" width="10.140625" bestFit="1" customWidth="1"/>
    <col min="25" max="25" width="6.28515625" bestFit="1" customWidth="1"/>
    <col min="26" max="26" width="51.85546875" bestFit="1" customWidth="1"/>
    <col min="27" max="27" width="7.140625" bestFit="1" customWidth="1"/>
    <col min="28" max="28" width="7.42578125" bestFit="1" customWidth="1"/>
  </cols>
  <sheetData>
    <row r="1" spans="1:28" x14ac:dyDescent="0.25">
      <c r="A1" s="11" t="s">
        <v>54</v>
      </c>
      <c r="B1" s="11"/>
      <c r="C1" s="11"/>
    </row>
    <row r="2" spans="1:28" x14ac:dyDescent="0.25">
      <c r="A2" s="2" t="s">
        <v>38</v>
      </c>
      <c r="B2" s="10" t="s">
        <v>39</v>
      </c>
      <c r="C2" s="10"/>
      <c r="E2" s="2" t="s">
        <v>36</v>
      </c>
      <c r="F2" s="4">
        <f>IF(B2="Circular",PI()*(B3/2)^2,B4*B3)</f>
        <v>0.78539816339744828</v>
      </c>
      <c r="G2" s="2" t="s">
        <v>41</v>
      </c>
      <c r="I2" s="2" t="s">
        <v>68</v>
      </c>
      <c r="J2" s="8">
        <f>2*SQRT(J11*B11/10)</f>
        <v>52444.555451840271</v>
      </c>
    </row>
    <row r="3" spans="1:28" x14ac:dyDescent="0.25">
      <c r="A3" s="2" t="str">
        <f>IF(B2="Circular","Diametro da estaca", "b")</f>
        <v>Diametro da estaca</v>
      </c>
      <c r="B3" s="2">
        <v>1</v>
      </c>
      <c r="C3" s="2" t="s">
        <v>37</v>
      </c>
      <c r="E3" s="2" t="s">
        <v>2</v>
      </c>
      <c r="F3" s="5">
        <f>SUMIF(A:A, "&lt;="&amp;B7, F:F) * B5/1000</f>
        <v>102.34994706130186</v>
      </c>
      <c r="G3" s="2" t="s">
        <v>44</v>
      </c>
      <c r="I3" s="2" t="s">
        <v>67</v>
      </c>
      <c r="J3" s="8">
        <f>2*SQRT(K11*B11/10)</f>
        <v>64626.472977894162</v>
      </c>
    </row>
    <row r="4" spans="1:28" x14ac:dyDescent="0.25">
      <c r="A4" s="2" t="str">
        <f>IF(B2="Circular","","h")</f>
        <v/>
      </c>
      <c r="B4" s="2"/>
      <c r="C4" s="2"/>
      <c r="E4" s="2" t="s">
        <v>43</v>
      </c>
      <c r="F4" s="6">
        <f>VLOOKUP(B7, A:G, 7, FALSE) * F2/1000</f>
        <v>3.8830085198369844</v>
      </c>
      <c r="G4" s="2" t="s">
        <v>44</v>
      </c>
      <c r="I4" s="2" t="s">
        <v>71</v>
      </c>
      <c r="J4" s="9">
        <f>M11/J2</f>
        <v>0.49017354935563168</v>
      </c>
    </row>
    <row r="5" spans="1:28" x14ac:dyDescent="0.25">
      <c r="A5" s="2" t="s">
        <v>35</v>
      </c>
      <c r="B5" s="4">
        <f>IF(B2="Circular",2*PI()*B3/2,2*B3+2*B4)</f>
        <v>3.1415926535897931</v>
      </c>
      <c r="C5" s="2" t="s">
        <v>37</v>
      </c>
      <c r="E5" s="2" t="s">
        <v>22</v>
      </c>
      <c r="F5" s="10">
        <f>_xlfn.XLOOKUP(B$8,$Z$14:$Z$22,$AA$14:$AA$22,"",0,1)</f>
        <v>2.5</v>
      </c>
      <c r="G5" s="10"/>
      <c r="I5" s="2" t="s">
        <v>72</v>
      </c>
      <c r="J5" s="9">
        <f>N11/J3</f>
        <v>0.629319064676506</v>
      </c>
    </row>
    <row r="6" spans="1:28" x14ac:dyDescent="0.25">
      <c r="A6" s="2" t="s">
        <v>47</v>
      </c>
      <c r="B6" s="2">
        <v>5</v>
      </c>
      <c r="C6" s="2" t="s">
        <v>48</v>
      </c>
      <c r="E6" s="2" t="s">
        <v>23</v>
      </c>
      <c r="F6" s="10">
        <f>_xlfn.XLOOKUP(B$8,$Z$14:$Z$22,$AB$14:$AB$22,"",0,1)</f>
        <v>3.5</v>
      </c>
      <c r="G6" s="10"/>
    </row>
    <row r="7" spans="1:28" x14ac:dyDescent="0.25">
      <c r="A7" s="2" t="s">
        <v>42</v>
      </c>
      <c r="B7" s="2">
        <v>16</v>
      </c>
      <c r="C7" s="2" t="s">
        <v>37</v>
      </c>
    </row>
    <row r="8" spans="1:28" x14ac:dyDescent="0.25">
      <c r="A8" s="2" t="s">
        <v>34</v>
      </c>
      <c r="B8" s="10" t="s">
        <v>27</v>
      </c>
      <c r="C8" s="10"/>
    </row>
    <row r="9" spans="1:28" x14ac:dyDescent="0.25">
      <c r="A9" s="3" t="s">
        <v>58</v>
      </c>
      <c r="B9" s="2">
        <v>1.8</v>
      </c>
      <c r="C9" s="2" t="s">
        <v>59</v>
      </c>
    </row>
    <row r="10" spans="1:28" x14ac:dyDescent="0.25">
      <c r="A10" s="3" t="s">
        <v>65</v>
      </c>
      <c r="B10" s="2">
        <v>15</v>
      </c>
      <c r="C10" s="2" t="s">
        <v>66</v>
      </c>
    </row>
    <row r="11" spans="1:28" x14ac:dyDescent="0.25">
      <c r="A11" s="3" t="s">
        <v>69</v>
      </c>
      <c r="B11" s="2">
        <v>1690.4</v>
      </c>
      <c r="C11" s="2" t="s">
        <v>70</v>
      </c>
      <c r="J11" s="7">
        <f>SUMIF($A14:$A300,"&lt;="&amp;$B$7,J14:J300)*$B$10</f>
        <v>4067722.7232328872</v>
      </c>
      <c r="K11" s="7">
        <f>SUMIF($A14:$A300,"&lt;="&amp;$B$7,K14:K300)*$B$10</f>
        <v>6176912.2834277162</v>
      </c>
      <c r="M11" s="7">
        <f>SUMIF($A14:$A300,"&lt;="&amp;$B$7,M14:M300)*$B$10</f>
        <v>25706.93389020679</v>
      </c>
      <c r="N11" s="7">
        <f>SUMIF($A14:$A300,"&lt;="&amp;$B$7,N14:N300)*$B$10</f>
        <v>40670.67152778984</v>
      </c>
    </row>
    <row r="12" spans="1:28" x14ac:dyDescent="0.25">
      <c r="A12" s="3"/>
      <c r="B12" s="2"/>
      <c r="C12" s="2"/>
      <c r="F12" s="12" t="s">
        <v>55</v>
      </c>
      <c r="G12" s="13"/>
      <c r="H12" s="14"/>
      <c r="I12" s="15" t="s">
        <v>56</v>
      </c>
      <c r="J12" s="16"/>
      <c r="K12" s="16"/>
      <c r="L12" s="17" t="s">
        <v>57</v>
      </c>
      <c r="M12" s="17"/>
      <c r="N12" s="17"/>
    </row>
    <row r="13" spans="1:28" ht="16.5" x14ac:dyDescent="0.35">
      <c r="A13" s="2" t="s">
        <v>0</v>
      </c>
      <c r="B13" s="2" t="s">
        <v>3</v>
      </c>
      <c r="C13" s="2" t="s">
        <v>1</v>
      </c>
      <c r="D13" s="2" t="s">
        <v>45</v>
      </c>
      <c r="E13" s="2" t="s">
        <v>46</v>
      </c>
      <c r="F13" s="2" t="s">
        <v>49</v>
      </c>
      <c r="G13" s="2" t="s">
        <v>52</v>
      </c>
      <c r="H13" s="2" t="s">
        <v>53</v>
      </c>
      <c r="I13" s="4" t="s">
        <v>61</v>
      </c>
      <c r="J13" s="4" t="s">
        <v>49</v>
      </c>
      <c r="K13" s="4" t="s">
        <v>62</v>
      </c>
      <c r="L13" s="4" t="s">
        <v>60</v>
      </c>
      <c r="M13" s="4" t="s">
        <v>63</v>
      </c>
      <c r="N13" s="4" t="s">
        <v>64</v>
      </c>
      <c r="W13" t="s">
        <v>4</v>
      </c>
      <c r="X13" t="s">
        <v>5</v>
      </c>
      <c r="Y13" s="1" t="s">
        <v>6</v>
      </c>
      <c r="Z13" t="s">
        <v>21</v>
      </c>
      <c r="AA13" t="s">
        <v>22</v>
      </c>
      <c r="AB13" t="s">
        <v>23</v>
      </c>
    </row>
    <row r="14" spans="1:28" x14ac:dyDescent="0.25">
      <c r="A14" s="2">
        <v>1</v>
      </c>
      <c r="B14" s="2" t="s">
        <v>18</v>
      </c>
      <c r="C14" s="2">
        <v>2.4</v>
      </c>
      <c r="D14" s="4">
        <f t="shared" ref="D14:D30" si="0">(_xlfn.XLOOKUP($B14,$W$14:$W$29,$Y$14:$Y$29,"",0,1)/100)*_xlfn.XLOOKUP($B14,$W$14:$W$29,$X$14:$X$29,"",0,1)*C14/$F$6*100*100</f>
        <v>927.7714285714286</v>
      </c>
      <c r="E14" s="4">
        <f t="shared" ref="E14:E30" si="1">_xlfn.XLOOKUP($B14,$W$14:$W$29,$X$14:$X$29,"",0,1)*C14/$F$5*100*100</f>
        <v>31679.999999999996</v>
      </c>
      <c r="F14" s="2">
        <f t="shared" ref="F14:F30" si="2">ROUNDDOWN(IF(A14&gt;$B$7,"",IF(A14=$B$7,$F$4/(10/100*MAX($B$3:$B$4))+D14/($B$6/1000)/1000*$B$5,D14/($B$6/1000)/1000*$B$5)),0)</f>
        <v>582</v>
      </c>
      <c r="G14" s="2">
        <f t="shared" ref="G14:G30" si="3">_xlfn.XLOOKUP(B14,$Z$33:$Z$48,$AA$33:$AA$48,"",0,1)*C14*A14*$B$3</f>
        <v>36</v>
      </c>
      <c r="H14" s="2">
        <f t="shared" ref="H14:H30" si="4">_xlfn.XLOOKUP(B14,$Z$33:$Z$48,$AB$33:$AB$48,"",0,1)*C14*A14*$B$3</f>
        <v>48</v>
      </c>
      <c r="I14" s="4">
        <f t="shared" ref="I14:I30" si="5">12000*C14^0.8/10</f>
        <v>2417.4095831579161</v>
      </c>
      <c r="J14" s="7">
        <f>2.7*I14</f>
        <v>6527.0058745263741</v>
      </c>
      <c r="K14" s="7">
        <f>4.1*I14</f>
        <v>9911.379290947456</v>
      </c>
      <c r="L14" s="7">
        <f t="shared" ref="L14:L30" si="6">SQRT(I14*10/$B$9)</f>
        <v>115.88810655009513</v>
      </c>
      <c r="M14" s="7">
        <f t="shared" ref="M14:M30" si="7">6.7*I14*$B$3/2/L14</f>
        <v>69.880528249707353</v>
      </c>
      <c r="N14" s="7">
        <f t="shared" ref="N14:N30" si="8">10.6*I14*$B$3/2/L14</f>
        <v>110.55725364879073</v>
      </c>
      <c r="W14" t="s">
        <v>7</v>
      </c>
      <c r="X14">
        <v>7.3</v>
      </c>
      <c r="Y14">
        <v>2.1</v>
      </c>
      <c r="Z14" t="s">
        <v>24</v>
      </c>
      <c r="AA14">
        <v>2.2999999999999998</v>
      </c>
      <c r="AB14">
        <v>3</v>
      </c>
    </row>
    <row r="15" spans="1:28" x14ac:dyDescent="0.25">
      <c r="A15" s="2">
        <v>2</v>
      </c>
      <c r="B15" s="2" t="s">
        <v>18</v>
      </c>
      <c r="C15" s="2">
        <v>1.4</v>
      </c>
      <c r="D15" s="4">
        <f t="shared" si="0"/>
        <v>541.19999999999993</v>
      </c>
      <c r="E15" s="4">
        <f t="shared" si="1"/>
        <v>18479.999999999996</v>
      </c>
      <c r="F15" s="2">
        <f t="shared" si="2"/>
        <v>340</v>
      </c>
      <c r="G15" s="2">
        <f t="shared" si="3"/>
        <v>42</v>
      </c>
      <c r="H15" s="2">
        <f t="shared" si="4"/>
        <v>56</v>
      </c>
      <c r="I15" s="4">
        <f t="shared" si="5"/>
        <v>1570.6653919294299</v>
      </c>
      <c r="J15" s="7">
        <f t="shared" ref="J15:J30" si="9">2.7*I15</f>
        <v>4240.7965582094612</v>
      </c>
      <c r="K15" s="7">
        <f t="shared" ref="K15:K30" si="10">4.1*I15</f>
        <v>6439.7281069106621</v>
      </c>
      <c r="L15" s="7">
        <f t="shared" si="6"/>
        <v>93.412626791309052</v>
      </c>
      <c r="M15" s="7">
        <f t="shared" si="7"/>
        <v>56.32781395515935</v>
      </c>
      <c r="N15" s="7">
        <f t="shared" si="8"/>
        <v>89.115645958908829</v>
      </c>
      <c r="W15" t="s">
        <v>8</v>
      </c>
      <c r="X15">
        <v>6.8</v>
      </c>
      <c r="Y15">
        <v>2.2999999999999998</v>
      </c>
      <c r="Z15" t="s">
        <v>25</v>
      </c>
      <c r="AA15">
        <v>2.2999999999999998</v>
      </c>
      <c r="AB15">
        <v>3.2</v>
      </c>
    </row>
    <row r="16" spans="1:28" x14ac:dyDescent="0.25">
      <c r="A16" s="2">
        <v>3</v>
      </c>
      <c r="B16" s="2" t="s">
        <v>18</v>
      </c>
      <c r="C16" s="2">
        <v>1.9</v>
      </c>
      <c r="D16" s="4">
        <f t="shared" si="0"/>
        <v>734.48571428571427</v>
      </c>
      <c r="E16" s="4">
        <f t="shared" si="1"/>
        <v>25080</v>
      </c>
      <c r="F16" s="2">
        <f t="shared" si="2"/>
        <v>461</v>
      </c>
      <c r="G16" s="2">
        <f t="shared" si="3"/>
        <v>85.5</v>
      </c>
      <c r="H16" s="2">
        <f t="shared" si="4"/>
        <v>114</v>
      </c>
      <c r="I16" s="4">
        <f t="shared" si="5"/>
        <v>2005.3220388313694</v>
      </c>
      <c r="J16" s="7">
        <f t="shared" si="9"/>
        <v>5414.369504844698</v>
      </c>
      <c r="K16" s="7">
        <f t="shared" si="10"/>
        <v>8221.8203592086138</v>
      </c>
      <c r="L16" s="7">
        <f t="shared" si="6"/>
        <v>105.54941019971456</v>
      </c>
      <c r="M16" s="7">
        <f t="shared" si="7"/>
        <v>63.64629435042788</v>
      </c>
      <c r="N16" s="7">
        <f t="shared" si="8"/>
        <v>100.6941373305277</v>
      </c>
      <c r="W16" t="s">
        <v>9</v>
      </c>
      <c r="X16">
        <v>6.3</v>
      </c>
      <c r="Y16">
        <v>2.4</v>
      </c>
      <c r="Z16" t="s">
        <v>26</v>
      </c>
      <c r="AA16">
        <v>1.75</v>
      </c>
      <c r="AB16">
        <v>3.5</v>
      </c>
    </row>
    <row r="17" spans="1:28" x14ac:dyDescent="0.25">
      <c r="A17" s="2">
        <v>4</v>
      </c>
      <c r="B17" s="2" t="s">
        <v>18</v>
      </c>
      <c r="C17" s="2">
        <v>2.6</v>
      </c>
      <c r="D17" s="4">
        <f t="shared" si="0"/>
        <v>1005.0857142857139</v>
      </c>
      <c r="E17" s="4">
        <f t="shared" si="1"/>
        <v>34320</v>
      </c>
      <c r="F17" s="2">
        <f t="shared" si="2"/>
        <v>631</v>
      </c>
      <c r="G17" s="2">
        <f t="shared" si="3"/>
        <v>156</v>
      </c>
      <c r="H17" s="2">
        <f t="shared" si="4"/>
        <v>208</v>
      </c>
      <c r="I17" s="4">
        <f t="shared" si="5"/>
        <v>2577.2700351594563</v>
      </c>
      <c r="J17" s="7">
        <f t="shared" si="9"/>
        <v>6958.6290949305321</v>
      </c>
      <c r="K17" s="7">
        <f t="shared" si="10"/>
        <v>10566.80714415377</v>
      </c>
      <c r="L17" s="7">
        <f t="shared" si="6"/>
        <v>119.65854278737051</v>
      </c>
      <c r="M17" s="7">
        <f t="shared" si="7"/>
        <v>72.154101300784419</v>
      </c>
      <c r="N17" s="7">
        <f t="shared" si="8"/>
        <v>114.15424981915146</v>
      </c>
      <c r="W17" t="s">
        <v>10</v>
      </c>
      <c r="X17">
        <v>5.7</v>
      </c>
      <c r="Y17">
        <v>2.9</v>
      </c>
      <c r="Z17" t="s">
        <v>27</v>
      </c>
      <c r="AA17">
        <v>2.5</v>
      </c>
      <c r="AB17">
        <v>3.5</v>
      </c>
    </row>
    <row r="18" spans="1:28" x14ac:dyDescent="0.25">
      <c r="A18" s="2">
        <v>5</v>
      </c>
      <c r="B18" s="2" t="s">
        <v>18</v>
      </c>
      <c r="C18" s="2">
        <v>3.6</v>
      </c>
      <c r="D18" s="4">
        <f t="shared" si="0"/>
        <v>1391.6571428571424</v>
      </c>
      <c r="E18" s="4">
        <f t="shared" si="1"/>
        <v>47520</v>
      </c>
      <c r="F18" s="2">
        <f t="shared" si="2"/>
        <v>874</v>
      </c>
      <c r="G18" s="2">
        <f t="shared" si="3"/>
        <v>270</v>
      </c>
      <c r="H18" s="2">
        <f t="shared" si="4"/>
        <v>360</v>
      </c>
      <c r="I18" s="4">
        <f t="shared" si="5"/>
        <v>3343.66875288249</v>
      </c>
      <c r="J18" s="7">
        <f t="shared" si="9"/>
        <v>9027.9056327827238</v>
      </c>
      <c r="K18" s="7">
        <f t="shared" si="10"/>
        <v>13709.041886818208</v>
      </c>
      <c r="L18" s="7">
        <f t="shared" si="6"/>
        <v>136.2935710736711</v>
      </c>
      <c r="M18" s="7">
        <f t="shared" si="7"/>
        <v>82.18502335742366</v>
      </c>
      <c r="N18" s="7">
        <f t="shared" si="8"/>
        <v>130.0240668042822</v>
      </c>
      <c r="W18" t="s">
        <v>11</v>
      </c>
      <c r="X18">
        <v>5.4</v>
      </c>
      <c r="Y18">
        <v>2.8</v>
      </c>
      <c r="Z18" t="s">
        <v>28</v>
      </c>
      <c r="AA18">
        <v>1.2</v>
      </c>
      <c r="AB18">
        <v>2.2999999999999998</v>
      </c>
    </row>
    <row r="19" spans="1:28" x14ac:dyDescent="0.25">
      <c r="A19" s="2">
        <v>6</v>
      </c>
      <c r="B19" s="2" t="s">
        <v>18</v>
      </c>
      <c r="C19" s="2">
        <v>3.6</v>
      </c>
      <c r="D19" s="4">
        <f t="shared" si="0"/>
        <v>1391.6571428571424</v>
      </c>
      <c r="E19" s="4">
        <f t="shared" si="1"/>
        <v>47520</v>
      </c>
      <c r="F19" s="2">
        <f t="shared" si="2"/>
        <v>874</v>
      </c>
      <c r="G19" s="2">
        <f t="shared" si="3"/>
        <v>324</v>
      </c>
      <c r="H19" s="2">
        <f t="shared" si="4"/>
        <v>432</v>
      </c>
      <c r="I19" s="4">
        <f t="shared" si="5"/>
        <v>3343.66875288249</v>
      </c>
      <c r="J19" s="7">
        <f t="shared" si="9"/>
        <v>9027.9056327827238</v>
      </c>
      <c r="K19" s="7">
        <f t="shared" si="10"/>
        <v>13709.041886818208</v>
      </c>
      <c r="L19" s="7">
        <f t="shared" si="6"/>
        <v>136.2935710736711</v>
      </c>
      <c r="M19" s="7">
        <f t="shared" si="7"/>
        <v>82.18502335742366</v>
      </c>
      <c r="N19" s="7">
        <f t="shared" si="8"/>
        <v>130.0240668042822</v>
      </c>
      <c r="W19" t="s">
        <v>12</v>
      </c>
      <c r="X19">
        <v>5</v>
      </c>
      <c r="Y19">
        <v>3</v>
      </c>
      <c r="Z19" t="s">
        <v>29</v>
      </c>
      <c r="AA19">
        <v>3.5</v>
      </c>
      <c r="AB19">
        <v>4.5</v>
      </c>
    </row>
    <row r="20" spans="1:28" x14ac:dyDescent="0.25">
      <c r="A20" s="2">
        <v>7</v>
      </c>
      <c r="B20" s="2" t="s">
        <v>18</v>
      </c>
      <c r="C20" s="2">
        <v>3.9</v>
      </c>
      <c r="D20" s="4">
        <f t="shared" si="0"/>
        <v>1507.6285714285711</v>
      </c>
      <c r="E20" s="4">
        <f t="shared" si="1"/>
        <v>51479.999999999993</v>
      </c>
      <c r="F20" s="2">
        <f t="shared" si="2"/>
        <v>947</v>
      </c>
      <c r="G20" s="2">
        <f t="shared" si="3"/>
        <v>409.5</v>
      </c>
      <c r="H20" s="2">
        <f t="shared" si="4"/>
        <v>546</v>
      </c>
      <c r="I20" s="4">
        <f t="shared" si="5"/>
        <v>3564.7816341679877</v>
      </c>
      <c r="J20" s="7">
        <f t="shared" si="9"/>
        <v>9624.9104122535682</v>
      </c>
      <c r="K20" s="7">
        <f t="shared" si="10"/>
        <v>14615.604700088748</v>
      </c>
      <c r="L20" s="7">
        <f t="shared" si="6"/>
        <v>140.72790203809754</v>
      </c>
      <c r="M20" s="7">
        <f t="shared" si="7"/>
        <v>84.858924928972812</v>
      </c>
      <c r="N20" s="7">
        <f t="shared" si="8"/>
        <v>134.25441854434504</v>
      </c>
      <c r="W20" t="s">
        <v>13</v>
      </c>
      <c r="X20">
        <v>4.5</v>
      </c>
      <c r="Y20">
        <v>3.2</v>
      </c>
      <c r="Z20" t="s">
        <v>30</v>
      </c>
      <c r="AA20">
        <v>2.2000000000000002</v>
      </c>
      <c r="AB20">
        <v>2.4</v>
      </c>
    </row>
    <row r="21" spans="1:28" x14ac:dyDescent="0.25">
      <c r="A21" s="2">
        <v>8</v>
      </c>
      <c r="B21" s="2" t="s">
        <v>18</v>
      </c>
      <c r="C21" s="2">
        <v>7.3</v>
      </c>
      <c r="D21" s="4">
        <f t="shared" si="0"/>
        <v>2821.9714285714281</v>
      </c>
      <c r="E21" s="4">
        <f t="shared" si="1"/>
        <v>96359.999999999985</v>
      </c>
      <c r="F21" s="2">
        <f t="shared" si="2"/>
        <v>1773</v>
      </c>
      <c r="G21" s="2">
        <f t="shared" si="3"/>
        <v>876</v>
      </c>
      <c r="H21" s="2">
        <f t="shared" si="4"/>
        <v>1168</v>
      </c>
      <c r="I21" s="4">
        <f t="shared" si="5"/>
        <v>5886.2612588872098</v>
      </c>
      <c r="J21" s="7">
        <f t="shared" si="9"/>
        <v>15892.905398995468</v>
      </c>
      <c r="K21" s="7">
        <f t="shared" si="10"/>
        <v>24133.67116143756</v>
      </c>
      <c r="L21" s="7">
        <f t="shared" si="6"/>
        <v>180.83542639168431</v>
      </c>
      <c r="M21" s="7">
        <f t="shared" si="7"/>
        <v>109.04376211418565</v>
      </c>
      <c r="N21" s="7">
        <f t="shared" si="8"/>
        <v>172.51699677766683</v>
      </c>
      <c r="W21" t="s">
        <v>12</v>
      </c>
      <c r="X21">
        <v>4.8</v>
      </c>
      <c r="Y21">
        <v>3.2</v>
      </c>
      <c r="Z21" t="s">
        <v>31</v>
      </c>
      <c r="AA21">
        <v>4.2</v>
      </c>
      <c r="AB21">
        <v>3.9</v>
      </c>
    </row>
    <row r="22" spans="1:28" x14ac:dyDescent="0.25">
      <c r="A22" s="2">
        <v>9</v>
      </c>
      <c r="B22" s="2" t="s">
        <v>18</v>
      </c>
      <c r="C22" s="2">
        <v>7.3</v>
      </c>
      <c r="D22" s="4">
        <f t="shared" si="0"/>
        <v>2821.9714285714281</v>
      </c>
      <c r="E22" s="4">
        <f t="shared" si="1"/>
        <v>96359.999999999985</v>
      </c>
      <c r="F22" s="2">
        <f t="shared" si="2"/>
        <v>1773</v>
      </c>
      <c r="G22" s="2">
        <f t="shared" si="3"/>
        <v>985.5</v>
      </c>
      <c r="H22" s="2">
        <f t="shared" si="4"/>
        <v>1314</v>
      </c>
      <c r="I22" s="4">
        <f t="shared" si="5"/>
        <v>5886.2612588872098</v>
      </c>
      <c r="J22" s="7">
        <f t="shared" si="9"/>
        <v>15892.905398995468</v>
      </c>
      <c r="K22" s="7">
        <f t="shared" si="10"/>
        <v>24133.67116143756</v>
      </c>
      <c r="L22" s="7">
        <f t="shared" si="6"/>
        <v>180.83542639168431</v>
      </c>
      <c r="M22" s="7">
        <f t="shared" si="7"/>
        <v>109.04376211418565</v>
      </c>
      <c r="N22" s="7">
        <f t="shared" si="8"/>
        <v>172.51699677766683</v>
      </c>
      <c r="W22" t="s">
        <v>14</v>
      </c>
      <c r="X22">
        <v>4</v>
      </c>
      <c r="Y22">
        <v>3.3</v>
      </c>
      <c r="Z22" t="s">
        <v>32</v>
      </c>
      <c r="AA22">
        <v>3</v>
      </c>
      <c r="AB22">
        <v>3.8</v>
      </c>
    </row>
    <row r="23" spans="1:28" x14ac:dyDescent="0.25">
      <c r="A23" s="2">
        <v>10</v>
      </c>
      <c r="B23" s="2" t="s">
        <v>18</v>
      </c>
      <c r="C23" s="2">
        <v>8.4</v>
      </c>
      <c r="D23" s="4">
        <f t="shared" si="0"/>
        <v>3247.1999999999994</v>
      </c>
      <c r="E23" s="4">
        <f t="shared" si="1"/>
        <v>110880</v>
      </c>
      <c r="F23" s="2">
        <f t="shared" si="2"/>
        <v>2040</v>
      </c>
      <c r="G23" s="2">
        <f t="shared" si="3"/>
        <v>1260</v>
      </c>
      <c r="H23" s="2">
        <f t="shared" si="4"/>
        <v>1680</v>
      </c>
      <c r="I23" s="4">
        <f t="shared" si="5"/>
        <v>6585.7414223776605</v>
      </c>
      <c r="J23" s="7">
        <f t="shared" si="9"/>
        <v>17781.501840419685</v>
      </c>
      <c r="K23" s="7">
        <f t="shared" si="10"/>
        <v>27001.539831748407</v>
      </c>
      <c r="L23" s="7">
        <f t="shared" si="6"/>
        <v>191.27846806826574</v>
      </c>
      <c r="M23" s="7">
        <f t="shared" si="7"/>
        <v>115.34091624516425</v>
      </c>
      <c r="N23" s="7">
        <f t="shared" si="8"/>
        <v>182.47965853712554</v>
      </c>
      <c r="W23" t="s">
        <v>15</v>
      </c>
      <c r="X23">
        <v>3.2</v>
      </c>
      <c r="Y23">
        <v>3.6</v>
      </c>
    </row>
    <row r="24" spans="1:28" x14ac:dyDescent="0.25">
      <c r="A24" s="2">
        <v>11</v>
      </c>
      <c r="B24" s="2" t="s">
        <v>18</v>
      </c>
      <c r="C24" s="2">
        <v>12.6</v>
      </c>
      <c r="D24" s="4">
        <f t="shared" si="0"/>
        <v>4870.7999999999993</v>
      </c>
      <c r="E24" s="4">
        <f t="shared" si="1"/>
        <v>166319.99999999997</v>
      </c>
      <c r="F24" s="2">
        <f t="shared" si="2"/>
        <v>3060</v>
      </c>
      <c r="G24" s="2">
        <f t="shared" si="3"/>
        <v>2079</v>
      </c>
      <c r="H24" s="2">
        <f t="shared" si="4"/>
        <v>2772</v>
      </c>
      <c r="I24" s="4">
        <f t="shared" si="5"/>
        <v>9109.1464028210503</v>
      </c>
      <c r="J24" s="7">
        <f t="shared" si="9"/>
        <v>24594.695287616836</v>
      </c>
      <c r="K24" s="7">
        <f t="shared" si="10"/>
        <v>37347.5002515663</v>
      </c>
      <c r="L24" s="7">
        <f t="shared" si="6"/>
        <v>224.95859375574295</v>
      </c>
      <c r="M24" s="7">
        <f t="shared" si="7"/>
        <v>135.65003203471301</v>
      </c>
      <c r="N24" s="7">
        <f t="shared" si="8"/>
        <v>214.61049844297878</v>
      </c>
      <c r="W24" t="s">
        <v>16</v>
      </c>
      <c r="X24">
        <v>4.4000000000000004</v>
      </c>
      <c r="Y24">
        <v>3.2</v>
      </c>
    </row>
    <row r="25" spans="1:28" x14ac:dyDescent="0.25">
      <c r="A25" s="2">
        <v>12</v>
      </c>
      <c r="B25" s="2" t="s">
        <v>18</v>
      </c>
      <c r="C25" s="2">
        <v>11</v>
      </c>
      <c r="D25" s="4">
        <f t="shared" si="0"/>
        <v>4252.2857142857138</v>
      </c>
      <c r="E25" s="4">
        <f t="shared" si="1"/>
        <v>145200</v>
      </c>
      <c r="F25" s="2">
        <f t="shared" si="2"/>
        <v>2671</v>
      </c>
      <c r="G25" s="2">
        <f t="shared" si="3"/>
        <v>1980</v>
      </c>
      <c r="H25" s="2">
        <f t="shared" si="4"/>
        <v>2640</v>
      </c>
      <c r="I25" s="4">
        <f t="shared" si="5"/>
        <v>8171.379753026762</v>
      </c>
      <c r="J25" s="7">
        <f t="shared" si="9"/>
        <v>22062.72533317226</v>
      </c>
      <c r="K25" s="7">
        <f t="shared" si="10"/>
        <v>33502.656987409719</v>
      </c>
      <c r="L25" s="7">
        <f t="shared" si="6"/>
        <v>213.0646713640767</v>
      </c>
      <c r="M25" s="7">
        <f t="shared" si="7"/>
        <v>128.47799683253828</v>
      </c>
      <c r="N25" s="7">
        <f t="shared" si="8"/>
        <v>203.26369648132919</v>
      </c>
      <c r="W25" t="s">
        <v>17</v>
      </c>
      <c r="X25">
        <v>3</v>
      </c>
      <c r="Y25">
        <v>3.8</v>
      </c>
    </row>
    <row r="26" spans="1:28" x14ac:dyDescent="0.25">
      <c r="A26" s="2">
        <v>13</v>
      </c>
      <c r="B26" s="2" t="s">
        <v>18</v>
      </c>
      <c r="C26" s="2">
        <v>10</v>
      </c>
      <c r="D26" s="4">
        <f t="shared" si="0"/>
        <v>3865.7142857142853</v>
      </c>
      <c r="E26" s="4">
        <f t="shared" si="1"/>
        <v>132000</v>
      </c>
      <c r="F26" s="2">
        <f t="shared" si="2"/>
        <v>2428</v>
      </c>
      <c r="G26" s="2">
        <f t="shared" si="3"/>
        <v>1950</v>
      </c>
      <c r="H26" s="2">
        <f t="shared" si="4"/>
        <v>2600</v>
      </c>
      <c r="I26" s="4">
        <f t="shared" si="5"/>
        <v>7571.488133762321</v>
      </c>
      <c r="J26" s="7">
        <f t="shared" si="9"/>
        <v>20443.017961158268</v>
      </c>
      <c r="K26" s="7">
        <f t="shared" si="10"/>
        <v>31043.101348425513</v>
      </c>
      <c r="L26" s="7">
        <f t="shared" si="6"/>
        <v>205.09466830063189</v>
      </c>
      <c r="M26" s="7">
        <f t="shared" si="7"/>
        <v>123.67208498528106</v>
      </c>
      <c r="N26" s="7">
        <f t="shared" si="8"/>
        <v>195.66031355880284</v>
      </c>
      <c r="W26" t="s">
        <v>18</v>
      </c>
      <c r="X26">
        <v>3.3</v>
      </c>
      <c r="Y26">
        <v>4.0999999999999996</v>
      </c>
    </row>
    <row r="27" spans="1:28" x14ac:dyDescent="0.25">
      <c r="A27" s="2">
        <v>14</v>
      </c>
      <c r="B27" s="2" t="s">
        <v>18</v>
      </c>
      <c r="C27" s="2">
        <v>15</v>
      </c>
      <c r="D27" s="4">
        <f t="shared" si="0"/>
        <v>5798.5714285714275</v>
      </c>
      <c r="E27" s="4">
        <f t="shared" si="1"/>
        <v>198000</v>
      </c>
      <c r="F27" s="2">
        <f t="shared" si="2"/>
        <v>3643</v>
      </c>
      <c r="G27" s="2">
        <f t="shared" si="3"/>
        <v>3150</v>
      </c>
      <c r="H27" s="2">
        <f t="shared" si="4"/>
        <v>4200</v>
      </c>
      <c r="I27" s="4">
        <f t="shared" si="5"/>
        <v>10472.593664748387</v>
      </c>
      <c r="J27" s="7">
        <f t="shared" si="9"/>
        <v>28276.002894820645</v>
      </c>
      <c r="K27" s="7">
        <f t="shared" si="10"/>
        <v>42937.634025468382</v>
      </c>
      <c r="L27" s="7">
        <f t="shared" si="6"/>
        <v>241.20753702002932</v>
      </c>
      <c r="M27" s="7">
        <f t="shared" si="7"/>
        <v>145.44814482307768</v>
      </c>
      <c r="N27" s="7">
        <f t="shared" si="8"/>
        <v>230.11199031710797</v>
      </c>
      <c r="W27" t="s">
        <v>19</v>
      </c>
      <c r="X27">
        <v>2.6</v>
      </c>
      <c r="Y27">
        <v>4.5</v>
      </c>
    </row>
    <row r="28" spans="1:28" x14ac:dyDescent="0.25">
      <c r="A28" s="2">
        <v>15</v>
      </c>
      <c r="B28" s="2" t="s">
        <v>18</v>
      </c>
      <c r="C28" s="2">
        <v>22.4</v>
      </c>
      <c r="D28" s="4">
        <f t="shared" si="0"/>
        <v>8659.1999999999989</v>
      </c>
      <c r="E28" s="4">
        <f t="shared" si="1"/>
        <v>295679.99999999994</v>
      </c>
      <c r="F28" s="2">
        <f t="shared" si="2"/>
        <v>5440</v>
      </c>
      <c r="G28" s="2">
        <f t="shared" si="3"/>
        <v>5040</v>
      </c>
      <c r="H28" s="2">
        <f t="shared" si="4"/>
        <v>6720</v>
      </c>
      <c r="I28" s="4">
        <f t="shared" si="5"/>
        <v>14433.766015680874</v>
      </c>
      <c r="J28" s="7">
        <f t="shared" si="9"/>
        <v>38971.168242338361</v>
      </c>
      <c r="K28" s="7">
        <f t="shared" si="10"/>
        <v>59178.440664291578</v>
      </c>
      <c r="L28" s="7">
        <f t="shared" si="6"/>
        <v>283.1741318976803</v>
      </c>
      <c r="M28" s="7">
        <f t="shared" si="7"/>
        <v>170.75400153430127</v>
      </c>
      <c r="N28" s="7">
        <f t="shared" si="8"/>
        <v>270.14812183038708</v>
      </c>
      <c r="W28" t="s">
        <v>20</v>
      </c>
      <c r="X28">
        <v>2.5</v>
      </c>
      <c r="Y28">
        <v>5.5</v>
      </c>
    </row>
    <row r="29" spans="1:28" x14ac:dyDescent="0.25">
      <c r="A29" s="2">
        <v>16</v>
      </c>
      <c r="B29" s="2" t="s">
        <v>18</v>
      </c>
      <c r="C29" s="2">
        <v>20.6</v>
      </c>
      <c r="D29" s="4">
        <f t="shared" si="0"/>
        <v>7963.3714285714277</v>
      </c>
      <c r="E29" s="4">
        <f t="shared" si="1"/>
        <v>271920</v>
      </c>
      <c r="F29" s="2">
        <f t="shared" si="2"/>
        <v>5042</v>
      </c>
      <c r="G29" s="2">
        <f t="shared" si="3"/>
        <v>4944</v>
      </c>
      <c r="H29" s="2">
        <f t="shared" si="4"/>
        <v>6592</v>
      </c>
      <c r="I29" s="4">
        <f t="shared" si="5"/>
        <v>13498.174005313111</v>
      </c>
      <c r="J29" s="7">
        <f t="shared" si="9"/>
        <v>36445.069814345399</v>
      </c>
      <c r="K29" s="7">
        <f t="shared" si="10"/>
        <v>55342.513421783748</v>
      </c>
      <c r="L29" s="7">
        <f t="shared" si="6"/>
        <v>273.84275704329451</v>
      </c>
      <c r="M29" s="7">
        <f t="shared" si="7"/>
        <v>165.12718249710662</v>
      </c>
      <c r="N29" s="7">
        <f t="shared" si="8"/>
        <v>261.245990219303</v>
      </c>
      <c r="W29" t="s">
        <v>33</v>
      </c>
      <c r="X29">
        <v>100</v>
      </c>
      <c r="Y29">
        <v>100</v>
      </c>
    </row>
    <row r="30" spans="1:28" x14ac:dyDescent="0.25">
      <c r="A30" s="2">
        <v>17</v>
      </c>
      <c r="B30" s="2" t="s">
        <v>33</v>
      </c>
      <c r="C30" s="2">
        <v>60</v>
      </c>
      <c r="D30" s="4">
        <f t="shared" si="0"/>
        <v>17142857.142857142</v>
      </c>
      <c r="E30" s="4">
        <f t="shared" si="1"/>
        <v>24000000</v>
      </c>
      <c r="F30" s="2" t="e">
        <f t="shared" si="2"/>
        <v>#VALUE!</v>
      </c>
      <c r="G30" s="2">
        <f t="shared" si="3"/>
        <v>102000</v>
      </c>
      <c r="H30" s="2">
        <f t="shared" si="4"/>
        <v>102000</v>
      </c>
      <c r="I30" s="4">
        <f t="shared" si="5"/>
        <v>31746.96742398194</v>
      </c>
      <c r="J30" s="7">
        <f t="shared" si="9"/>
        <v>85716.812044751248</v>
      </c>
      <c r="K30" s="7">
        <f t="shared" si="10"/>
        <v>130162.56643832594</v>
      </c>
      <c r="L30" s="7">
        <f t="shared" si="6"/>
        <v>419.96671444811449</v>
      </c>
      <c r="M30" s="7">
        <f t="shared" si="7"/>
        <v>253.23992881221301</v>
      </c>
      <c r="N30" s="7">
        <f t="shared" si="8"/>
        <v>400.64824558350114</v>
      </c>
    </row>
    <row r="31" spans="1:28" x14ac:dyDescent="0.25">
      <c r="J31" s="18">
        <f>AVERAGE(J21:J29)</f>
        <v>24484.443574651377</v>
      </c>
      <c r="K31" s="18">
        <f>AVERAGE(K21:K29)</f>
        <v>37180.080983729866</v>
      </c>
    </row>
    <row r="32" spans="1:28" ht="16.5" x14ac:dyDescent="0.35">
      <c r="Z32" t="s">
        <v>4</v>
      </c>
      <c r="AA32" s="1" t="s">
        <v>50</v>
      </c>
      <c r="AB32" s="1" t="s">
        <v>51</v>
      </c>
    </row>
    <row r="33" spans="23:28" x14ac:dyDescent="0.25">
      <c r="W33" t="s">
        <v>39</v>
      </c>
      <c r="Z33" t="s">
        <v>7</v>
      </c>
      <c r="AA33">
        <v>20</v>
      </c>
      <c r="AB33">
        <v>30</v>
      </c>
    </row>
    <row r="34" spans="23:28" x14ac:dyDescent="0.25">
      <c r="W34" t="s">
        <v>40</v>
      </c>
      <c r="Z34" t="s">
        <v>8</v>
      </c>
      <c r="AA34">
        <v>15</v>
      </c>
      <c r="AB34">
        <v>20</v>
      </c>
    </row>
    <row r="35" spans="23:28" x14ac:dyDescent="0.25">
      <c r="Z35" t="s">
        <v>9</v>
      </c>
      <c r="AA35">
        <v>15</v>
      </c>
      <c r="AB35">
        <v>20</v>
      </c>
    </row>
    <row r="36" spans="23:28" x14ac:dyDescent="0.25">
      <c r="Z36" t="s">
        <v>10</v>
      </c>
      <c r="AA36">
        <v>15</v>
      </c>
      <c r="AB36">
        <v>20</v>
      </c>
    </row>
    <row r="37" spans="23:28" x14ac:dyDescent="0.25">
      <c r="Z37" t="s">
        <v>11</v>
      </c>
      <c r="AA37">
        <v>15</v>
      </c>
      <c r="AB37">
        <v>20</v>
      </c>
    </row>
    <row r="38" spans="23:28" x14ac:dyDescent="0.25">
      <c r="Z38" t="s">
        <v>12</v>
      </c>
      <c r="AA38">
        <v>15</v>
      </c>
      <c r="AB38">
        <v>20</v>
      </c>
    </row>
    <row r="39" spans="23:28" x14ac:dyDescent="0.25">
      <c r="Z39" t="s">
        <v>13</v>
      </c>
      <c r="AA39">
        <v>15</v>
      </c>
      <c r="AB39">
        <v>20</v>
      </c>
    </row>
    <row r="40" spans="23:28" x14ac:dyDescent="0.25">
      <c r="Z40" t="s">
        <v>12</v>
      </c>
      <c r="AA40">
        <v>15</v>
      </c>
      <c r="AB40">
        <v>20</v>
      </c>
    </row>
    <row r="41" spans="23:28" x14ac:dyDescent="0.25">
      <c r="Z41" t="s">
        <v>14</v>
      </c>
      <c r="AA41">
        <v>15</v>
      </c>
      <c r="AB41">
        <v>20</v>
      </c>
    </row>
    <row r="42" spans="23:28" x14ac:dyDescent="0.25">
      <c r="Z42" t="s">
        <v>15</v>
      </c>
      <c r="AA42">
        <v>15</v>
      </c>
      <c r="AB42">
        <v>20</v>
      </c>
    </row>
    <row r="43" spans="23:28" x14ac:dyDescent="0.25">
      <c r="Z43" t="s">
        <v>16</v>
      </c>
      <c r="AA43">
        <v>15</v>
      </c>
      <c r="AB43">
        <v>20</v>
      </c>
    </row>
    <row r="44" spans="23:28" x14ac:dyDescent="0.25">
      <c r="Z44" t="s">
        <v>17</v>
      </c>
      <c r="AA44">
        <v>15</v>
      </c>
      <c r="AB44">
        <v>20</v>
      </c>
    </row>
    <row r="45" spans="23:28" x14ac:dyDescent="0.25">
      <c r="Z45" t="s">
        <v>18</v>
      </c>
      <c r="AA45">
        <v>15</v>
      </c>
      <c r="AB45">
        <v>20</v>
      </c>
    </row>
    <row r="46" spans="23:28" x14ac:dyDescent="0.25">
      <c r="Z46" t="s">
        <v>19</v>
      </c>
      <c r="AA46">
        <v>15</v>
      </c>
      <c r="AB46">
        <v>20</v>
      </c>
    </row>
    <row r="47" spans="23:28" x14ac:dyDescent="0.25">
      <c r="Z47" t="s">
        <v>20</v>
      </c>
      <c r="AA47">
        <v>10</v>
      </c>
      <c r="AB47">
        <v>15</v>
      </c>
    </row>
    <row r="48" spans="23:28" x14ac:dyDescent="0.25">
      <c r="Z48" t="s">
        <v>33</v>
      </c>
      <c r="AA48">
        <v>100</v>
      </c>
      <c r="AB48">
        <v>100</v>
      </c>
    </row>
  </sheetData>
  <mergeCells count="8">
    <mergeCell ref="F12:H12"/>
    <mergeCell ref="I12:K12"/>
    <mergeCell ref="L12:N12"/>
    <mergeCell ref="B2:C2"/>
    <mergeCell ref="A1:C1"/>
    <mergeCell ref="B8:C8"/>
    <mergeCell ref="F5:G5"/>
    <mergeCell ref="F6:G6"/>
  </mergeCells>
  <conditionalFormatting sqref="B4:C4">
    <cfRule type="expression" dxfId="0" priority="1">
      <formula>$B$2="Circular"</formula>
    </cfRule>
  </conditionalFormatting>
  <dataValidations disablePrompts="1" count="3">
    <dataValidation type="list" allowBlank="1" showInputMessage="1" showErrorMessage="1" sqref="B14:B30" xr:uid="{0EFE4C33-5001-4EBC-8EEE-1071C0679B36}">
      <formula1>$W$14:$W$29</formula1>
    </dataValidation>
    <dataValidation type="list" allowBlank="1" showInputMessage="1" showErrorMessage="1" sqref="B8" xr:uid="{664FD139-04F4-4FA8-BA49-195804C2ABAA}">
      <formula1>$Z$14:$Z$22</formula1>
    </dataValidation>
    <dataValidation type="list" allowBlank="1" showInputMessage="1" showErrorMessage="1" sqref="B2" xr:uid="{4024AA37-547A-4C42-8AFF-86F551DE3E9C}">
      <formula1>$W$33:$W$34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Mateus Farias de Barros</dc:creator>
  <cp:lastModifiedBy>Lucas Mateus Farias de Barros</cp:lastModifiedBy>
  <dcterms:created xsi:type="dcterms:W3CDTF">2026-08-24T16:08:13Z</dcterms:created>
  <dcterms:modified xsi:type="dcterms:W3CDTF">2026-09-02T18:01:26Z</dcterms:modified>
</cp:coreProperties>
</file>