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cas.barros\Downloads\"/>
    </mc:Choice>
  </mc:AlternateContent>
  <xr:revisionPtr revIDLastSave="0" documentId="13_ncr:1_{7A1C1C99-1F7C-4407-86EF-5C4F39A0F8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moria_Muro_Arrim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M7" i="1"/>
  <c r="L7" i="1"/>
  <c r="F33" i="1" l="1"/>
  <c r="B3" i="1"/>
  <c r="F7" i="1" s="1"/>
  <c r="F8" i="1" s="1"/>
  <c r="F30" i="1"/>
  <c r="F16" i="1" l="1"/>
  <c r="F15" i="1"/>
  <c r="I8" i="1"/>
  <c r="J11" i="1"/>
  <c r="I11" i="1"/>
  <c r="J10" i="1"/>
  <c r="I10" i="1"/>
  <c r="J9" i="1"/>
  <c r="I9" i="1"/>
  <c r="I7" i="1"/>
  <c r="J6" i="1"/>
  <c r="I6" i="1"/>
  <c r="J5" i="1"/>
  <c r="J4" i="1"/>
  <c r="J3" i="1"/>
  <c r="I3" i="1"/>
  <c r="F19" i="1"/>
  <c r="F18" i="1"/>
  <c r="F11" i="1"/>
  <c r="F13" i="1" s="1"/>
  <c r="F10" i="1"/>
  <c r="F4" i="1"/>
  <c r="F23" i="1" s="1"/>
  <c r="M4" i="1"/>
  <c r="L4" i="1"/>
  <c r="F3" i="1"/>
  <c r="J8" i="1" s="1"/>
  <c r="M3" i="1"/>
  <c r="L3" i="1"/>
  <c r="F24" i="1" l="1"/>
  <c r="F27" i="1"/>
  <c r="F28" i="1" s="1"/>
  <c r="I5" i="1"/>
  <c r="F5" i="1"/>
  <c r="F14" i="1" s="1"/>
  <c r="F17" i="1" s="1"/>
  <c r="B27" i="1" s="1"/>
  <c r="F6" i="1"/>
  <c r="J7" i="1"/>
  <c r="F20" i="1"/>
  <c r="F12" i="1"/>
  <c r="B26" i="1" s="1"/>
  <c r="I4" i="1"/>
  <c r="L8" i="1" s="1"/>
  <c r="B23" i="1"/>
  <c r="F31" i="1"/>
  <c r="F29" i="1" l="1"/>
  <c r="F25" i="1"/>
  <c r="F26" i="1" s="1"/>
  <c r="F9" i="1"/>
  <c r="B24" i="1" s="1"/>
  <c r="B29" i="1" s="1"/>
  <c r="B31" i="1" s="1"/>
  <c r="B28" i="1"/>
  <c r="C28" i="1" s="1"/>
  <c r="F32" i="1" l="1"/>
  <c r="G33" i="1" s="1"/>
  <c r="B25" i="1"/>
  <c r="C25" i="1" s="1"/>
  <c r="B30" i="1"/>
  <c r="B32" i="1" l="1"/>
  <c r="C32" i="1" s="1"/>
</calcChain>
</file>

<file path=xl/sharedStrings.xml><?xml version="1.0" encoding="utf-8"?>
<sst xmlns="http://schemas.openxmlformats.org/spreadsheetml/2006/main" count="120" uniqueCount="84">
  <si>
    <t>Coordenadas Muro X (m)</t>
  </si>
  <si>
    <t>Coordenadas Muro Y (m)</t>
  </si>
  <si>
    <t>Solo Passivo X</t>
  </si>
  <si>
    <t>Solo Passivo Y</t>
  </si>
  <si>
    <t>Altura da Haste (H_haste)</t>
  </si>
  <si>
    <t>m</t>
  </si>
  <si>
    <t>Altura Total (H_tot)</t>
  </si>
  <si>
    <t>Espessura da Sapata (e_sapata)</t>
  </si>
  <si>
    <t>Largura Base (B)</t>
  </si>
  <si>
    <t>Largura Topo Haste (b_topo)</t>
  </si>
  <si>
    <t>Coef. Empuxo Ativo (Ka)</t>
  </si>
  <si>
    <t>-</t>
  </si>
  <si>
    <t>Largura Base Haste (b_base)</t>
  </si>
  <si>
    <t>Coef. Empuxo Passivo (Kp)</t>
  </si>
  <si>
    <t>Comprimento Puntera (L_punt)</t>
  </si>
  <si>
    <t>Empuxo Ativo (P_ah)</t>
  </si>
  <si>
    <t>kN/m</t>
  </si>
  <si>
    <t>Comprimento Calcanhar (L_calc)</t>
  </si>
  <si>
    <t>Empuxo Passivo (P_p)</t>
  </si>
  <si>
    <t>Altura do Solo Passivo (h_p)</t>
  </si>
  <si>
    <t>kN.m/m</t>
  </si>
  <si>
    <t>Peso Esp. Solo (gamma)</t>
  </si>
  <si>
    <t>kN/m³</t>
  </si>
  <si>
    <t>Peso Concreto (W_conc)</t>
  </si>
  <si>
    <t>Ângulo Atrito (phi)</t>
  </si>
  <si>
    <t>graus</t>
  </si>
  <si>
    <t>Peso Solo Calcanhar (W_solo)</t>
  </si>
  <si>
    <t>Sobrecarga (q)</t>
  </si>
  <si>
    <t>kPa</t>
  </si>
  <si>
    <t>Carga Vert. Total (N)</t>
  </si>
  <si>
    <t>Atrito Base (mu)</t>
  </si>
  <si>
    <t>Tensão Adm. Solo (q_adm)</t>
  </si>
  <si>
    <t>Momento Resist. Total (M_r_tot)</t>
  </si>
  <si>
    <t>Tipo de Solo da Base</t>
  </si>
  <si>
    <t>FS Tombamento</t>
  </si>
  <si>
    <t>N_SPT da Base</t>
  </si>
  <si>
    <t>golpes</t>
  </si>
  <si>
    <t>FS Deslizamento</t>
  </si>
  <si>
    <t>Resistência Concreto (fck)</t>
  </si>
  <si>
    <t>MPa</t>
  </si>
  <si>
    <t>Excentricidade (e)</t>
  </si>
  <si>
    <t>Tensão Máx (q_max)</t>
  </si>
  <si>
    <t>Tensão Mín (q_min)</t>
  </si>
  <si>
    <t>Mód. Reação Solo (k_s)</t>
  </si>
  <si>
    <t>Mód. Elasticidade (E_cs)</t>
  </si>
  <si>
    <t>m4</t>
  </si>
  <si>
    <t>Desloc. Flexão (d_flex)</t>
  </si>
  <si>
    <t>cm</t>
  </si>
  <si>
    <t>rad</t>
  </si>
  <si>
    <t>DESLOCAMENTO TOTAL</t>
  </si>
  <si>
    <t>VERIFICAÇÕES GEOTÉCNICAS</t>
  </si>
  <si>
    <t>DESLOCAMENTO DO TOPO</t>
  </si>
  <si>
    <t>CÁLCULOS</t>
  </si>
  <si>
    <t>INPUTS</t>
  </si>
  <si>
    <t>FS Tensão</t>
  </si>
  <si>
    <t>Considerar empuxo passivo?</t>
  </si>
  <si>
    <t>Não</t>
  </si>
  <si>
    <t>Sim</t>
  </si>
  <si>
    <t>Volume de concreto (V_conc)</t>
  </si>
  <si>
    <t>m³</t>
  </si>
  <si>
    <t>Peso da sobrecarga</t>
  </si>
  <si>
    <t>Área sapara (A_sapata)</t>
  </si>
  <si>
    <t>m²</t>
  </si>
  <si>
    <t>CG_sapata</t>
  </si>
  <si>
    <t>CG_haste</t>
  </si>
  <si>
    <t>CG_total</t>
  </si>
  <si>
    <t xml:space="preserve">Esforços deslizantes </t>
  </si>
  <si>
    <t>Momento desentabilizante (M_o)</t>
  </si>
  <si>
    <t>Esforços resistentes</t>
  </si>
  <si>
    <t>Área haste</t>
  </si>
  <si>
    <t>Inércia da sapata (I_sapata)</t>
  </si>
  <si>
    <t>kN.m/rad</t>
  </si>
  <si>
    <t>Silte</t>
  </si>
  <si>
    <r>
      <t>Giro da Base (</t>
    </r>
    <r>
      <rPr>
        <sz val="11"/>
        <color theme="1"/>
        <rFont val="Calibri"/>
        <family val="2"/>
      </rPr>
      <t>θ</t>
    </r>
    <r>
      <rPr>
        <sz val="11"/>
        <color theme="1"/>
        <rFont val="Calibri"/>
        <family val="2"/>
        <scheme val="minor"/>
      </rPr>
      <t>)</t>
    </r>
  </si>
  <si>
    <r>
      <t>Rigidez Rotacional (</t>
    </r>
    <r>
      <rPr>
        <sz val="11"/>
        <color theme="1"/>
        <rFont val="Arial"/>
        <family val="2"/>
      </rPr>
      <t>K_</t>
    </r>
    <r>
      <rPr>
        <sz val="11"/>
        <color theme="1"/>
        <rFont val="Calibri"/>
        <family val="2"/>
      </rPr>
      <t>θ</t>
    </r>
    <r>
      <rPr>
        <sz val="11"/>
        <color theme="1"/>
        <rFont val="Calibri"/>
        <family val="2"/>
        <scheme val="minor"/>
      </rPr>
      <t>)</t>
    </r>
  </si>
  <si>
    <r>
      <t>Desloc. por Rotação (</t>
    </r>
    <r>
      <rPr>
        <sz val="11"/>
        <color theme="1"/>
        <rFont val="Arial"/>
        <family val="2"/>
      </rPr>
      <t>d_rot</t>
    </r>
    <r>
      <rPr>
        <sz val="11"/>
        <color theme="1"/>
        <rFont val="Calibri"/>
        <family val="2"/>
        <scheme val="minor"/>
      </rPr>
      <t>)</t>
    </r>
  </si>
  <si>
    <r>
      <t>Mola Horizontal (</t>
    </r>
    <r>
      <rPr>
        <sz val="11"/>
        <color theme="1"/>
        <rFont val="Arial"/>
        <family val="2"/>
      </rPr>
      <t>k_h</t>
    </r>
    <r>
      <rPr>
        <sz val="11"/>
        <color theme="1"/>
        <rFont val="Calibri"/>
        <family val="2"/>
        <scheme val="minor"/>
      </rPr>
      <t>)</t>
    </r>
  </si>
  <si>
    <r>
      <t>Rigidez de Translação (</t>
    </r>
    <r>
      <rPr>
        <sz val="11"/>
        <color theme="1"/>
        <rFont val="Arial"/>
        <family val="2"/>
      </rPr>
      <t>K_h</t>
    </r>
    <r>
      <rPr>
        <sz val="11"/>
        <color theme="1"/>
        <rFont val="Calibri"/>
        <family val="2"/>
        <scheme val="minor"/>
      </rPr>
      <t>)</t>
    </r>
  </si>
  <si>
    <r>
      <t>Desloc. por Translação (</t>
    </r>
    <r>
      <rPr>
        <sz val="11"/>
        <color theme="1"/>
        <rFont val="Arial"/>
        <family val="2"/>
      </rPr>
      <t>d_trans</t>
    </r>
    <r>
      <rPr>
        <sz val="11"/>
        <color theme="1"/>
        <rFont val="Calibri"/>
        <family val="2"/>
        <scheme val="minor"/>
      </rPr>
      <t>)</t>
    </r>
  </si>
  <si>
    <t>Inércia Haste (I_haste)</t>
  </si>
  <si>
    <t>Limite  (H/300)</t>
  </si>
  <si>
    <t>Solo Ativo X</t>
  </si>
  <si>
    <t>Solo Ativo Y</t>
  </si>
  <si>
    <t>Esforços solicitantes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</si>
</sst>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B9770E"/>
      <name val="Calibri"/>
    </font>
    <font>
      <i/>
      <sz val="11"/>
      <color rgb="FF7F8C8D"/>
      <name val="Calibri"/>
    </font>
    <font>
      <sz val="11"/>
      <color theme="1"/>
      <name val="Calibri"/>
      <family val="2"/>
    </font>
    <font>
      <sz val="11"/>
      <color theme="1"/>
      <name val="Arial"/>
      <family val="2"/>
    </font>
    <font>
      <i/>
      <sz val="11"/>
      <color rgb="FF7F8C8D"/>
      <name val="Calibri"/>
      <family val="2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AF2F8"/>
        <bgColor rgb="FFEAF2F8"/>
      </patternFill>
    </fill>
    <fill>
      <patternFill patternType="solid">
        <fgColor rgb="FFFCF3CF"/>
        <bgColor rgb="FFFCF3CF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2" fontId="0" fillId="0" borderId="0" xfId="0" applyNumberFormat="1"/>
    <xf numFmtId="0" fontId="6" fillId="0" borderId="0" xfId="0" applyFont="1"/>
    <xf numFmtId="2" fontId="0" fillId="2" borderId="1" xfId="0" applyNumberForma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2" fontId="0" fillId="2" borderId="8" xfId="0" applyNumberFormat="1" applyFill="1" applyBorder="1" applyAlignment="1">
      <alignment horizontal="center"/>
    </xf>
    <xf numFmtId="0" fontId="0" fillId="0" borderId="9" xfId="0" applyBorder="1"/>
    <xf numFmtId="0" fontId="7" fillId="4" borderId="10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1" fillId="0" borderId="5" xfId="0" applyFont="1" applyBorder="1"/>
    <xf numFmtId="0" fontId="1" fillId="0" borderId="9" xfId="0" applyFont="1" applyBorder="1"/>
  </cellXfs>
  <cellStyles count="1">
    <cellStyle name="Normal" xfId="0" builtinId="0"/>
  </cellStyles>
  <dxfs count="13"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Perfil Geométrico do Muro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Muro</c:v>
          </c:tx>
          <c:spPr>
            <a:ln w="20000">
              <a:solidFill>
                <a:srgbClr val="2980B9"/>
              </a:solidFill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xVal>
            <c:numRef>
              <c:f>Memoria_Muro_Arrimo!$I$3:$I$11</c:f>
              <c:numCache>
                <c:formatCode>0.00</c:formatCode>
                <c:ptCount val="9"/>
                <c:pt idx="0">
                  <c:v>0</c:v>
                </c:pt>
                <c:pt idx="1">
                  <c:v>6.75</c:v>
                </c:pt>
                <c:pt idx="2">
                  <c:v>6.75</c:v>
                </c:pt>
                <c:pt idx="3">
                  <c:v>2.5</c:v>
                </c:pt>
                <c:pt idx="4">
                  <c:v>2.5</c:v>
                </c:pt>
                <c:pt idx="5">
                  <c:v>1.8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xVal>
          <c:yVal>
            <c:numRef>
              <c:f>Memoria_Muro_Arrimo!$J$3:$J$11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0.7</c:v>
                </c:pt>
                <c:pt idx="3">
                  <c:v>0.7</c:v>
                </c:pt>
                <c:pt idx="4">
                  <c:v>5.43</c:v>
                </c:pt>
                <c:pt idx="5">
                  <c:v>5.43</c:v>
                </c:pt>
                <c:pt idx="6">
                  <c:v>0.7</c:v>
                </c:pt>
                <c:pt idx="7">
                  <c:v>0.7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E2-4090-8F18-C4EEF5A765E5}"/>
            </c:ext>
          </c:extLst>
        </c:ser>
        <c:ser>
          <c:idx val="1"/>
          <c:order val="1"/>
          <c:tx>
            <c:v>Solo Passivo</c:v>
          </c:tx>
          <c:spPr>
            <a:ln w="25000">
              <a:solidFill>
                <a:srgbClr val="27AE60"/>
              </a:solidFill>
              <a:prstDash val="dash"/>
            </a:ln>
          </c:spPr>
          <c:marker>
            <c:symbol val="none"/>
          </c:marker>
          <c:xVal>
            <c:numRef>
              <c:f>Memoria_Muro_Arrimo!$L$3:$L$4</c:f>
              <c:numCache>
                <c:formatCode>0.00</c:formatCode>
                <c:ptCount val="2"/>
                <c:pt idx="0">
                  <c:v>-1</c:v>
                </c:pt>
                <c:pt idx="1">
                  <c:v>1</c:v>
                </c:pt>
              </c:numCache>
            </c:numRef>
          </c:xVal>
          <c:yVal>
            <c:numRef>
              <c:f>Memoria_Muro_Arrimo!$M$3:$M$4</c:f>
              <c:numCache>
                <c:formatCode>0.00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E2-4090-8F18-C4EEF5A765E5}"/>
            </c:ext>
          </c:extLst>
        </c:ser>
        <c:ser>
          <c:idx val="2"/>
          <c:order val="2"/>
          <c:tx>
            <c:v>Solo ativo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Memoria_Muro_Arrimo!$L$7:$L$8</c:f>
              <c:numCache>
                <c:formatCode>0.00</c:formatCode>
                <c:ptCount val="2"/>
                <c:pt idx="0">
                  <c:v>2.5</c:v>
                </c:pt>
                <c:pt idx="1">
                  <c:v>6.75</c:v>
                </c:pt>
              </c:numCache>
            </c:numRef>
          </c:xVal>
          <c:yVal>
            <c:numRef>
              <c:f>Memoria_Muro_Arrimo!$M$7:$M$8</c:f>
              <c:numCache>
                <c:formatCode>0.00</c:formatCode>
                <c:ptCount val="2"/>
                <c:pt idx="0">
                  <c:v>5.43</c:v>
                </c:pt>
                <c:pt idx="1">
                  <c:v>5.43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E2-4090-8F18-C4EEF5A76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Largura (m)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Altura (m)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12</xdr:row>
      <xdr:rowOff>190499</xdr:rowOff>
    </xdr:from>
    <xdr:ext cx="5400000" cy="346710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showGridLines="0" tabSelected="1" topLeftCell="A10" workbookViewId="0">
      <selection activeCell="A35" sqref="A35"/>
    </sheetView>
  </sheetViews>
  <sheetFormatPr defaultRowHeight="15" x14ac:dyDescent="0.25"/>
  <cols>
    <col min="1" max="1" width="33" customWidth="1"/>
    <col min="2" max="2" width="14" customWidth="1"/>
    <col min="3" max="3" width="8" customWidth="1"/>
    <col min="5" max="5" width="35.42578125" bestFit="1" customWidth="1"/>
    <col min="6" max="6" width="14" customWidth="1"/>
    <col min="7" max="7" width="12" customWidth="1"/>
    <col min="9" max="10" width="22" customWidth="1"/>
    <col min="12" max="13" width="15" customWidth="1"/>
  </cols>
  <sheetData>
    <row r="1" spans="1:15" ht="15.75" thickBot="1" x14ac:dyDescent="0.3"/>
    <row r="2" spans="1:15" ht="15.75" x14ac:dyDescent="0.25">
      <c r="A2" s="10" t="s">
        <v>53</v>
      </c>
      <c r="B2" s="11"/>
      <c r="C2" s="12"/>
      <c r="E2" s="10" t="s">
        <v>52</v>
      </c>
      <c r="F2" s="11"/>
      <c r="G2" s="12"/>
      <c r="I2" s="1" t="s">
        <v>0</v>
      </c>
      <c r="J2" s="1" t="s">
        <v>1</v>
      </c>
      <c r="L2" s="1" t="s">
        <v>2</v>
      </c>
      <c r="M2" s="1" t="s">
        <v>3</v>
      </c>
    </row>
    <row r="3" spans="1:15" x14ac:dyDescent="0.25">
      <c r="A3" s="5" t="s">
        <v>4</v>
      </c>
      <c r="B3" s="4">
        <f>5.43-B4</f>
        <v>4.7299999999999995</v>
      </c>
      <c r="C3" s="6" t="s">
        <v>5</v>
      </c>
      <c r="E3" s="5" t="s">
        <v>6</v>
      </c>
      <c r="F3" s="13">
        <f>B3+B4</f>
        <v>5.43</v>
      </c>
      <c r="G3" s="6" t="s">
        <v>5</v>
      </c>
      <c r="I3" s="2">
        <f>0</f>
        <v>0</v>
      </c>
      <c r="J3" s="2">
        <f>0</f>
        <v>0</v>
      </c>
      <c r="L3" s="2">
        <f>-1</f>
        <v>-1</v>
      </c>
      <c r="M3" s="2">
        <f>B9</f>
        <v>1</v>
      </c>
      <c r="O3" t="s">
        <v>57</v>
      </c>
    </row>
    <row r="4" spans="1:15" x14ac:dyDescent="0.25">
      <c r="A4" s="5" t="s">
        <v>7</v>
      </c>
      <c r="B4" s="4">
        <v>0.7</v>
      </c>
      <c r="C4" s="6" t="s">
        <v>5</v>
      </c>
      <c r="E4" s="5" t="s">
        <v>8</v>
      </c>
      <c r="F4" s="13">
        <f>B6+B7+B8</f>
        <v>6.75</v>
      </c>
      <c r="G4" s="6" t="s">
        <v>5</v>
      </c>
      <c r="I4" s="2">
        <f>F4</f>
        <v>6.75</v>
      </c>
      <c r="J4" s="2">
        <f>0</f>
        <v>0</v>
      </c>
      <c r="L4" s="2">
        <f>B7</f>
        <v>1</v>
      </c>
      <c r="M4" s="2">
        <f>B9</f>
        <v>1</v>
      </c>
      <c r="O4" t="s">
        <v>56</v>
      </c>
    </row>
    <row r="5" spans="1:15" x14ac:dyDescent="0.25">
      <c r="A5" s="5" t="s">
        <v>9</v>
      </c>
      <c r="B5" s="4">
        <v>0.7</v>
      </c>
      <c r="C5" s="6" t="s">
        <v>5</v>
      </c>
      <c r="E5" s="5" t="s">
        <v>61</v>
      </c>
      <c r="F5" s="13">
        <f>F4*B4</f>
        <v>4.7249999999999996</v>
      </c>
      <c r="G5" s="6" t="s">
        <v>62</v>
      </c>
      <c r="I5" s="2">
        <f>F4</f>
        <v>6.75</v>
      </c>
      <c r="J5" s="2">
        <f>B4</f>
        <v>0.7</v>
      </c>
    </row>
    <row r="6" spans="1:15" x14ac:dyDescent="0.25">
      <c r="A6" s="5" t="s">
        <v>12</v>
      </c>
      <c r="B6" s="4">
        <v>1.5</v>
      </c>
      <c r="C6" s="6" t="s">
        <v>5</v>
      </c>
      <c r="E6" s="5" t="s">
        <v>63</v>
      </c>
      <c r="F6" s="13">
        <f>F4/2</f>
        <v>3.375</v>
      </c>
      <c r="G6" s="6" t="s">
        <v>5</v>
      </c>
      <c r="I6" s="2">
        <f>B7+B6</f>
        <v>2.5</v>
      </c>
      <c r="J6" s="2">
        <f>B4</f>
        <v>0.7</v>
      </c>
      <c r="L6" s="3" t="s">
        <v>81</v>
      </c>
      <c r="M6" s="3" t="s">
        <v>82</v>
      </c>
    </row>
    <row r="7" spans="1:15" x14ac:dyDescent="0.25">
      <c r="A7" s="5" t="s">
        <v>14</v>
      </c>
      <c r="B7" s="4">
        <v>1</v>
      </c>
      <c r="C7" s="6" t="s">
        <v>5</v>
      </c>
      <c r="E7" s="5" t="s">
        <v>69</v>
      </c>
      <c r="F7" s="13">
        <f>(B6+B5)*B3/2</f>
        <v>5.2030000000000003</v>
      </c>
      <c r="G7" s="6" t="s">
        <v>62</v>
      </c>
      <c r="I7" s="2">
        <f>B7+B6</f>
        <v>2.5</v>
      </c>
      <c r="J7" s="2">
        <f>F3</f>
        <v>5.43</v>
      </c>
      <c r="L7" s="2">
        <f>I6</f>
        <v>2.5</v>
      </c>
      <c r="M7" s="2">
        <f>J7</f>
        <v>5.43</v>
      </c>
    </row>
    <row r="8" spans="1:15" x14ac:dyDescent="0.25">
      <c r="A8" s="5" t="s">
        <v>17</v>
      </c>
      <c r="B8" s="4">
        <v>4.25</v>
      </c>
      <c r="C8" s="6" t="s">
        <v>5</v>
      </c>
      <c r="E8" s="5" t="s">
        <v>64</v>
      </c>
      <c r="F8" s="13">
        <f>(B5*B3*(B6+B7-B5/2)+(B6-B5)*B3/2*(B7+2/3*(B6-B5)))/(F7)</f>
        <v>1.9257575757575756</v>
      </c>
      <c r="G8" s="6" t="s">
        <v>5</v>
      </c>
      <c r="I8" s="2">
        <f>B7+(B6-B5)</f>
        <v>1.8</v>
      </c>
      <c r="J8" s="2">
        <f>F3</f>
        <v>5.43</v>
      </c>
      <c r="L8" s="2">
        <f>I4</f>
        <v>6.75</v>
      </c>
      <c r="M8" s="2">
        <f>M7</f>
        <v>5.43</v>
      </c>
    </row>
    <row r="9" spans="1:15" x14ac:dyDescent="0.25">
      <c r="A9" s="5" t="s">
        <v>19</v>
      </c>
      <c r="B9" s="4">
        <v>1</v>
      </c>
      <c r="C9" s="6" t="s">
        <v>5</v>
      </c>
      <c r="E9" s="5" t="s">
        <v>65</v>
      </c>
      <c r="F9" s="13">
        <f>(F6*F5+F7*F8)/(F5+F7)</f>
        <v>2.6154906997045391</v>
      </c>
      <c r="G9" s="6" t="s">
        <v>5</v>
      </c>
      <c r="I9" s="2">
        <f>B7</f>
        <v>1</v>
      </c>
      <c r="J9" s="2">
        <f>B4</f>
        <v>0.7</v>
      </c>
    </row>
    <row r="10" spans="1:15" x14ac:dyDescent="0.25">
      <c r="A10" s="5" t="s">
        <v>21</v>
      </c>
      <c r="B10" s="4">
        <v>20</v>
      </c>
      <c r="C10" s="6" t="s">
        <v>22</v>
      </c>
      <c r="E10" s="5" t="s">
        <v>10</v>
      </c>
      <c r="F10" s="13">
        <f>TAN(RADIANS(45-B11/2))^2</f>
        <v>0.33333333333333331</v>
      </c>
      <c r="G10" s="6" t="s">
        <v>11</v>
      </c>
      <c r="I10" s="2">
        <f>0</f>
        <v>0</v>
      </c>
      <c r="J10" s="2">
        <f>B4</f>
        <v>0.7</v>
      </c>
    </row>
    <row r="11" spans="1:15" x14ac:dyDescent="0.25">
      <c r="A11" s="5" t="s">
        <v>24</v>
      </c>
      <c r="B11" s="4">
        <v>30</v>
      </c>
      <c r="C11" s="6" t="s">
        <v>25</v>
      </c>
      <c r="E11" s="5" t="s">
        <v>13</v>
      </c>
      <c r="F11" s="13">
        <f>TAN(RADIANS(45+B11/2))^2</f>
        <v>2.9999999999999982</v>
      </c>
      <c r="G11" s="6" t="s">
        <v>11</v>
      </c>
      <c r="I11" s="2">
        <f>0</f>
        <v>0</v>
      </c>
      <c r="J11" s="2">
        <f>0</f>
        <v>0</v>
      </c>
    </row>
    <row r="12" spans="1:15" x14ac:dyDescent="0.25">
      <c r="A12" s="5" t="s">
        <v>27</v>
      </c>
      <c r="B12" s="4">
        <v>58</v>
      </c>
      <c r="C12" s="6" t="s">
        <v>28</v>
      </c>
      <c r="E12" s="5" t="s">
        <v>15</v>
      </c>
      <c r="F12" s="13">
        <f>0.5*B10*F3^2*F10 + B12*F3*F10</f>
        <v>203.26299999999998</v>
      </c>
      <c r="G12" s="6" t="s">
        <v>16</v>
      </c>
    </row>
    <row r="13" spans="1:15" x14ac:dyDescent="0.25">
      <c r="A13" s="5" t="s">
        <v>30</v>
      </c>
      <c r="B13" s="4">
        <v>0.3</v>
      </c>
      <c r="C13" s="6" t="s">
        <v>11</v>
      </c>
      <c r="E13" s="5" t="s">
        <v>18</v>
      </c>
      <c r="F13" s="13">
        <f>0.5*B10*B9^2*F11</f>
        <v>29.999999999999982</v>
      </c>
      <c r="G13" s="6" t="s">
        <v>16</v>
      </c>
    </row>
    <row r="14" spans="1:15" x14ac:dyDescent="0.25">
      <c r="A14" s="5" t="s">
        <v>31</v>
      </c>
      <c r="B14" s="4">
        <v>200</v>
      </c>
      <c r="C14" s="6" t="s">
        <v>28</v>
      </c>
      <c r="E14" s="5" t="s">
        <v>23</v>
      </c>
      <c r="F14" s="13">
        <f>(F5+F7)*25</f>
        <v>248.20000000000002</v>
      </c>
      <c r="G14" s="6" t="s">
        <v>16</v>
      </c>
    </row>
    <row r="15" spans="1:15" x14ac:dyDescent="0.25">
      <c r="A15" s="5" t="s">
        <v>33</v>
      </c>
      <c r="B15" s="4" t="s">
        <v>72</v>
      </c>
      <c r="C15" s="6" t="s">
        <v>11</v>
      </c>
      <c r="E15" s="5" t="s">
        <v>26</v>
      </c>
      <c r="F15" s="13">
        <f>B8*B3*B10</f>
        <v>402.04999999999995</v>
      </c>
      <c r="G15" s="6" t="s">
        <v>16</v>
      </c>
    </row>
    <row r="16" spans="1:15" x14ac:dyDescent="0.25">
      <c r="A16" s="5" t="s">
        <v>35</v>
      </c>
      <c r="B16" s="4">
        <v>15</v>
      </c>
      <c r="C16" s="6" t="s">
        <v>36</v>
      </c>
      <c r="E16" s="5" t="s">
        <v>60</v>
      </c>
      <c r="F16" s="13">
        <f>+ B8*B12</f>
        <v>246.5</v>
      </c>
      <c r="G16" s="6" t="s">
        <v>16</v>
      </c>
    </row>
    <row r="17" spans="1:7" x14ac:dyDescent="0.25">
      <c r="A17" s="5" t="s">
        <v>38</v>
      </c>
      <c r="B17" s="4">
        <v>25</v>
      </c>
      <c r="C17" s="6" t="s">
        <v>39</v>
      </c>
      <c r="E17" s="5" t="s">
        <v>29</v>
      </c>
      <c r="F17" s="13">
        <f>F14+F15+B9*B10*B7+F16</f>
        <v>916.75</v>
      </c>
      <c r="G17" s="6" t="s">
        <v>16</v>
      </c>
    </row>
    <row r="18" spans="1:7" ht="15.75" thickBot="1" x14ac:dyDescent="0.3">
      <c r="A18" s="7" t="s">
        <v>55</v>
      </c>
      <c r="B18" s="8" t="s">
        <v>57</v>
      </c>
      <c r="C18" s="9"/>
      <c r="E18" s="5" t="s">
        <v>43</v>
      </c>
      <c r="F18" s="13">
        <f>IF(B15="Areia",2500,IF(B15="Silte",2000,1500))*B16</f>
        <v>30000</v>
      </c>
      <c r="G18" s="6" t="s">
        <v>22</v>
      </c>
    </row>
    <row r="19" spans="1:7" x14ac:dyDescent="0.25">
      <c r="E19" s="5" t="s">
        <v>44</v>
      </c>
      <c r="F19" s="14">
        <f>MIN(1, 0.8+0.2*(B17/80))*5600*SQRT(B17)*1000</f>
        <v>24150000</v>
      </c>
      <c r="G19" s="6" t="s">
        <v>28</v>
      </c>
    </row>
    <row r="20" spans="1:7" ht="15.75" thickBot="1" x14ac:dyDescent="0.3">
      <c r="E20" s="7" t="s">
        <v>58</v>
      </c>
      <c r="F20" s="15">
        <f>((B5+B6)/2*B3 + F4*B4)</f>
        <v>9.9280000000000008</v>
      </c>
      <c r="G20" s="9" t="s">
        <v>59</v>
      </c>
    </row>
    <row r="21" spans="1:7" ht="15.75" thickBot="1" x14ac:dyDescent="0.3"/>
    <row r="22" spans="1:7" ht="15.75" x14ac:dyDescent="0.25">
      <c r="A22" s="10" t="s">
        <v>50</v>
      </c>
      <c r="B22" s="11"/>
      <c r="C22" s="12"/>
      <c r="E22" s="20" t="s">
        <v>51</v>
      </c>
      <c r="F22" s="21"/>
      <c r="G22" s="22"/>
    </row>
    <row r="23" spans="1:7" x14ac:dyDescent="0.25">
      <c r="A23" s="5" t="s">
        <v>67</v>
      </c>
      <c r="B23" s="13">
        <f>(0.5*B10*F3^2*F10)*(F3/3) + (B12*F3*F10)*(F3/2)</f>
        <v>462.9129299999999</v>
      </c>
      <c r="C23" s="6" t="s">
        <v>20</v>
      </c>
      <c r="E23" s="5" t="s">
        <v>70</v>
      </c>
      <c r="F23" s="18">
        <f>F4^3/12*0.5</f>
        <v>12.814453125</v>
      </c>
      <c r="G23" s="6" t="s">
        <v>45</v>
      </c>
    </row>
    <row r="24" spans="1:7" x14ac:dyDescent="0.25">
      <c r="A24" s="5" t="s">
        <v>32</v>
      </c>
      <c r="B24" s="13">
        <f>IF(B18="Sim",F14*F9+F13*1/3*B9+F15*(F4-B8/2)+F16*(F4-B8/2),F14*F9+F15*(F4-B8/2)+F16*(F4-B8/2))</f>
        <v>3658.7085416666664</v>
      </c>
      <c r="C24" s="6" t="s">
        <v>20</v>
      </c>
      <c r="E24" s="5" t="s">
        <v>74</v>
      </c>
      <c r="F24" s="18">
        <f>F23*F18</f>
        <v>384433.59375</v>
      </c>
      <c r="G24" s="6" t="s">
        <v>71</v>
      </c>
    </row>
    <row r="25" spans="1:7" x14ac:dyDescent="0.25">
      <c r="A25" s="5" t="s">
        <v>34</v>
      </c>
      <c r="B25" s="13">
        <f>B24/B23</f>
        <v>7.9036646085186408</v>
      </c>
      <c r="C25" s="16" t="str">
        <f>IF(B25&gt;=2,"OK","ALERTA")</f>
        <v>OK</v>
      </c>
      <c r="E25" s="5" t="s">
        <v>73</v>
      </c>
      <c r="F25" s="18">
        <f>B23/F24</f>
        <v>1.204142763603109E-3</v>
      </c>
      <c r="G25" s="6" t="s">
        <v>48</v>
      </c>
    </row>
    <row r="26" spans="1:7" x14ac:dyDescent="0.25">
      <c r="A26" s="5" t="s">
        <v>66</v>
      </c>
      <c r="B26" s="13">
        <f>F12</f>
        <v>203.26299999999998</v>
      </c>
      <c r="C26" s="6" t="s">
        <v>16</v>
      </c>
      <c r="E26" s="5" t="s">
        <v>75</v>
      </c>
      <c r="F26" s="18">
        <f>F25*F3*100</f>
        <v>0.65384952063648805</v>
      </c>
      <c r="G26" s="6" t="s">
        <v>47</v>
      </c>
    </row>
    <row r="27" spans="1:7" x14ac:dyDescent="0.25">
      <c r="A27" s="5" t="s">
        <v>68</v>
      </c>
      <c r="B27" s="13">
        <f>IF(B18="Não",F17*B13,F17*B13+F13)</f>
        <v>305.02499999999998</v>
      </c>
      <c r="C27" s="6" t="s">
        <v>16</v>
      </c>
      <c r="E27" s="5" t="s">
        <v>76</v>
      </c>
      <c r="F27" s="18">
        <f>0.5*F18</f>
        <v>15000</v>
      </c>
      <c r="G27" s="6" t="s">
        <v>22</v>
      </c>
    </row>
    <row r="28" spans="1:7" x14ac:dyDescent="0.25">
      <c r="A28" s="5" t="s">
        <v>37</v>
      </c>
      <c r="B28" s="13">
        <f>B27/B26</f>
        <v>1.5006420253563117</v>
      </c>
      <c r="C28" s="16" t="str">
        <f>IF(B28&gt;=1.5,"OK","ALERTA")</f>
        <v>OK</v>
      </c>
      <c r="E28" s="5" t="s">
        <v>77</v>
      </c>
      <c r="F28" s="18">
        <f>F27*F4</f>
        <v>101250</v>
      </c>
      <c r="G28" s="6" t="s">
        <v>16</v>
      </c>
    </row>
    <row r="29" spans="1:7" x14ac:dyDescent="0.25">
      <c r="A29" s="5" t="s">
        <v>40</v>
      </c>
      <c r="B29" s="13">
        <f>(F4/2) - ((B24-B23)/F17)</f>
        <v>-0.11100557585674009</v>
      </c>
      <c r="C29" s="6" t="s">
        <v>5</v>
      </c>
      <c r="E29" s="5" t="s">
        <v>78</v>
      </c>
      <c r="F29" s="18">
        <f>F12/F28*100</f>
        <v>0.20075358024691353</v>
      </c>
      <c r="G29" s="6" t="s">
        <v>47</v>
      </c>
    </row>
    <row r="30" spans="1:7" x14ac:dyDescent="0.25">
      <c r="A30" s="5" t="s">
        <v>41</v>
      </c>
      <c r="B30" s="13">
        <f>(F17/F4)*(1 + (6*ABS(B29)/F4))</f>
        <v>149.21588301783262</v>
      </c>
      <c r="C30" s="6" t="s">
        <v>28</v>
      </c>
      <c r="E30" s="5" t="s">
        <v>79</v>
      </c>
      <c r="F30" s="18">
        <f>0.5 * (1 * (((B5+B6)/2)^3) / 12)</f>
        <v>5.5458333333333353E-2</v>
      </c>
      <c r="G30" s="6" t="s">
        <v>45</v>
      </c>
    </row>
    <row r="31" spans="1:7" x14ac:dyDescent="0.25">
      <c r="A31" s="5" t="s">
        <v>42</v>
      </c>
      <c r="B31" s="13">
        <f>(F17/F4)*(1 - (6*ABS(B29)/F4))</f>
        <v>122.41374661179701</v>
      </c>
      <c r="C31" s="6" t="s">
        <v>28</v>
      </c>
      <c r="E31" s="5" t="s">
        <v>46</v>
      </c>
      <c r="F31" s="18">
        <f>((F10*B10*B3)*(B3^4)/(30*F19*F30) + (F10*B12)*(B3^4)/(8*F19*F30))*100</f>
        <v>0.12960205066224972</v>
      </c>
      <c r="G31" s="6" t="s">
        <v>47</v>
      </c>
    </row>
    <row r="32" spans="1:7" ht="15.75" thickBot="1" x14ac:dyDescent="0.3">
      <c r="A32" s="7" t="s">
        <v>54</v>
      </c>
      <c r="B32" s="15">
        <f>B14/MAX(B30:B31)</f>
        <v>1.3403398884560984</v>
      </c>
      <c r="C32" s="17" t="str">
        <f>IF(B32&gt;=1.1,"OK","ALERTA")</f>
        <v>OK</v>
      </c>
      <c r="E32" s="23" t="s">
        <v>49</v>
      </c>
      <c r="F32" s="19">
        <f>F29+F31+F26</f>
        <v>0.98420515154565136</v>
      </c>
      <c r="G32" s="6" t="s">
        <v>47</v>
      </c>
    </row>
    <row r="33" spans="1:7" ht="15.75" thickBot="1" x14ac:dyDescent="0.3">
      <c r="E33" s="7" t="s">
        <v>80</v>
      </c>
      <c r="F33" s="15">
        <f>(F3*100)/300</f>
        <v>1.81</v>
      </c>
      <c r="G33" s="24" t="str">
        <f>IF(F32&lt;=F33,"OK","ALERTA")</f>
        <v>OK</v>
      </c>
    </row>
    <row r="34" spans="1:7" x14ac:dyDescent="0.25">
      <c r="A34" t="s">
        <v>83</v>
      </c>
    </row>
  </sheetData>
  <mergeCells count="4">
    <mergeCell ref="A2:C2"/>
    <mergeCell ref="E2:G2"/>
    <mergeCell ref="A22:C22"/>
    <mergeCell ref="E22:G22"/>
  </mergeCells>
  <conditionalFormatting sqref="C32">
    <cfRule type="containsText" dxfId="7" priority="5" operator="containsText" text="OK">
      <formula>NOT(ISERROR(SEARCH("OK",C32)))</formula>
    </cfRule>
    <cfRule type="containsText" dxfId="6" priority="7" operator="containsText" text="ALERTA">
      <formula>NOT(ISERROR(SEARCH("ALERTA",C32)))</formula>
    </cfRule>
  </conditionalFormatting>
  <conditionalFormatting sqref="C25">
    <cfRule type="containsText" dxfId="5" priority="3" operator="containsText" text="OK">
      <formula>NOT(ISERROR(SEARCH("OK",C25)))</formula>
    </cfRule>
    <cfRule type="containsText" dxfId="4" priority="8" operator="containsText" text="ALERTA">
      <formula>NOT(ISERROR(SEARCH("ALERTA",C25)))</formula>
    </cfRule>
  </conditionalFormatting>
  <conditionalFormatting sqref="C28">
    <cfRule type="containsText" dxfId="3" priority="4" operator="containsText" text="OK">
      <formula>NOT(ISERROR(SEARCH("OK",C28)))</formula>
    </cfRule>
    <cfRule type="containsText" dxfId="2" priority="6" operator="containsText" text="ALERTA">
      <formula>NOT(ISERROR(SEARCH("ALERTA",C28)))</formula>
    </cfRule>
  </conditionalFormatting>
  <conditionalFormatting sqref="G33">
    <cfRule type="containsText" dxfId="1" priority="1" operator="containsText" text="ALERTA">
      <formula>NOT(ISERROR(SEARCH("ALERTA",G33)))</formula>
    </cfRule>
    <cfRule type="containsText" dxfId="0" priority="2" operator="containsText" text="OK">
      <formula>NOT(ISERROR(SEARCH("OK",G33)))</formula>
    </cfRule>
  </conditionalFormatting>
  <dataValidations count="2">
    <dataValidation type="list" sqref="B15" xr:uid="{00000000-0002-0000-0000-000000000000}">
      <formula1>"Areia,Silte,Argila"</formula1>
    </dataValidation>
    <dataValidation type="list" allowBlank="1" showInputMessage="1" showErrorMessage="1" sqref="B18" xr:uid="{752653F8-A6D3-4190-9BE3-DF768F91F5D1}">
      <formula1>$O$3:$O$4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Memoria_Muro_Arrimo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Mateus Farias de Barros</cp:lastModifiedBy>
  <dcterms:created xsi:type="dcterms:W3CDTF">2026-08-28T14:17:28Z</dcterms:created>
  <dcterms:modified xsi:type="dcterms:W3CDTF">2026-08-28T21:15:06Z</dcterms:modified>
</cp:coreProperties>
</file>