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.barros\Downloads\"/>
    </mc:Choice>
  </mc:AlternateContent>
  <xr:revisionPtr revIDLastSave="0" documentId="13_ncr:1_{7054659E-89B0-48DB-BB54-9B4C267F0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quefação por profundidade" sheetId="2" r:id="rId1"/>
    <sheet name="Liquefação por linh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B70" i="2" s="1"/>
  <c r="P10" i="2"/>
  <c r="K7" i="2" s="1"/>
  <c r="O10" i="2"/>
  <c r="K6" i="2" s="1"/>
  <c r="N10" i="2"/>
  <c r="K5" i="2" s="1"/>
  <c r="M10" i="2"/>
  <c r="K4" i="2" s="1"/>
  <c r="L10" i="2"/>
  <c r="K3" i="2" s="1"/>
  <c r="K10" i="2"/>
  <c r="K2" i="2" s="1"/>
  <c r="I6" i="2"/>
  <c r="I7" i="2"/>
  <c r="I5" i="2"/>
  <c r="G5" i="2"/>
  <c r="G3" i="2" s="1"/>
  <c r="F10" i="2"/>
  <c r="G10" i="2"/>
  <c r="C11" i="2"/>
  <c r="B11" i="2"/>
  <c r="E11" i="2"/>
  <c r="K11" i="1"/>
  <c r="K10" i="1"/>
  <c r="K9" i="1"/>
  <c r="K8" i="1"/>
  <c r="R7" i="1"/>
  <c r="M7" i="1"/>
  <c r="N7" i="1" s="1"/>
  <c r="K7" i="1"/>
  <c r="I7" i="1"/>
  <c r="J7" i="1" s="1"/>
  <c r="H7" i="1"/>
  <c r="R6" i="1"/>
  <c r="M6" i="1"/>
  <c r="N6" i="1" s="1"/>
  <c r="K6" i="1"/>
  <c r="I6" i="1"/>
  <c r="H6" i="1"/>
  <c r="R5" i="1"/>
  <c r="M5" i="1"/>
  <c r="N5" i="1" s="1"/>
  <c r="K5" i="1"/>
  <c r="I5" i="1"/>
  <c r="H5" i="1"/>
  <c r="R4" i="1"/>
  <c r="M4" i="1"/>
  <c r="N4" i="1" s="1"/>
  <c r="K4" i="1"/>
  <c r="I4" i="1"/>
  <c r="H4" i="1"/>
  <c r="R3" i="1"/>
  <c r="M3" i="1"/>
  <c r="N3" i="1" s="1"/>
  <c r="K3" i="1"/>
  <c r="I3" i="1"/>
  <c r="H3" i="1"/>
  <c r="R2" i="1"/>
  <c r="M2" i="1"/>
  <c r="N2" i="1" s="1"/>
  <c r="K2" i="1"/>
  <c r="I2" i="1"/>
  <c r="H2" i="1"/>
  <c r="E56" i="2" l="1"/>
  <c r="C64" i="2"/>
  <c r="C49" i="2"/>
  <c r="E70" i="2"/>
  <c r="E63" i="2"/>
  <c r="C56" i="2"/>
  <c r="C48" i="2"/>
  <c r="C70" i="2"/>
  <c r="D70" i="2" s="1"/>
  <c r="B63" i="2"/>
  <c r="E54" i="2"/>
  <c r="C47" i="2"/>
  <c r="C69" i="2"/>
  <c r="E62" i="2"/>
  <c r="C54" i="2"/>
  <c r="C46" i="2"/>
  <c r="C68" i="2"/>
  <c r="E60" i="2"/>
  <c r="C53" i="2"/>
  <c r="B45" i="2"/>
  <c r="B67" i="2"/>
  <c r="C60" i="2"/>
  <c r="C52" i="2"/>
  <c r="D52" i="2" s="1"/>
  <c r="F52" i="2" s="1"/>
  <c r="B44" i="2"/>
  <c r="B66" i="2"/>
  <c r="B59" i="2"/>
  <c r="B52" i="2"/>
  <c r="C42" i="2"/>
  <c r="E64" i="2"/>
  <c r="B58" i="2"/>
  <c r="E50" i="2"/>
  <c r="B48" i="2"/>
  <c r="B46" i="2"/>
  <c r="D46" i="2" s="1"/>
  <c r="E43" i="2"/>
  <c r="B68" i="2"/>
  <c r="B64" i="2"/>
  <c r="C62" i="2"/>
  <c r="B60" i="2"/>
  <c r="B56" i="2"/>
  <c r="B54" i="2"/>
  <c r="E51" i="2"/>
  <c r="E45" i="2"/>
  <c r="C43" i="2"/>
  <c r="E69" i="2"/>
  <c r="E67" i="2"/>
  <c r="B62" i="2"/>
  <c r="E59" i="2"/>
  <c r="E53" i="2"/>
  <c r="C51" i="2"/>
  <c r="E49" i="2"/>
  <c r="E47" i="2"/>
  <c r="B43" i="2"/>
  <c r="C67" i="2"/>
  <c r="E65" i="2"/>
  <c r="E61" i="2"/>
  <c r="C59" i="2"/>
  <c r="D59" i="2" s="1"/>
  <c r="E57" i="2"/>
  <c r="E55" i="2"/>
  <c r="B51" i="2"/>
  <c r="C45" i="2"/>
  <c r="D45" i="2" s="1"/>
  <c r="E42" i="2"/>
  <c r="B69" i="2"/>
  <c r="E66" i="2"/>
  <c r="C65" i="2"/>
  <c r="C61" i="2"/>
  <c r="E58" i="2"/>
  <c r="C57" i="2"/>
  <c r="C55" i="2"/>
  <c r="B53" i="2"/>
  <c r="C50" i="2"/>
  <c r="B49" i="2"/>
  <c r="B47" i="2"/>
  <c r="E44" i="2"/>
  <c r="B42" i="2"/>
  <c r="E68" i="2"/>
  <c r="C66" i="2"/>
  <c r="B65" i="2"/>
  <c r="C63" i="2"/>
  <c r="D63" i="2" s="1"/>
  <c r="B61" i="2"/>
  <c r="C58" i="2"/>
  <c r="D58" i="2" s="1"/>
  <c r="B57" i="2"/>
  <c r="B55" i="2"/>
  <c r="E52" i="2"/>
  <c r="B50" i="2"/>
  <c r="E48" i="2"/>
  <c r="E46" i="2"/>
  <c r="C44" i="2"/>
  <c r="D44" i="2" s="1"/>
  <c r="E14" i="2"/>
  <c r="C13" i="2"/>
  <c r="C12" i="2"/>
  <c r="G7" i="2"/>
  <c r="I3" i="2"/>
  <c r="G2" i="2"/>
  <c r="G4" i="2"/>
  <c r="B14" i="2"/>
  <c r="E12" i="2"/>
  <c r="B13" i="2"/>
  <c r="B12" i="2"/>
  <c r="E13" i="2"/>
  <c r="C14" i="2"/>
  <c r="D11" i="2"/>
  <c r="F11" i="2" s="1"/>
  <c r="J3" i="1"/>
  <c r="J6" i="1"/>
  <c r="J4" i="1"/>
  <c r="J5" i="1"/>
  <c r="L7" i="1"/>
  <c r="L6" i="1"/>
  <c r="L5" i="1"/>
  <c r="L4" i="1"/>
  <c r="J2" i="1"/>
  <c r="L2" i="1" s="1"/>
  <c r="P6" i="1"/>
  <c r="Q6" i="1" s="1"/>
  <c r="O6" i="1"/>
  <c r="P3" i="1"/>
  <c r="Q3" i="1" s="1"/>
  <c r="O3" i="1"/>
  <c r="P7" i="1"/>
  <c r="Q7" i="1" s="1"/>
  <c r="O7" i="1"/>
  <c r="P5" i="1"/>
  <c r="Q5" i="1" s="1"/>
  <c r="O5" i="1"/>
  <c r="P2" i="1"/>
  <c r="O2" i="1"/>
  <c r="L3" i="1"/>
  <c r="P4" i="1"/>
  <c r="Q4" i="1" s="1"/>
  <c r="O4" i="1"/>
  <c r="F46" i="2" l="1"/>
  <c r="D54" i="2"/>
  <c r="G54" i="2" s="1"/>
  <c r="F44" i="2"/>
  <c r="D48" i="2"/>
  <c r="I48" i="2" s="1"/>
  <c r="D50" i="2"/>
  <c r="G50" i="2" s="1"/>
  <c r="D62" i="2"/>
  <c r="G62" i="2" s="1"/>
  <c r="I44" i="2"/>
  <c r="I46" i="2"/>
  <c r="L46" i="2" s="1"/>
  <c r="D42" i="2"/>
  <c r="G58" i="2"/>
  <c r="F58" i="2"/>
  <c r="G59" i="2"/>
  <c r="F59" i="2"/>
  <c r="G70" i="2"/>
  <c r="F70" i="2"/>
  <c r="I70" i="2"/>
  <c r="O70" i="2" s="1"/>
  <c r="I54" i="2"/>
  <c r="F54" i="2"/>
  <c r="D66" i="2"/>
  <c r="I66" i="2" s="1"/>
  <c r="G66" i="2"/>
  <c r="I52" i="2"/>
  <c r="D67" i="2"/>
  <c r="I67" i="2" s="1"/>
  <c r="G44" i="2"/>
  <c r="G52" i="2"/>
  <c r="I58" i="2"/>
  <c r="O58" i="2" s="1"/>
  <c r="D43" i="2"/>
  <c r="I43" i="2" s="1"/>
  <c r="D60" i="2"/>
  <c r="G63" i="2"/>
  <c r="F63" i="2"/>
  <c r="I63" i="2"/>
  <c r="O63" i="2" s="1"/>
  <c r="G67" i="2"/>
  <c r="I45" i="2"/>
  <c r="F45" i="2"/>
  <c r="G45" i="2"/>
  <c r="I60" i="2"/>
  <c r="F60" i="2"/>
  <c r="L60" i="2" s="1"/>
  <c r="G60" i="2"/>
  <c r="G64" i="2"/>
  <c r="D49" i="2"/>
  <c r="F49" i="2" s="1"/>
  <c r="D65" i="2"/>
  <c r="F65" i="2" s="1"/>
  <c r="D69" i="2"/>
  <c r="F69" i="2" s="1"/>
  <c r="D53" i="2"/>
  <c r="G53" i="2" s="1"/>
  <c r="D56" i="2"/>
  <c r="I56" i="2" s="1"/>
  <c r="D64" i="2"/>
  <c r="I59" i="2"/>
  <c r="L59" i="2" s="1"/>
  <c r="D55" i="2"/>
  <c r="F55" i="2" s="1"/>
  <c r="D68" i="2"/>
  <c r="F68" i="2" s="1"/>
  <c r="D51" i="2"/>
  <c r="G46" i="2"/>
  <c r="D57" i="2"/>
  <c r="I57" i="2" s="1"/>
  <c r="F57" i="2"/>
  <c r="I65" i="2"/>
  <c r="D61" i="2"/>
  <c r="D47" i="2"/>
  <c r="F47" i="2" s="1"/>
  <c r="L58" i="2"/>
  <c r="D13" i="2"/>
  <c r="F13" i="2" s="1"/>
  <c r="D14" i="2"/>
  <c r="F14" i="2" s="1"/>
  <c r="G6" i="2"/>
  <c r="I2" i="2"/>
  <c r="H45" i="2" s="1"/>
  <c r="I11" i="2"/>
  <c r="L11" i="2" s="1"/>
  <c r="G8" i="2"/>
  <c r="I4" i="2"/>
  <c r="D12" i="2"/>
  <c r="F12" i="2" s="1"/>
  <c r="G11" i="2"/>
  <c r="C15" i="2"/>
  <c r="B15" i="2"/>
  <c r="E15" i="2"/>
  <c r="S7" i="1"/>
  <c r="Q2" i="1"/>
  <c r="S2" i="1" s="1"/>
  <c r="S6" i="1"/>
  <c r="S5" i="1"/>
  <c r="S4" i="1"/>
  <c r="S3" i="1"/>
  <c r="O52" i="2" l="1"/>
  <c r="O44" i="2"/>
  <c r="I50" i="2"/>
  <c r="F62" i="2"/>
  <c r="O45" i="2"/>
  <c r="L44" i="2"/>
  <c r="O67" i="2"/>
  <c r="O46" i="2"/>
  <c r="O60" i="2"/>
  <c r="F67" i="2"/>
  <c r="L67" i="2" s="1"/>
  <c r="F43" i="2"/>
  <c r="L43" i="2" s="1"/>
  <c r="O54" i="2"/>
  <c r="G65" i="2"/>
  <c r="O65" i="2" s="1"/>
  <c r="I62" i="2"/>
  <c r="G48" i="2"/>
  <c r="O48" i="2" s="1"/>
  <c r="O50" i="2"/>
  <c r="F50" i="2"/>
  <c r="L50" i="2" s="1"/>
  <c r="F48" i="2"/>
  <c r="L48" i="2" s="1"/>
  <c r="F42" i="2"/>
  <c r="G42" i="2"/>
  <c r="I42" i="2"/>
  <c r="L70" i="2"/>
  <c r="L54" i="2"/>
  <c r="O66" i="2"/>
  <c r="L52" i="2"/>
  <c r="G56" i="2"/>
  <c r="O56" i="2" s="1"/>
  <c r="L63" i="2"/>
  <c r="G13" i="2"/>
  <c r="G43" i="2"/>
  <c r="O43" i="2" s="1"/>
  <c r="I49" i="2"/>
  <c r="O49" i="2" s="1"/>
  <c r="F56" i="2"/>
  <c r="L56" i="2" s="1"/>
  <c r="O59" i="2"/>
  <c r="F66" i="2"/>
  <c r="L66" i="2" s="1"/>
  <c r="I12" i="2"/>
  <c r="L12" i="2" s="1"/>
  <c r="G49" i="2"/>
  <c r="L45" i="2"/>
  <c r="J48" i="2"/>
  <c r="J56" i="2"/>
  <c r="J51" i="2"/>
  <c r="J64" i="2"/>
  <c r="J53" i="2"/>
  <c r="J69" i="2"/>
  <c r="M69" i="2" s="1"/>
  <c r="J55" i="2"/>
  <c r="M55" i="2" s="1"/>
  <c r="J42" i="2"/>
  <c r="J68" i="2"/>
  <c r="M68" i="2" s="1"/>
  <c r="J44" i="2"/>
  <c r="P44" i="2" s="1"/>
  <c r="J43" i="2"/>
  <c r="J45" i="2"/>
  <c r="J62" i="2"/>
  <c r="P62" i="2" s="1"/>
  <c r="J59" i="2"/>
  <c r="P59" i="2" s="1"/>
  <c r="J67" i="2"/>
  <c r="P67" i="2" s="1"/>
  <c r="J47" i="2"/>
  <c r="M47" i="2" s="1"/>
  <c r="J50" i="2"/>
  <c r="P50" i="2" s="1"/>
  <c r="J66" i="2"/>
  <c r="P66" i="2" s="1"/>
  <c r="J52" i="2"/>
  <c r="J70" i="2"/>
  <c r="P70" i="2" s="1"/>
  <c r="J60" i="2"/>
  <c r="P60" i="2" s="1"/>
  <c r="J61" i="2"/>
  <c r="J46" i="2"/>
  <c r="P46" i="2" s="1"/>
  <c r="J54" i="2"/>
  <c r="P54" i="2" s="1"/>
  <c r="J63" i="2"/>
  <c r="P63" i="2" s="1"/>
  <c r="J58" i="2"/>
  <c r="H69" i="2"/>
  <c r="K69" i="2" s="1"/>
  <c r="I69" i="2"/>
  <c r="L69" i="2" s="1"/>
  <c r="G69" i="2"/>
  <c r="G51" i="2"/>
  <c r="F51" i="2"/>
  <c r="I51" i="2"/>
  <c r="G55" i="2"/>
  <c r="I55" i="2"/>
  <c r="L65" i="2"/>
  <c r="N45" i="2"/>
  <c r="G47" i="2"/>
  <c r="I47" i="2"/>
  <c r="J65" i="2"/>
  <c r="M65" i="2" s="1"/>
  <c r="I64" i="2"/>
  <c r="O64" i="2" s="1"/>
  <c r="F64" i="2"/>
  <c r="G14" i="2"/>
  <c r="H61" i="2"/>
  <c r="G61" i="2"/>
  <c r="I61" i="2"/>
  <c r="L57" i="2"/>
  <c r="H53" i="2"/>
  <c r="N53" i="2" s="1"/>
  <c r="I53" i="2"/>
  <c r="O53" i="2" s="1"/>
  <c r="I13" i="2"/>
  <c r="L13" i="2" s="1"/>
  <c r="H57" i="2"/>
  <c r="K57" i="2" s="1"/>
  <c r="H65" i="2"/>
  <c r="H49" i="2"/>
  <c r="N49" i="2" s="1"/>
  <c r="H58" i="2"/>
  <c r="K58" i="2" s="1"/>
  <c r="H67" i="2"/>
  <c r="N67" i="2" s="1"/>
  <c r="H59" i="2"/>
  <c r="N59" i="2" s="1"/>
  <c r="H44" i="2"/>
  <c r="K44" i="2" s="1"/>
  <c r="H43" i="2"/>
  <c r="H55" i="2"/>
  <c r="H42" i="2"/>
  <c r="H52" i="2"/>
  <c r="H62" i="2"/>
  <c r="K62" i="2" s="1"/>
  <c r="H70" i="2"/>
  <c r="N70" i="2" s="1"/>
  <c r="H47" i="2"/>
  <c r="H46" i="2"/>
  <c r="K46" i="2" s="1"/>
  <c r="H54" i="2"/>
  <c r="N54" i="2" s="1"/>
  <c r="H68" i="2"/>
  <c r="K68" i="2" s="1"/>
  <c r="H50" i="2"/>
  <c r="N50" i="2" s="1"/>
  <c r="H66" i="2"/>
  <c r="N66" i="2" s="1"/>
  <c r="H48" i="2"/>
  <c r="K48" i="2" s="1"/>
  <c r="H56" i="2"/>
  <c r="H60" i="2"/>
  <c r="K60" i="2" s="1"/>
  <c r="H51" i="2"/>
  <c r="H64" i="2"/>
  <c r="F61" i="2"/>
  <c r="J57" i="2"/>
  <c r="M57" i="2" s="1"/>
  <c r="G57" i="2"/>
  <c r="F53" i="2"/>
  <c r="K45" i="2"/>
  <c r="I68" i="2"/>
  <c r="L68" i="2" s="1"/>
  <c r="G68" i="2"/>
  <c r="J49" i="2"/>
  <c r="P49" i="2" s="1"/>
  <c r="H63" i="2"/>
  <c r="K63" i="2" s="1"/>
  <c r="O11" i="2"/>
  <c r="I14" i="2"/>
  <c r="L14" i="2" s="1"/>
  <c r="J12" i="2"/>
  <c r="M12" i="2" s="1"/>
  <c r="J11" i="2"/>
  <c r="J13" i="2"/>
  <c r="J14" i="2"/>
  <c r="M14" i="2" s="1"/>
  <c r="H13" i="2"/>
  <c r="N13" i="2" s="1"/>
  <c r="H11" i="2"/>
  <c r="N11" i="2" s="1"/>
  <c r="H14" i="2"/>
  <c r="H12" i="2"/>
  <c r="K12" i="2" s="1"/>
  <c r="G12" i="2"/>
  <c r="B16" i="2"/>
  <c r="C16" i="2"/>
  <c r="E16" i="2"/>
  <c r="D15" i="2"/>
  <c r="I15" i="2" s="1"/>
  <c r="P48" i="2" l="1"/>
  <c r="M56" i="2"/>
  <c r="P13" i="2"/>
  <c r="K42" i="2"/>
  <c r="N46" i="2"/>
  <c r="M64" i="2"/>
  <c r="N57" i="2"/>
  <c r="N65" i="2"/>
  <c r="O42" i="2"/>
  <c r="O13" i="2"/>
  <c r="N61" i="2"/>
  <c r="K59" i="2"/>
  <c r="K61" i="2"/>
  <c r="L42" i="2"/>
  <c r="M60" i="2"/>
  <c r="N55" i="2"/>
  <c r="O55" i="2"/>
  <c r="K66" i="2"/>
  <c r="P65" i="2"/>
  <c r="P42" i="2"/>
  <c r="L53" i="2"/>
  <c r="O47" i="2"/>
  <c r="L62" i="2"/>
  <c r="O62" i="2"/>
  <c r="P64" i="2"/>
  <c r="M51" i="2"/>
  <c r="L49" i="2"/>
  <c r="M66" i="2"/>
  <c r="M42" i="2"/>
  <c r="M46" i="2"/>
  <c r="N48" i="2"/>
  <c r="L61" i="2"/>
  <c r="M63" i="2"/>
  <c r="M61" i="2"/>
  <c r="N63" i="2"/>
  <c r="M67" i="2"/>
  <c r="M54" i="2"/>
  <c r="M48" i="2"/>
  <c r="N14" i="2"/>
  <c r="N58" i="2"/>
  <c r="N62" i="2"/>
  <c r="P43" i="2"/>
  <c r="M50" i="2"/>
  <c r="K64" i="2"/>
  <c r="N60" i="2"/>
  <c r="N51" i="2"/>
  <c r="P56" i="2"/>
  <c r="K50" i="2"/>
  <c r="M53" i="2"/>
  <c r="P53" i="2"/>
  <c r="N43" i="2"/>
  <c r="K43" i="2"/>
  <c r="P61" i="2"/>
  <c r="O61" i="2"/>
  <c r="M59" i="2"/>
  <c r="M45" i="2"/>
  <c r="P45" i="2"/>
  <c r="N69" i="2"/>
  <c r="O57" i="2"/>
  <c r="P57" i="2"/>
  <c r="K55" i="2"/>
  <c r="L51" i="2"/>
  <c r="K51" i="2"/>
  <c r="M62" i="2"/>
  <c r="M52" i="2"/>
  <c r="P52" i="2"/>
  <c r="K49" i="2"/>
  <c r="P68" i="2"/>
  <c r="N68" i="2"/>
  <c r="O68" i="2"/>
  <c r="K53" i="2"/>
  <c r="N47" i="2"/>
  <c r="N64" i="2"/>
  <c r="O51" i="2"/>
  <c r="P51" i="2"/>
  <c r="M58" i="2"/>
  <c r="P58" i="2"/>
  <c r="K67" i="2"/>
  <c r="N42" i="2"/>
  <c r="N56" i="2"/>
  <c r="K56" i="2"/>
  <c r="K70" i="2"/>
  <c r="N44" i="2"/>
  <c r="M70" i="2"/>
  <c r="L55" i="2"/>
  <c r="K54" i="2"/>
  <c r="M49" i="2"/>
  <c r="M44" i="2"/>
  <c r="L64" i="2"/>
  <c r="O69" i="2"/>
  <c r="P69" i="2"/>
  <c r="P47" i="2"/>
  <c r="L47" i="2"/>
  <c r="K65" i="2"/>
  <c r="K52" i="2"/>
  <c r="N52" i="2"/>
  <c r="K47" i="2"/>
  <c r="P55" i="2"/>
  <c r="M43" i="2"/>
  <c r="K11" i="2"/>
  <c r="O12" i="2"/>
  <c r="P12" i="2"/>
  <c r="P14" i="2"/>
  <c r="M11" i="2"/>
  <c r="P11" i="2"/>
  <c r="M13" i="2"/>
  <c r="O14" i="2"/>
  <c r="K13" i="2"/>
  <c r="K14" i="2"/>
  <c r="N12" i="2"/>
  <c r="H15" i="2"/>
  <c r="F15" i="2"/>
  <c r="J15" i="2"/>
  <c r="G15" i="2"/>
  <c r="C17" i="2"/>
  <c r="B17" i="2"/>
  <c r="E17" i="2"/>
  <c r="D16" i="2"/>
  <c r="F16" i="2" s="1"/>
  <c r="P15" i="2" l="1"/>
  <c r="O15" i="2"/>
  <c r="N15" i="2"/>
  <c r="L15" i="2"/>
  <c r="M15" i="2"/>
  <c r="K15" i="2"/>
  <c r="I16" i="2"/>
  <c r="L16" i="2" s="1"/>
  <c r="H16" i="2"/>
  <c r="K16" i="2" s="1"/>
  <c r="J16" i="2"/>
  <c r="M16" i="2" s="1"/>
  <c r="G16" i="2"/>
  <c r="D17" i="2"/>
  <c r="B19" i="2"/>
  <c r="E19" i="2"/>
  <c r="C19" i="2"/>
  <c r="B18" i="2"/>
  <c r="C18" i="2"/>
  <c r="E18" i="2"/>
  <c r="O16" i="2" l="1"/>
  <c r="P16" i="2"/>
  <c r="I17" i="2"/>
  <c r="H17" i="2"/>
  <c r="J17" i="2"/>
  <c r="F17" i="2"/>
  <c r="N16" i="2"/>
  <c r="D18" i="2"/>
  <c r="E20" i="2"/>
  <c r="C20" i="2"/>
  <c r="B20" i="2"/>
  <c r="D19" i="2"/>
  <c r="G17" i="2"/>
  <c r="P17" i="2" l="1"/>
  <c r="O17" i="2"/>
  <c r="N17" i="2"/>
  <c r="I19" i="2"/>
  <c r="J19" i="2"/>
  <c r="H19" i="2"/>
  <c r="L17" i="2"/>
  <c r="M17" i="2"/>
  <c r="K17" i="2"/>
  <c r="I18" i="2"/>
  <c r="J18" i="2"/>
  <c r="H18" i="2"/>
  <c r="G18" i="2"/>
  <c r="F18" i="2"/>
  <c r="E21" i="2"/>
  <c r="B21" i="2"/>
  <c r="C21" i="2"/>
  <c r="D20" i="2"/>
  <c r="F19" i="2"/>
  <c r="G19" i="2"/>
  <c r="O19" i="2" l="1"/>
  <c r="P19" i="2"/>
  <c r="P18" i="2"/>
  <c r="O18" i="2"/>
  <c r="I20" i="2"/>
  <c r="H20" i="2"/>
  <c r="J20" i="2"/>
  <c r="L19" i="2"/>
  <c r="M19" i="2"/>
  <c r="K19" i="2"/>
  <c r="L18" i="2"/>
  <c r="K18" i="2"/>
  <c r="M18" i="2"/>
  <c r="N19" i="2"/>
  <c r="N18" i="2"/>
  <c r="G20" i="2"/>
  <c r="F20" i="2"/>
  <c r="D21" i="2"/>
  <c r="C22" i="2"/>
  <c r="E22" i="2"/>
  <c r="B22" i="2"/>
  <c r="O20" i="2" l="1"/>
  <c r="P20" i="2"/>
  <c r="N20" i="2"/>
  <c r="I21" i="2"/>
  <c r="J21" i="2"/>
  <c r="H21" i="2"/>
  <c r="L20" i="2"/>
  <c r="M20" i="2"/>
  <c r="K20" i="2"/>
  <c r="D22" i="2"/>
  <c r="F22" i="2" s="1"/>
  <c r="E23" i="2"/>
  <c r="C23" i="2"/>
  <c r="B23" i="2"/>
  <c r="G21" i="2"/>
  <c r="F21" i="2"/>
  <c r="G22" i="2" l="1"/>
  <c r="P21" i="2"/>
  <c r="O21" i="2"/>
  <c r="N21" i="2"/>
  <c r="L21" i="2"/>
  <c r="M21" i="2"/>
  <c r="K21" i="2"/>
  <c r="I22" i="2"/>
  <c r="H22" i="2"/>
  <c r="N22" i="2" s="1"/>
  <c r="J22" i="2"/>
  <c r="M22" i="2" s="1"/>
  <c r="B24" i="2"/>
  <c r="E24" i="2"/>
  <c r="C24" i="2"/>
  <c r="D23" i="2"/>
  <c r="F23" i="2" s="1"/>
  <c r="O22" i="2" l="1"/>
  <c r="L22" i="2"/>
  <c r="K22" i="2"/>
  <c r="P22" i="2"/>
  <c r="I23" i="2"/>
  <c r="L23" i="2" s="1"/>
  <c r="J23" i="2"/>
  <c r="M23" i="2" s="1"/>
  <c r="H23" i="2"/>
  <c r="K23" i="2" s="1"/>
  <c r="G23" i="2"/>
  <c r="B25" i="2"/>
  <c r="C25" i="2"/>
  <c r="E25" i="2"/>
  <c r="D24" i="2"/>
  <c r="P23" i="2" l="1"/>
  <c r="O23" i="2"/>
  <c r="N23" i="2"/>
  <c r="I24" i="2"/>
  <c r="H24" i="2"/>
  <c r="J24" i="2"/>
  <c r="F24" i="2"/>
  <c r="G24" i="2"/>
  <c r="D25" i="2"/>
  <c r="E26" i="2"/>
  <c r="B26" i="2"/>
  <c r="C26" i="2"/>
  <c r="O24" i="2" l="1"/>
  <c r="P24" i="2"/>
  <c r="I25" i="2"/>
  <c r="J25" i="2"/>
  <c r="H25" i="2"/>
  <c r="N24" i="2"/>
  <c r="L24" i="2"/>
  <c r="M24" i="2"/>
  <c r="K24" i="2"/>
  <c r="G25" i="2"/>
  <c r="D26" i="2"/>
  <c r="F25" i="2"/>
  <c r="B27" i="2"/>
  <c r="E27" i="2"/>
  <c r="C27" i="2"/>
  <c r="P25" i="2" l="1"/>
  <c r="O25" i="2"/>
  <c r="L25" i="2"/>
  <c r="M25" i="2"/>
  <c r="K25" i="2"/>
  <c r="I26" i="2"/>
  <c r="H26" i="2"/>
  <c r="J26" i="2"/>
  <c r="N25" i="2"/>
  <c r="E28" i="2"/>
  <c r="B28" i="2"/>
  <c r="C28" i="2"/>
  <c r="F26" i="2"/>
  <c r="G26" i="2"/>
  <c r="D27" i="2"/>
  <c r="P26" i="2" l="1"/>
  <c r="O26" i="2"/>
  <c r="I27" i="2"/>
  <c r="H27" i="2"/>
  <c r="J27" i="2"/>
  <c r="L26" i="2"/>
  <c r="K26" i="2"/>
  <c r="M26" i="2"/>
  <c r="N26" i="2"/>
  <c r="G27" i="2"/>
  <c r="D28" i="2"/>
  <c r="G28" i="2" s="1"/>
  <c r="E29" i="2"/>
  <c r="C29" i="2"/>
  <c r="B29" i="2"/>
  <c r="F27" i="2"/>
  <c r="F28" i="2" l="1"/>
  <c r="P27" i="2"/>
  <c r="O27" i="2"/>
  <c r="I28" i="2"/>
  <c r="J28" i="2"/>
  <c r="H28" i="2"/>
  <c r="N28" i="2" s="1"/>
  <c r="L27" i="2"/>
  <c r="K27" i="2"/>
  <c r="M27" i="2"/>
  <c r="N27" i="2"/>
  <c r="C30" i="2"/>
  <c r="E30" i="2"/>
  <c r="B30" i="2"/>
  <c r="D29" i="2"/>
  <c r="M28" i="2" l="1"/>
  <c r="L28" i="2"/>
  <c r="O28" i="2"/>
  <c r="P28" i="2"/>
  <c r="K28" i="2"/>
  <c r="I29" i="2"/>
  <c r="H29" i="2"/>
  <c r="J29" i="2"/>
  <c r="D30" i="2"/>
  <c r="F29" i="2"/>
  <c r="G29" i="2"/>
  <c r="C31" i="2"/>
  <c r="E31" i="2"/>
  <c r="B31" i="2"/>
  <c r="O29" i="2" l="1"/>
  <c r="P29" i="2"/>
  <c r="N29" i="2"/>
  <c r="I30" i="2"/>
  <c r="J30" i="2"/>
  <c r="H30" i="2"/>
  <c r="L29" i="2"/>
  <c r="K29" i="2"/>
  <c r="M29" i="2"/>
  <c r="G30" i="2"/>
  <c r="F30" i="2"/>
  <c r="B32" i="2"/>
  <c r="E32" i="2"/>
  <c r="C32" i="2"/>
  <c r="D31" i="2"/>
  <c r="P30" i="2" l="1"/>
  <c r="O30" i="2"/>
  <c r="N30" i="2"/>
  <c r="L30" i="2"/>
  <c r="K30" i="2"/>
  <c r="M30" i="2"/>
  <c r="I31" i="2"/>
  <c r="J31" i="2"/>
  <c r="H31" i="2"/>
  <c r="G31" i="2"/>
  <c r="D32" i="2"/>
  <c r="F31" i="2"/>
  <c r="C33" i="2"/>
  <c r="E33" i="2"/>
  <c r="B33" i="2"/>
  <c r="O31" i="2" l="1"/>
  <c r="P31" i="2"/>
  <c r="L31" i="2"/>
  <c r="M31" i="2"/>
  <c r="K31" i="2"/>
  <c r="I32" i="2"/>
  <c r="J32" i="2"/>
  <c r="H32" i="2"/>
  <c r="N31" i="2"/>
  <c r="F32" i="2"/>
  <c r="E34" i="2"/>
  <c r="B34" i="2"/>
  <c r="C34" i="2"/>
  <c r="G32" i="2"/>
  <c r="D33" i="2"/>
  <c r="O32" i="2" l="1"/>
  <c r="P32" i="2"/>
  <c r="I33" i="2"/>
  <c r="J33" i="2"/>
  <c r="H33" i="2"/>
  <c r="N32" i="2"/>
  <c r="L32" i="2"/>
  <c r="M32" i="2"/>
  <c r="K32" i="2"/>
  <c r="G33" i="2"/>
  <c r="F33" i="2"/>
  <c r="D34" i="2"/>
  <c r="G34" i="2" s="1"/>
  <c r="B35" i="2"/>
  <c r="E35" i="2"/>
  <c r="C35" i="2"/>
  <c r="O33" i="2" l="1"/>
  <c r="P33" i="2"/>
  <c r="I34" i="2"/>
  <c r="O34" i="2" s="1"/>
  <c r="J34" i="2"/>
  <c r="P34" i="2" s="1"/>
  <c r="H34" i="2"/>
  <c r="N34" i="2" s="1"/>
  <c r="L33" i="2"/>
  <c r="K33" i="2"/>
  <c r="M33" i="2"/>
  <c r="N33" i="2"/>
  <c r="F34" i="2"/>
  <c r="E36" i="2"/>
  <c r="B36" i="2"/>
  <c r="C36" i="2"/>
  <c r="D35" i="2"/>
  <c r="G35" i="2" s="1"/>
  <c r="L34" i="2" l="1"/>
  <c r="M34" i="2"/>
  <c r="K34" i="2"/>
  <c r="I35" i="2"/>
  <c r="O35" i="2" s="1"/>
  <c r="H35" i="2"/>
  <c r="N35" i="2" s="1"/>
  <c r="J35" i="2"/>
  <c r="P35" i="2" s="1"/>
  <c r="D36" i="2"/>
  <c r="G36" i="2" s="1"/>
  <c r="F35" i="2"/>
  <c r="E37" i="2"/>
  <c r="C37" i="2"/>
  <c r="B37" i="2"/>
  <c r="F36" i="2" l="1"/>
  <c r="L35" i="2"/>
  <c r="M35" i="2"/>
  <c r="K35" i="2"/>
  <c r="I36" i="2"/>
  <c r="O36" i="2" s="1"/>
  <c r="J36" i="2"/>
  <c r="H36" i="2"/>
  <c r="C38" i="2"/>
  <c r="E38" i="2"/>
  <c r="B38" i="2"/>
  <c r="D37" i="2"/>
  <c r="G37" i="2" s="1"/>
  <c r="K36" i="2" l="1"/>
  <c r="M36" i="2"/>
  <c r="N36" i="2"/>
  <c r="L36" i="2"/>
  <c r="P36" i="2"/>
  <c r="I37" i="2"/>
  <c r="O37" i="2" s="1"/>
  <c r="H37" i="2"/>
  <c r="N37" i="2" s="1"/>
  <c r="J37" i="2"/>
  <c r="P37" i="2" s="1"/>
  <c r="F37" i="2"/>
  <c r="D38" i="2"/>
  <c r="C39" i="2"/>
  <c r="E39" i="2"/>
  <c r="B39" i="2"/>
  <c r="I38" i="2" l="1"/>
  <c r="H38" i="2"/>
  <c r="J38" i="2"/>
  <c r="L37" i="2"/>
  <c r="M37" i="2"/>
  <c r="K37" i="2"/>
  <c r="F38" i="2"/>
  <c r="G38" i="2"/>
  <c r="B40" i="2"/>
  <c r="C40" i="2"/>
  <c r="E40" i="2"/>
  <c r="D39" i="2"/>
  <c r="O38" i="2" l="1"/>
  <c r="P38" i="2"/>
  <c r="N38" i="2"/>
  <c r="L38" i="2"/>
  <c r="M38" i="2"/>
  <c r="K38" i="2"/>
  <c r="I39" i="2"/>
  <c r="J39" i="2"/>
  <c r="H39" i="2"/>
  <c r="F39" i="2"/>
  <c r="G39" i="2"/>
  <c r="E41" i="2"/>
  <c r="B41" i="2"/>
  <c r="C41" i="2"/>
  <c r="D40" i="2"/>
  <c r="P39" i="2" l="1"/>
  <c r="O39" i="2"/>
  <c r="N39" i="2"/>
  <c r="L39" i="2"/>
  <c r="M39" i="2"/>
  <c r="K39" i="2"/>
  <c r="I40" i="2"/>
  <c r="H40" i="2"/>
  <c r="J40" i="2"/>
  <c r="F40" i="2"/>
  <c r="D41" i="2"/>
  <c r="G41" i="2"/>
  <c r="F41" i="2"/>
  <c r="G40" i="2"/>
  <c r="P40" i="2" l="1"/>
  <c r="O40" i="2"/>
  <c r="N40" i="2"/>
  <c r="L40" i="2"/>
  <c r="M40" i="2"/>
  <c r="K40" i="2"/>
  <c r="I41" i="2"/>
  <c r="L41" i="2" s="1"/>
  <c r="L3" i="2" s="1"/>
  <c r="M3" i="2" s="1"/>
  <c r="H41" i="2"/>
  <c r="N41" i="2" s="1"/>
  <c r="L5" i="2" s="1"/>
  <c r="M5" i="2" s="1"/>
  <c r="J41" i="2"/>
  <c r="M41" i="2" s="1"/>
  <c r="L4" i="2" l="1"/>
  <c r="M4" i="2" s="1"/>
  <c r="P41" i="2"/>
  <c r="L7" i="2" s="1"/>
  <c r="M7" i="2" s="1"/>
  <c r="O41" i="2"/>
  <c r="L6" i="2" s="1"/>
  <c r="M6" i="2" s="1"/>
  <c r="K41" i="2"/>
  <c r="L2" i="2" s="1"/>
  <c r="M2" i="2" s="1"/>
</calcChain>
</file>

<file path=xl/sharedStrings.xml><?xml version="1.0" encoding="utf-8"?>
<sst xmlns="http://schemas.openxmlformats.org/spreadsheetml/2006/main" count="55" uniqueCount="52">
  <si>
    <t>N1(60)</t>
  </si>
  <si>
    <t>FC (%)</t>
  </si>
  <si>
    <t>a_max (g)</t>
  </si>
  <si>
    <t>Mw</t>
  </si>
  <si>
    <t>u (kPa)</t>
  </si>
  <si>
    <t>rd</t>
  </si>
  <si>
    <t>CSR</t>
  </si>
  <si>
    <t>(N1)60cs</t>
  </si>
  <si>
    <t>CRR_7.5</t>
  </si>
  <si>
    <t>MSF</t>
  </si>
  <si>
    <t>FS</t>
  </si>
  <si>
    <t>Profundidade (m)</t>
  </si>
  <si>
    <t>Profundidade da água (m)</t>
  </si>
  <si>
    <r>
      <rPr>
        <sz val="10"/>
        <color theme="1"/>
        <rFont val="Aptos Narrow"/>
        <family val="2"/>
      </rPr>
      <t>γ</t>
    </r>
    <r>
      <rPr>
        <sz val="10"/>
        <color theme="1"/>
        <rFont val="Arial"/>
        <scheme val="minor"/>
      </rPr>
      <t xml:space="preserve"> (kN/m3)</t>
    </r>
  </si>
  <si>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scheme val="minor"/>
      </rPr>
      <t>v (kPa)</t>
    </r>
  </si>
  <si>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scheme val="minor"/>
      </rPr>
      <t>v' (kPa)</t>
    </r>
  </si>
  <si>
    <r>
      <rPr>
        <sz val="10"/>
        <color theme="1"/>
        <rFont val="Aptos Narrow"/>
        <family val="2"/>
      </rPr>
      <t>Δ</t>
    </r>
    <r>
      <rPr>
        <sz val="10"/>
        <color theme="1"/>
        <rFont val="Arial"/>
        <scheme val="minor"/>
      </rPr>
      <t>N1(60)</t>
    </r>
  </si>
  <si>
    <r>
      <t>C</t>
    </r>
    <r>
      <rPr>
        <sz val="10"/>
        <color theme="1"/>
        <rFont val="Aptos Narrow"/>
        <family val="2"/>
      </rPr>
      <t>σ</t>
    </r>
  </si>
  <si>
    <r>
      <t>K</t>
    </r>
    <r>
      <rPr>
        <sz val="10"/>
        <color theme="1"/>
        <rFont val="Aptos Narrow"/>
        <family val="2"/>
      </rPr>
      <t>σ</t>
    </r>
  </si>
  <si>
    <r>
      <t>K</t>
    </r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family val="2"/>
        <scheme val="minor"/>
      </rPr>
      <t>_min</t>
    </r>
  </si>
  <si>
    <r>
      <t>K</t>
    </r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family val="2"/>
        <scheme val="minor"/>
      </rPr>
      <t>_méd</t>
    </r>
  </si>
  <si>
    <r>
      <t>K</t>
    </r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family val="2"/>
        <scheme val="minor"/>
      </rPr>
      <t>_max</t>
    </r>
  </si>
  <si>
    <t>NA (m)</t>
  </si>
  <si>
    <t>Prof. (m)</t>
  </si>
  <si>
    <t>N1(60)cs_min</t>
  </si>
  <si>
    <t>N1(60)cs_méd</t>
  </si>
  <si>
    <t>N1(60)cs_máx</t>
  </si>
  <si>
    <t>Mw_min</t>
  </si>
  <si>
    <t>Mw_méd</t>
  </si>
  <si>
    <t>Mw_máx</t>
  </si>
  <si>
    <t>a0_max</t>
  </si>
  <si>
    <t>a0_min</t>
  </si>
  <si>
    <t>Inputs</t>
  </si>
  <si>
    <t>Calcs</t>
  </si>
  <si>
    <t>N1(60)_mín</t>
  </si>
  <si>
    <t>N1(60)_máx</t>
  </si>
  <si>
    <t>N1(60)_méd</t>
  </si>
  <si>
    <t>CRR_7,5_mín</t>
  </si>
  <si>
    <t>CRR_7,5_méd</t>
  </si>
  <si>
    <t>CRR_7,5_máx</t>
  </si>
  <si>
    <t>Cσ_mín</t>
  </si>
  <si>
    <t>Cσ_méd</t>
  </si>
  <si>
    <t>Cσ_máx</t>
  </si>
  <si>
    <t>MSF_mín</t>
  </si>
  <si>
    <t>MSF_méd</t>
  </si>
  <si>
    <t>MSF_má</t>
  </si>
  <si>
    <t>Prof de liquefação</t>
  </si>
  <si>
    <t>FS mínimos</t>
  </si>
  <si>
    <r>
      <rPr>
        <sz val="10"/>
        <color theme="1"/>
        <rFont val="Aptos Narrow"/>
        <family val="2"/>
      </rPr>
      <t>γ</t>
    </r>
    <r>
      <rPr>
        <sz val="10"/>
        <color theme="1"/>
        <rFont val="Arial"/>
        <family val="2"/>
        <scheme val="minor"/>
      </rPr>
      <t xml:space="preserve"> (kN/m3)</t>
    </r>
  </si>
  <si>
    <r>
      <rPr>
        <sz val="10"/>
        <color theme="1"/>
        <rFont val="Aptos Narrow"/>
        <family val="2"/>
      </rPr>
      <t>Δ</t>
    </r>
    <r>
      <rPr>
        <sz val="10"/>
        <color theme="1"/>
        <rFont val="Arial"/>
        <family val="2"/>
        <scheme val="minor"/>
      </rPr>
      <t>N1(60)</t>
    </r>
  </si>
  <si>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family val="2"/>
        <scheme val="minor"/>
      </rPr>
      <t>v (kPa)</t>
    </r>
  </si>
  <si>
    <r>
      <rPr>
        <sz val="10"/>
        <color theme="1"/>
        <rFont val="Aptos Narrow"/>
        <family val="2"/>
      </rPr>
      <t>σ</t>
    </r>
    <r>
      <rPr>
        <sz val="10"/>
        <color theme="1"/>
        <rFont val="Arial"/>
        <family val="2"/>
        <scheme val="minor"/>
      </rPr>
      <t>v' (kPa)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</si>
</sst>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ptos Narrow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2" fontId="4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0" xfId="0" applyNumberFormat="1" applyFont="1"/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2527-C5F9-4D70-940A-2A12F3A22037}">
  <sheetPr>
    <outlinePr summaryBelow="0" summaryRight="0"/>
  </sheetPr>
  <dimension ref="A1:AG70"/>
  <sheetViews>
    <sheetView tabSelected="1" workbookViewId="0">
      <selection activeCell="M2" sqref="M2"/>
    </sheetView>
  </sheetViews>
  <sheetFormatPr defaultColWidth="12.5703125" defaultRowHeight="15.75" customHeight="1" x14ac:dyDescent="0.2"/>
  <cols>
    <col min="1" max="1" width="11" style="3" bestFit="1" customWidth="1"/>
    <col min="2" max="2" width="7.7109375" style="3" bestFit="1" customWidth="1"/>
    <col min="3" max="3" width="8.42578125" style="3" bestFit="1" customWidth="1"/>
    <col min="4" max="4" width="8" style="3" bestFit="1" customWidth="1"/>
    <col min="5" max="5" width="3.5703125" style="3" bestFit="1" customWidth="1"/>
    <col min="6" max="6" width="13.140625" style="3" bestFit="1" customWidth="1"/>
    <col min="7" max="7" width="13.28515625" style="3" bestFit="1" customWidth="1"/>
    <col min="8" max="8" width="9.5703125" style="3" bestFit="1" customWidth="1"/>
    <col min="9" max="10" width="7.85546875" style="3" bestFit="1" customWidth="1"/>
    <col min="11" max="11" width="15.28515625" style="3" bestFit="1" customWidth="1"/>
    <col min="12" max="12" width="14.7109375" style="3" bestFit="1" customWidth="1"/>
    <col min="13" max="13" width="15.85546875" style="3" bestFit="1" customWidth="1"/>
    <col min="14" max="14" width="14.7109375" style="3" bestFit="1" customWidth="1"/>
    <col min="15" max="18" width="15.28515625" style="3" bestFit="1" customWidth="1"/>
    <col min="19" max="19" width="7.85546875" style="3" bestFit="1" customWidth="1"/>
    <col min="20" max="20" width="9" style="3" bestFit="1" customWidth="1"/>
    <col min="21" max="21" width="11" style="3" bestFit="1" customWidth="1"/>
    <col min="22" max="22" width="9.5703125" style="3" bestFit="1" customWidth="1"/>
    <col min="23" max="23" width="11.140625" style="3" bestFit="1" customWidth="1"/>
    <col min="24" max="25" width="11.7109375" style="3" bestFit="1" customWidth="1"/>
    <col min="26" max="26" width="12.140625" style="3" bestFit="1" customWidth="1"/>
    <col min="27" max="28" width="12.7109375" style="3" bestFit="1" customWidth="1"/>
    <col min="29" max="16384" width="12.5703125" style="3"/>
  </cols>
  <sheetData>
    <row r="1" spans="1:33" ht="15.75" customHeight="1" x14ac:dyDescent="0.2">
      <c r="A1" s="19" t="s">
        <v>32</v>
      </c>
      <c r="B1" s="20"/>
      <c r="C1" s="20"/>
      <c r="D1" s="20"/>
      <c r="F1" s="19" t="s">
        <v>33</v>
      </c>
      <c r="G1" s="20"/>
      <c r="H1" s="20"/>
      <c r="I1" s="20"/>
      <c r="K1" s="18" t="s">
        <v>47</v>
      </c>
      <c r="L1" s="18"/>
      <c r="M1" s="10" t="s">
        <v>46</v>
      </c>
    </row>
    <row r="2" spans="1:33" ht="15.75" customHeight="1" x14ac:dyDescent="0.2">
      <c r="A2" s="12" t="s">
        <v>22</v>
      </c>
      <c r="B2" s="8">
        <v>3.5</v>
      </c>
      <c r="C2" s="13" t="s">
        <v>27</v>
      </c>
      <c r="D2" s="9">
        <v>6</v>
      </c>
      <c r="F2" s="13" t="s">
        <v>24</v>
      </c>
      <c r="G2" s="6">
        <f>IF(B5+$G$5&gt;=37.5,37.5,B5+$G$5)</f>
        <v>28.149185446686857</v>
      </c>
      <c r="H2" s="13" t="s">
        <v>40</v>
      </c>
      <c r="I2" s="6">
        <f>1/(18.9-2.55*SQRT(G2))</f>
        <v>0.18619305912528375</v>
      </c>
      <c r="K2" s="13" t="str">
        <f>K10</f>
        <v>FS-a0_min_min</v>
      </c>
      <c r="L2" s="15">
        <f>MIN(K11:K41)</f>
        <v>1.2232864890516852</v>
      </c>
      <c r="M2" s="13">
        <f>_xlfn.XLOOKUP(L2,$K$11:$K$41,$A$11:$A$41,,0,1)</f>
        <v>9</v>
      </c>
    </row>
    <row r="3" spans="1:33" ht="15.75" customHeight="1" x14ac:dyDescent="0.2">
      <c r="A3" s="12" t="s">
        <v>48</v>
      </c>
      <c r="B3" s="8">
        <v>19</v>
      </c>
      <c r="C3" s="13" t="s">
        <v>28</v>
      </c>
      <c r="D3" s="9">
        <v>7.5</v>
      </c>
      <c r="F3" s="13" t="s">
        <v>25</v>
      </c>
      <c r="G3" s="6">
        <f>IF(B6+$G$5&gt;=37.5,37.5,B6+$G$5)</f>
        <v>34.149185446686857</v>
      </c>
      <c r="H3" s="13" t="s">
        <v>41</v>
      </c>
      <c r="I3" s="6">
        <f>1/(18.9-2.55*SQRT(G3))</f>
        <v>0.25009457452025152</v>
      </c>
      <c r="K3" s="13" t="str">
        <f>L10</f>
        <v>FS-a0_min_méd</v>
      </c>
      <c r="L3" s="15">
        <f>MIN(L11:L41)</f>
        <v>2.0018723141160311</v>
      </c>
      <c r="M3" s="13">
        <f>_xlfn.XLOOKUP(L3,$L$11:$L$41,$A$11:$A$41,,0,1)</f>
        <v>9</v>
      </c>
    </row>
    <row r="4" spans="1:33" ht="15.75" customHeight="1" x14ac:dyDescent="0.2">
      <c r="A4" s="12" t="s">
        <v>1</v>
      </c>
      <c r="B4" s="8">
        <v>10</v>
      </c>
      <c r="C4" s="13" t="s">
        <v>29</v>
      </c>
      <c r="D4" s="9">
        <v>8.5</v>
      </c>
      <c r="F4" s="13" t="s">
        <v>26</v>
      </c>
      <c r="G4" s="6">
        <f>IF(B7+$G$5&gt;=37.5,37.5,B7+$G$5)</f>
        <v>37.5</v>
      </c>
      <c r="H4" s="13" t="s">
        <v>42</v>
      </c>
      <c r="I4" s="6">
        <f>1/(18.9-2.55*SQRT(G4))</f>
        <v>0.30446007617119519</v>
      </c>
      <c r="K4" s="13" t="str">
        <f>M10</f>
        <v>FS-a0_min_max</v>
      </c>
      <c r="L4" s="15">
        <f>MIN(M11:M41)</f>
        <v>3.2894898544317597</v>
      </c>
      <c r="M4" s="13">
        <f>_xlfn.XLOOKUP(L4,$M$11:$M$41,$A$11:$A$41,,0,1)</f>
        <v>9</v>
      </c>
      <c r="N4" s="14"/>
      <c r="O4" s="14"/>
      <c r="P4" s="14"/>
      <c r="Q4" s="14"/>
      <c r="R4" s="14"/>
    </row>
    <row r="5" spans="1:33" ht="15.75" customHeight="1" x14ac:dyDescent="0.2">
      <c r="A5" s="13" t="s">
        <v>34</v>
      </c>
      <c r="B5" s="9">
        <v>27</v>
      </c>
      <c r="C5" s="13" t="s">
        <v>31</v>
      </c>
      <c r="D5" s="9">
        <v>0.55000000000000004</v>
      </c>
      <c r="F5" s="12" t="s">
        <v>49</v>
      </c>
      <c r="G5" s="7">
        <f>EXP(1.63+(9.7/($B$4+0.01))-((15.7/($B$4+0.01))^2))</f>
        <v>1.1491854466868581</v>
      </c>
      <c r="H5" s="13" t="s">
        <v>43</v>
      </c>
      <c r="I5" s="6">
        <f>MIN(1.8,6.9*EXP(-D2/4)-0.058)</f>
        <v>1.4815981050241658</v>
      </c>
      <c r="K5" s="13" t="str">
        <f>N10</f>
        <v>FS-a0_max_min</v>
      </c>
      <c r="L5" s="15">
        <f>MIN(N11:N41)</f>
        <v>0.96115366996918172</v>
      </c>
      <c r="M5" s="13">
        <f>_xlfn.XLOOKUP(L5,$N$11:$N$41,$A$11:$A$41,,0,1)</f>
        <v>9</v>
      </c>
      <c r="N5" s="4"/>
      <c r="O5" s="4"/>
      <c r="P5" s="4"/>
      <c r="Q5" s="4"/>
      <c r="R5" s="4"/>
      <c r="W5" s="21"/>
      <c r="X5" s="21"/>
      <c r="Z5" s="21"/>
      <c r="AA5" s="21"/>
      <c r="AC5" s="22"/>
      <c r="AD5" s="22"/>
      <c r="AF5" s="21"/>
      <c r="AG5" s="21"/>
    </row>
    <row r="6" spans="1:33" ht="15.75" customHeight="1" x14ac:dyDescent="0.2">
      <c r="A6" s="13" t="s">
        <v>36</v>
      </c>
      <c r="B6" s="9">
        <v>33</v>
      </c>
      <c r="C6" s="13" t="s">
        <v>30</v>
      </c>
      <c r="D6" s="9">
        <v>0.7</v>
      </c>
      <c r="F6" s="13" t="s">
        <v>37</v>
      </c>
      <c r="G6" s="6">
        <f>EXP((G2/14.1)+(G2/126)^2-(G2/23.6)^3+(G2/25.4)^4-2.8)</f>
        <v>0.38978010807119579</v>
      </c>
      <c r="H6" s="13" t="s">
        <v>44</v>
      </c>
      <c r="I6" s="6">
        <f>MIN(1.8,6.9*EXP(-D3/4)-0.058)</f>
        <v>1.0001492712300064</v>
      </c>
      <c r="K6" s="13" t="str">
        <f>O10</f>
        <v>FS-a0_max_méd</v>
      </c>
      <c r="L6" s="15">
        <f>MIN(O11:O41)</f>
        <v>1.572899675376882</v>
      </c>
      <c r="M6" s="13">
        <f>_xlfn.XLOOKUP(L6,$O$11:$O$41,$A$11:$A$41,,0,1)</f>
        <v>9</v>
      </c>
    </row>
    <row r="7" spans="1:33" ht="15.75" customHeight="1" x14ac:dyDescent="0.2">
      <c r="A7" s="13" t="s">
        <v>35</v>
      </c>
      <c r="B7" s="9">
        <v>58</v>
      </c>
      <c r="C7" s="11"/>
      <c r="F7" s="13" t="s">
        <v>38</v>
      </c>
      <c r="G7" s="6">
        <f>EXP((G3/14.1)+(G3/126)^2-(G3/23.6)^3+(G3/25.4)^4-2.8)</f>
        <v>0.93512629659096602</v>
      </c>
      <c r="H7" s="13" t="s">
        <v>45</v>
      </c>
      <c r="I7" s="6">
        <f>MIN(1.8,6.9*EXP(-D4/4)-0.058)</f>
        <v>0.76608748104036539</v>
      </c>
      <c r="K7" s="13" t="str">
        <f>P10</f>
        <v>FS-a0_max_max</v>
      </c>
      <c r="L7" s="15">
        <f>MIN(P11:P41)</f>
        <v>1.5870355502183808</v>
      </c>
      <c r="M7" s="13">
        <f>_xlfn.XLOOKUP(L7,$P$11:$P$41,$A$11:$A$41,,0,1)</f>
        <v>9</v>
      </c>
    </row>
    <row r="8" spans="1:33" ht="15.75" customHeight="1" x14ac:dyDescent="0.2">
      <c r="C8" s="11"/>
      <c r="F8" s="13" t="s">
        <v>39</v>
      </c>
      <c r="G8" s="6">
        <f>EXP((G4/14.1)+(G4/126)^2-(G4/23.6)^3+(G4/25.4)^4-2.8)</f>
        <v>1.9882146652213786</v>
      </c>
    </row>
    <row r="9" spans="1:33" ht="15.75" customHeight="1" x14ac:dyDescent="0.2">
      <c r="C9" s="11"/>
    </row>
    <row r="10" spans="1:33" ht="15.75" customHeight="1" x14ac:dyDescent="0.25">
      <c r="A10" s="17" t="s">
        <v>23</v>
      </c>
      <c r="B10" s="17" t="s">
        <v>50</v>
      </c>
      <c r="C10" s="17" t="s">
        <v>4</v>
      </c>
      <c r="D10" s="17" t="s">
        <v>51</v>
      </c>
      <c r="E10" s="17" t="s">
        <v>5</v>
      </c>
      <c r="F10" s="17" t="str">
        <f>_xlfn.CONCAT("CSR - ",C5)</f>
        <v>CSR - a0_min</v>
      </c>
      <c r="G10" s="17" t="str">
        <f>_xlfn.CONCAT("CSR - ",C6)</f>
        <v>CSR - a0_max</v>
      </c>
      <c r="H10" s="17" t="s">
        <v>19</v>
      </c>
      <c r="I10" s="17" t="s">
        <v>20</v>
      </c>
      <c r="J10" s="17" t="s">
        <v>21</v>
      </c>
      <c r="K10" s="17" t="str">
        <f>_xlfn.CONCAT("FS-",$C$5,"_min")</f>
        <v>FS-a0_min_min</v>
      </c>
      <c r="L10" s="17" t="str">
        <f>_xlfn.CONCAT("FS-",$C$5,"_méd")</f>
        <v>FS-a0_min_méd</v>
      </c>
      <c r="M10" s="17" t="str">
        <f>_xlfn.CONCAT("FS-",$C$5,"_max")</f>
        <v>FS-a0_min_max</v>
      </c>
      <c r="N10" s="17" t="str">
        <f>_xlfn.CONCAT("FS-",$C$6,"_min")</f>
        <v>FS-a0_max_min</v>
      </c>
      <c r="O10" s="17" t="str">
        <f>_xlfn.CONCAT("FS-",$C$6,"_méd")</f>
        <v>FS-a0_max_méd</v>
      </c>
      <c r="P10" s="17" t="str">
        <f>_xlfn.CONCAT("FS-",$C$6,"_max")</f>
        <v>FS-a0_max_max</v>
      </c>
    </row>
    <row r="11" spans="1:33" ht="12.75" x14ac:dyDescent="0.2">
      <c r="A11" s="5">
        <v>0.5</v>
      </c>
      <c r="B11" s="16">
        <f t="shared" ref="B11:B70" si="0">A11*$B$3</f>
        <v>9.5</v>
      </c>
      <c r="C11" s="16">
        <f t="shared" ref="C11:C41" si="1">MAX(0,(A11-$B$2)*9.81)</f>
        <v>0</v>
      </c>
      <c r="D11" s="16">
        <f>B11-C11</f>
        <v>9.5</v>
      </c>
      <c r="E11" s="16">
        <f>IF(A11&lt;=9.15,1-0.00765*A11,1.174-0.0267*A11)</f>
        <v>0.99617500000000003</v>
      </c>
      <c r="F11" s="16">
        <f t="shared" ref="F11:F42" si="2">0.65*$D$5*(B11/D11)*E11</f>
        <v>0.35613256250000003</v>
      </c>
      <c r="G11" s="16">
        <f t="shared" ref="G11:G42" si="3">0.65*$D$6*(B11/D11)*E11</f>
        <v>0.453259625</v>
      </c>
      <c r="H11" s="16">
        <f t="shared" ref="H11:H42" si="4">MIN(1.1,1-$I$2*LN($D11/100))</f>
        <v>1.1000000000000001</v>
      </c>
      <c r="I11" s="16">
        <f t="shared" ref="I11:I42" si="5">MIN(1.1,1-$I$3*LN($D11/100))</f>
        <v>1.1000000000000001</v>
      </c>
      <c r="J11" s="16">
        <f t="shared" ref="J11:J42" si="6">MIN(1.1,1-$I$4*LN($D11/100))</f>
        <v>1.1000000000000001</v>
      </c>
      <c r="K11" s="16">
        <f t="shared" ref="K11:K42" si="7">($G$6*$I$5)/($F11*H11)</f>
        <v>1.474163709869585</v>
      </c>
      <c r="L11" s="16">
        <f t="shared" ref="L11:L42" si="8">($G$7*$I$6)/($F11*I11)</f>
        <v>2.3874304186009114</v>
      </c>
      <c r="M11" s="16">
        <f t="shared" ref="M11:M42" si="9">($G$8*$I$7)/($F11*J11)</f>
        <v>3.8880985877707186</v>
      </c>
      <c r="N11" s="16">
        <f t="shared" ref="N11:N42" si="10">($G$6*$I$5)/($G11*H11)</f>
        <v>1.1582714863261028</v>
      </c>
      <c r="O11" s="16">
        <f t="shared" ref="O11:O42" si="11">($G$7*$I$6)/($G11*I11)</f>
        <v>1.8758381860435736</v>
      </c>
      <c r="P11" s="16">
        <f t="shared" ref="P11:P42" si="12">($G$7*$I$6)/($G11*J11)</f>
        <v>1.8758381860435736</v>
      </c>
    </row>
    <row r="12" spans="1:33" ht="12.75" x14ac:dyDescent="0.2">
      <c r="A12" s="5">
        <f>A11+0.5</f>
        <v>1</v>
      </c>
      <c r="B12" s="16">
        <f t="shared" si="0"/>
        <v>19</v>
      </c>
      <c r="C12" s="16">
        <f t="shared" si="1"/>
        <v>0</v>
      </c>
      <c r="D12" s="16">
        <f t="shared" ref="D12:D41" si="13">B12-C12</f>
        <v>19</v>
      </c>
      <c r="E12" s="16">
        <f t="shared" ref="E12:E41" si="14">IF(A12&lt;=9.15,1-0.00765*A12,1.174-0.0267*A12)</f>
        <v>0.99234999999999995</v>
      </c>
      <c r="F12" s="16">
        <f t="shared" si="2"/>
        <v>0.35476512500000001</v>
      </c>
      <c r="G12" s="16">
        <f t="shared" si="3"/>
        <v>0.45151924999999993</v>
      </c>
      <c r="H12" s="16">
        <f t="shared" si="4"/>
        <v>1.1000000000000001</v>
      </c>
      <c r="I12" s="16">
        <f t="shared" si="5"/>
        <v>1.1000000000000001</v>
      </c>
      <c r="J12" s="16">
        <f t="shared" si="6"/>
        <v>1.1000000000000001</v>
      </c>
      <c r="K12" s="16">
        <f t="shared" si="7"/>
        <v>1.4798458544659989</v>
      </c>
      <c r="L12" s="16">
        <f t="shared" si="8"/>
        <v>2.3966327376931154</v>
      </c>
      <c r="M12" s="16">
        <f t="shared" si="9"/>
        <v>3.9030852125484916</v>
      </c>
      <c r="N12" s="16">
        <f t="shared" si="10"/>
        <v>1.1627360285089994</v>
      </c>
      <c r="O12" s="16">
        <f t="shared" si="11"/>
        <v>1.8830685796160196</v>
      </c>
      <c r="P12" s="16">
        <f t="shared" si="12"/>
        <v>1.8830685796160196</v>
      </c>
      <c r="AD12" s="2"/>
    </row>
    <row r="13" spans="1:33" ht="12.75" x14ac:dyDescent="0.2">
      <c r="A13" s="5">
        <f t="shared" ref="A13:A70" si="15">A12+0.5</f>
        <v>1.5</v>
      </c>
      <c r="B13" s="16">
        <f t="shared" si="0"/>
        <v>28.5</v>
      </c>
      <c r="C13" s="16">
        <f t="shared" si="1"/>
        <v>0</v>
      </c>
      <c r="D13" s="16">
        <f t="shared" si="13"/>
        <v>28.5</v>
      </c>
      <c r="E13" s="16">
        <f t="shared" si="14"/>
        <v>0.98852499999999999</v>
      </c>
      <c r="F13" s="16">
        <f t="shared" si="2"/>
        <v>0.35339768750000006</v>
      </c>
      <c r="G13" s="16">
        <f t="shared" si="3"/>
        <v>0.44977887499999997</v>
      </c>
      <c r="H13" s="16">
        <f t="shared" si="4"/>
        <v>1.1000000000000001</v>
      </c>
      <c r="I13" s="16">
        <f t="shared" si="5"/>
        <v>1.1000000000000001</v>
      </c>
      <c r="J13" s="16">
        <f t="shared" si="6"/>
        <v>1.1000000000000001</v>
      </c>
      <c r="K13" s="16">
        <f t="shared" si="7"/>
        <v>1.4855719720587075</v>
      </c>
      <c r="L13" s="16">
        <f t="shared" si="8"/>
        <v>2.4059062717177238</v>
      </c>
      <c r="M13" s="16">
        <f t="shared" si="9"/>
        <v>3.9181878158594827</v>
      </c>
      <c r="N13" s="16">
        <f t="shared" si="10"/>
        <v>1.1672351209032705</v>
      </c>
      <c r="O13" s="16">
        <f t="shared" si="11"/>
        <v>1.8903549277782119</v>
      </c>
      <c r="P13" s="16">
        <f t="shared" si="12"/>
        <v>1.8903549277782119</v>
      </c>
      <c r="AD13" s="2"/>
    </row>
    <row r="14" spans="1:33" ht="12.75" x14ac:dyDescent="0.2">
      <c r="A14" s="5">
        <f t="shared" si="15"/>
        <v>2</v>
      </c>
      <c r="B14" s="16">
        <f t="shared" si="0"/>
        <v>38</v>
      </c>
      <c r="C14" s="16">
        <f t="shared" si="1"/>
        <v>0</v>
      </c>
      <c r="D14" s="16">
        <f t="shared" si="13"/>
        <v>38</v>
      </c>
      <c r="E14" s="16">
        <f t="shared" si="14"/>
        <v>0.98470000000000002</v>
      </c>
      <c r="F14" s="16">
        <f t="shared" si="2"/>
        <v>0.35203025000000004</v>
      </c>
      <c r="G14" s="16">
        <f t="shared" si="3"/>
        <v>0.44803849999999995</v>
      </c>
      <c r="H14" s="16">
        <f t="shared" si="4"/>
        <v>1.1000000000000001</v>
      </c>
      <c r="I14" s="16">
        <f t="shared" si="5"/>
        <v>1.1000000000000001</v>
      </c>
      <c r="J14" s="16">
        <f t="shared" si="6"/>
        <v>1.1000000000000001</v>
      </c>
      <c r="K14" s="16">
        <f t="shared" si="7"/>
        <v>1.4913425750780276</v>
      </c>
      <c r="L14" s="16">
        <f t="shared" si="8"/>
        <v>2.4152518505633824</v>
      </c>
      <c r="M14" s="16">
        <f t="shared" si="9"/>
        <v>3.9334077492358031</v>
      </c>
      <c r="N14" s="16">
        <f t="shared" si="10"/>
        <v>1.1717691661327363</v>
      </c>
      <c r="O14" s="16">
        <f t="shared" si="11"/>
        <v>1.8976978825855153</v>
      </c>
      <c r="P14" s="16">
        <f t="shared" si="12"/>
        <v>1.8976978825855153</v>
      </c>
      <c r="AD14" s="2"/>
    </row>
    <row r="15" spans="1:33" ht="12.75" x14ac:dyDescent="0.2">
      <c r="A15" s="5">
        <f t="shared" si="15"/>
        <v>2.5</v>
      </c>
      <c r="B15" s="16">
        <f t="shared" si="0"/>
        <v>47.5</v>
      </c>
      <c r="C15" s="16">
        <f t="shared" si="1"/>
        <v>0</v>
      </c>
      <c r="D15" s="16">
        <f t="shared" si="13"/>
        <v>47.5</v>
      </c>
      <c r="E15" s="16">
        <f t="shared" si="14"/>
        <v>0.98087500000000005</v>
      </c>
      <c r="F15" s="16">
        <f t="shared" si="2"/>
        <v>0.35066281250000003</v>
      </c>
      <c r="G15" s="16">
        <f t="shared" si="3"/>
        <v>0.44629812499999999</v>
      </c>
      <c r="H15" s="16">
        <f t="shared" si="4"/>
        <v>1.1000000000000001</v>
      </c>
      <c r="I15" s="16">
        <f t="shared" si="5"/>
        <v>1.1000000000000001</v>
      </c>
      <c r="J15" s="16">
        <f t="shared" si="6"/>
        <v>1.1000000000000001</v>
      </c>
      <c r="K15" s="16">
        <f t="shared" si="7"/>
        <v>1.4971581839473265</v>
      </c>
      <c r="L15" s="16">
        <f t="shared" si="8"/>
        <v>2.4246703170636041</v>
      </c>
      <c r="M15" s="16">
        <f t="shared" si="9"/>
        <v>3.9487463852911895</v>
      </c>
      <c r="N15" s="16">
        <f t="shared" si="10"/>
        <v>1.1763385731014711</v>
      </c>
      <c r="O15" s="16">
        <f t="shared" si="11"/>
        <v>1.9050981062642609</v>
      </c>
      <c r="P15" s="16">
        <f t="shared" si="12"/>
        <v>1.9050981062642609</v>
      </c>
      <c r="AD15" s="2"/>
    </row>
    <row r="16" spans="1:33" ht="12.75" x14ac:dyDescent="0.2">
      <c r="A16" s="5">
        <f t="shared" si="15"/>
        <v>3</v>
      </c>
      <c r="B16" s="16">
        <f t="shared" si="0"/>
        <v>57</v>
      </c>
      <c r="C16" s="16">
        <f t="shared" si="1"/>
        <v>0</v>
      </c>
      <c r="D16" s="16">
        <f t="shared" si="13"/>
        <v>57</v>
      </c>
      <c r="E16" s="16">
        <f t="shared" si="14"/>
        <v>0.97704999999999997</v>
      </c>
      <c r="F16" s="16">
        <f t="shared" si="2"/>
        <v>0.34929537500000002</v>
      </c>
      <c r="G16" s="16">
        <f t="shared" si="3"/>
        <v>0.44455774999999997</v>
      </c>
      <c r="H16" s="16">
        <f t="shared" si="4"/>
        <v>1.1000000000000001</v>
      </c>
      <c r="I16" s="16">
        <f t="shared" si="5"/>
        <v>1.1000000000000001</v>
      </c>
      <c r="J16" s="16">
        <f t="shared" si="6"/>
        <v>1.1000000000000001</v>
      </c>
      <c r="K16" s="16">
        <f t="shared" si="7"/>
        <v>1.5030193272394801</v>
      </c>
      <c r="L16" s="16">
        <f t="shared" si="8"/>
        <v>2.4341625272501539</v>
      </c>
      <c r="M16" s="16">
        <f t="shared" si="9"/>
        <v>3.9642051181336631</v>
      </c>
      <c r="N16" s="16">
        <f t="shared" si="10"/>
        <v>1.1809437571167345</v>
      </c>
      <c r="O16" s="16">
        <f t="shared" si="11"/>
        <v>1.9125562714108355</v>
      </c>
      <c r="P16" s="16">
        <f t="shared" si="12"/>
        <v>1.9125562714108355</v>
      </c>
      <c r="AD16" s="2"/>
    </row>
    <row r="17" spans="1:16" ht="15.75" customHeight="1" x14ac:dyDescent="0.2">
      <c r="A17" s="5">
        <f t="shared" si="15"/>
        <v>3.5</v>
      </c>
      <c r="B17" s="16">
        <f t="shared" si="0"/>
        <v>66.5</v>
      </c>
      <c r="C17" s="16">
        <f t="shared" si="1"/>
        <v>0</v>
      </c>
      <c r="D17" s="16">
        <f t="shared" si="13"/>
        <v>66.5</v>
      </c>
      <c r="E17" s="16">
        <f t="shared" si="14"/>
        <v>0.97322500000000001</v>
      </c>
      <c r="F17" s="16">
        <f t="shared" si="2"/>
        <v>0.34792793750000006</v>
      </c>
      <c r="G17" s="16">
        <f t="shared" si="3"/>
        <v>0.44281737499999996</v>
      </c>
      <c r="H17" s="16">
        <f t="shared" si="4"/>
        <v>1.0759608543199235</v>
      </c>
      <c r="I17" s="16">
        <f t="shared" si="5"/>
        <v>1.1000000000000001</v>
      </c>
      <c r="J17" s="16">
        <f t="shared" si="6"/>
        <v>1.1000000000000001</v>
      </c>
      <c r="K17" s="16">
        <f t="shared" si="7"/>
        <v>1.5426390182845775</v>
      </c>
      <c r="L17" s="16">
        <f t="shared" si="8"/>
        <v>2.44372935061241</v>
      </c>
      <c r="M17" s="16">
        <f t="shared" si="9"/>
        <v>3.9797853637879168</v>
      </c>
      <c r="N17" s="16">
        <f t="shared" si="10"/>
        <v>1.2120735143664541</v>
      </c>
      <c r="O17" s="16">
        <f t="shared" si="11"/>
        <v>1.9200730611954655</v>
      </c>
      <c r="P17" s="16">
        <f t="shared" si="12"/>
        <v>1.9200730611954655</v>
      </c>
    </row>
    <row r="18" spans="1:16" ht="15.75" customHeight="1" x14ac:dyDescent="0.2">
      <c r="A18" s="5">
        <f t="shared" si="15"/>
        <v>4</v>
      </c>
      <c r="B18" s="16">
        <f t="shared" si="0"/>
        <v>76</v>
      </c>
      <c r="C18" s="16">
        <f t="shared" si="1"/>
        <v>4.9050000000000002</v>
      </c>
      <c r="D18" s="16">
        <f t="shared" si="13"/>
        <v>71.094999999999999</v>
      </c>
      <c r="E18" s="16">
        <f t="shared" si="14"/>
        <v>0.96940000000000004</v>
      </c>
      <c r="F18" s="16">
        <f t="shared" si="2"/>
        <v>0.3704704690906534</v>
      </c>
      <c r="G18" s="16">
        <f t="shared" si="3"/>
        <v>0.47150786975174058</v>
      </c>
      <c r="H18" s="16">
        <f t="shared" si="4"/>
        <v>1.0635203533095745</v>
      </c>
      <c r="I18" s="16">
        <f t="shared" si="5"/>
        <v>1.0853205581828096</v>
      </c>
      <c r="J18" s="16">
        <f t="shared" si="6"/>
        <v>1.1000000000000001</v>
      </c>
      <c r="K18" s="16">
        <f t="shared" si="7"/>
        <v>1.4657188885790462</v>
      </c>
      <c r="L18" s="16">
        <f t="shared" si="8"/>
        <v>2.3260736842886338</v>
      </c>
      <c r="M18" s="16">
        <f t="shared" si="9"/>
        <v>3.7376218318135077</v>
      </c>
      <c r="N18" s="16">
        <f t="shared" si="10"/>
        <v>1.1516362695978222</v>
      </c>
      <c r="O18" s="16">
        <f t="shared" si="11"/>
        <v>1.8276293233696412</v>
      </c>
      <c r="P18" s="16">
        <f t="shared" si="12"/>
        <v>1.8032397067189176</v>
      </c>
    </row>
    <row r="19" spans="1:16" ht="15.75" customHeight="1" x14ac:dyDescent="0.2">
      <c r="A19" s="5">
        <f t="shared" si="15"/>
        <v>4.5</v>
      </c>
      <c r="B19" s="16">
        <f t="shared" si="0"/>
        <v>85.5</v>
      </c>
      <c r="C19" s="16">
        <f t="shared" si="1"/>
        <v>9.81</v>
      </c>
      <c r="D19" s="16">
        <f t="shared" si="13"/>
        <v>75.69</v>
      </c>
      <c r="E19" s="16">
        <f t="shared" si="14"/>
        <v>0.96557499999999996</v>
      </c>
      <c r="F19" s="16">
        <f t="shared" si="2"/>
        <v>0.38993271031510107</v>
      </c>
      <c r="G19" s="16">
        <f t="shared" si="3"/>
        <v>0.49627799494649216</v>
      </c>
      <c r="H19" s="16">
        <f t="shared" si="4"/>
        <v>1.0518592606738741</v>
      </c>
      <c r="I19" s="16">
        <f t="shared" si="5"/>
        <v>1.0696573749531684</v>
      </c>
      <c r="J19" s="16">
        <f t="shared" si="6"/>
        <v>1.0847994792562357</v>
      </c>
      <c r="K19" s="16">
        <f t="shared" si="7"/>
        <v>1.4080004132514641</v>
      </c>
      <c r="L19" s="16">
        <f t="shared" si="8"/>
        <v>2.2423362326591585</v>
      </c>
      <c r="M19" s="16">
        <f t="shared" si="9"/>
        <v>3.600829034750908</v>
      </c>
      <c r="N19" s="16">
        <f t="shared" si="10"/>
        <v>1.1062860389832934</v>
      </c>
      <c r="O19" s="16">
        <f t="shared" si="11"/>
        <v>1.7618356113750535</v>
      </c>
      <c r="P19" s="16">
        <f t="shared" si="12"/>
        <v>1.7372431414278977</v>
      </c>
    </row>
    <row r="20" spans="1:16" ht="15.75" customHeight="1" x14ac:dyDescent="0.2">
      <c r="A20" s="5">
        <f t="shared" si="15"/>
        <v>5</v>
      </c>
      <c r="B20" s="16">
        <f t="shared" si="0"/>
        <v>95</v>
      </c>
      <c r="C20" s="16">
        <f t="shared" si="1"/>
        <v>14.715</v>
      </c>
      <c r="D20" s="16">
        <f t="shared" si="13"/>
        <v>80.284999999999997</v>
      </c>
      <c r="E20" s="16">
        <f t="shared" si="14"/>
        <v>0.96174999999999999</v>
      </c>
      <c r="F20" s="16">
        <f t="shared" si="2"/>
        <v>0.40684354954225577</v>
      </c>
      <c r="G20" s="16">
        <f t="shared" si="3"/>
        <v>0.51780088123559809</v>
      </c>
      <c r="H20" s="16">
        <f t="shared" si="4"/>
        <v>1.0408856463973681</v>
      </c>
      <c r="I20" s="16">
        <f t="shared" si="5"/>
        <v>1.0549176128679154</v>
      </c>
      <c r="J20" s="16">
        <f t="shared" si="6"/>
        <v>1.0668555910458259</v>
      </c>
      <c r="K20" s="16">
        <f t="shared" si="7"/>
        <v>1.3637024825595554</v>
      </c>
      <c r="L20" s="16">
        <f t="shared" si="8"/>
        <v>2.1791599807935391</v>
      </c>
      <c r="M20" s="16">
        <f t="shared" si="9"/>
        <v>3.5092035983942451</v>
      </c>
      <c r="N20" s="16">
        <f t="shared" si="10"/>
        <v>1.0714805220110797</v>
      </c>
      <c r="O20" s="16">
        <f t="shared" si="11"/>
        <v>1.7121971277663526</v>
      </c>
      <c r="P20" s="16">
        <f t="shared" si="12"/>
        <v>1.6930378599899909</v>
      </c>
    </row>
    <row r="21" spans="1:16" ht="15.75" customHeight="1" x14ac:dyDescent="0.2">
      <c r="A21" s="5">
        <f t="shared" si="15"/>
        <v>5.5</v>
      </c>
      <c r="B21" s="16">
        <f t="shared" si="0"/>
        <v>104.5</v>
      </c>
      <c r="C21" s="16">
        <f t="shared" si="1"/>
        <v>19.62</v>
      </c>
      <c r="D21" s="16">
        <f t="shared" si="13"/>
        <v>84.88</v>
      </c>
      <c r="E21" s="16">
        <f t="shared" si="14"/>
        <v>0.95792500000000003</v>
      </c>
      <c r="F21" s="16">
        <f t="shared" si="2"/>
        <v>0.42161734912523574</v>
      </c>
      <c r="G21" s="16">
        <f t="shared" si="3"/>
        <v>0.53660389888666349</v>
      </c>
      <c r="H21" s="16">
        <f t="shared" si="4"/>
        <v>1.0305229431619221</v>
      </c>
      <c r="I21" s="16">
        <f t="shared" si="5"/>
        <v>1.0409984266816859</v>
      </c>
      <c r="J21" s="16">
        <f t="shared" si="6"/>
        <v>1.0499106553364854</v>
      </c>
      <c r="K21" s="16">
        <f t="shared" si="7"/>
        <v>1.3291498512879762</v>
      </c>
      <c r="L21" s="16">
        <f t="shared" si="8"/>
        <v>2.13091705962557</v>
      </c>
      <c r="M21" s="16">
        <f t="shared" si="9"/>
        <v>3.4408902574761728</v>
      </c>
      <c r="N21" s="16">
        <f t="shared" si="10"/>
        <v>1.0443320260119815</v>
      </c>
      <c r="O21" s="16">
        <f t="shared" si="11"/>
        <v>1.6742919754200911</v>
      </c>
      <c r="P21" s="16">
        <f t="shared" si="12"/>
        <v>1.6600796490245107</v>
      </c>
    </row>
    <row r="22" spans="1:16" ht="15.75" customHeight="1" x14ac:dyDescent="0.2">
      <c r="A22" s="5">
        <f t="shared" si="15"/>
        <v>6</v>
      </c>
      <c r="B22" s="16">
        <f t="shared" si="0"/>
        <v>114</v>
      </c>
      <c r="C22" s="16">
        <f t="shared" si="1"/>
        <v>24.525000000000002</v>
      </c>
      <c r="D22" s="16">
        <f t="shared" si="13"/>
        <v>89.474999999999994</v>
      </c>
      <c r="E22" s="16">
        <f t="shared" si="14"/>
        <v>0.95409999999999995</v>
      </c>
      <c r="F22" s="16">
        <f t="shared" si="2"/>
        <v>0.43458335289186928</v>
      </c>
      <c r="G22" s="16">
        <f t="shared" si="3"/>
        <v>0.55310608549874252</v>
      </c>
      <c r="H22" s="16">
        <f t="shared" si="4"/>
        <v>1.020706703141236</v>
      </c>
      <c r="I22" s="16">
        <f t="shared" si="5"/>
        <v>1.0278132500542891</v>
      </c>
      <c r="J22" s="16">
        <f t="shared" si="6"/>
        <v>1.0338592880167086</v>
      </c>
      <c r="K22" s="16">
        <f t="shared" si="7"/>
        <v>1.3018952199256255</v>
      </c>
      <c r="L22" s="16">
        <f t="shared" si="8"/>
        <v>2.0938607422506235</v>
      </c>
      <c r="M22" s="16">
        <f t="shared" si="9"/>
        <v>3.3900579198370475</v>
      </c>
      <c r="N22" s="16">
        <f t="shared" si="10"/>
        <v>1.0229176727987062</v>
      </c>
      <c r="O22" s="16">
        <f t="shared" si="11"/>
        <v>1.6451762974826334</v>
      </c>
      <c r="P22" s="16">
        <f t="shared" si="12"/>
        <v>1.635555260592271</v>
      </c>
    </row>
    <row r="23" spans="1:16" ht="15.75" customHeight="1" x14ac:dyDescent="0.2">
      <c r="A23" s="5">
        <f t="shared" si="15"/>
        <v>6.5</v>
      </c>
      <c r="B23" s="16">
        <f t="shared" si="0"/>
        <v>123.5</v>
      </c>
      <c r="C23" s="16">
        <f t="shared" si="1"/>
        <v>29.43</v>
      </c>
      <c r="D23" s="16">
        <f t="shared" si="13"/>
        <v>94.07</v>
      </c>
      <c r="E23" s="16">
        <f t="shared" si="14"/>
        <v>0.95027499999999998</v>
      </c>
      <c r="F23" s="16">
        <f t="shared" si="2"/>
        <v>0.44600647489901146</v>
      </c>
      <c r="G23" s="16">
        <f t="shared" si="3"/>
        <v>0.56764460441692366</v>
      </c>
      <c r="H23" s="16">
        <f t="shared" si="4"/>
        <v>1.0113821678981756</v>
      </c>
      <c r="I23" s="16">
        <f t="shared" si="5"/>
        <v>1.0152885314360558</v>
      </c>
      <c r="J23" s="16">
        <f t="shared" si="6"/>
        <v>1.0186119489177097</v>
      </c>
      <c r="K23" s="16">
        <f t="shared" si="7"/>
        <v>1.2802465960391578</v>
      </c>
      <c r="L23" s="16">
        <f t="shared" si="8"/>
        <v>2.0654013124009474</v>
      </c>
      <c r="M23" s="16">
        <f t="shared" si="9"/>
        <v>3.3526769469604965</v>
      </c>
      <c r="N23" s="16">
        <f t="shared" si="10"/>
        <v>1.0059080397450526</v>
      </c>
      <c r="O23" s="16">
        <f t="shared" si="11"/>
        <v>1.6228153168864587</v>
      </c>
      <c r="P23" s="16">
        <f t="shared" si="12"/>
        <v>1.617520569657775</v>
      </c>
    </row>
    <row r="24" spans="1:16" ht="15.75" customHeight="1" x14ac:dyDescent="0.2">
      <c r="A24" s="5">
        <f t="shared" si="15"/>
        <v>7</v>
      </c>
      <c r="B24" s="16">
        <f t="shared" si="0"/>
        <v>133</v>
      </c>
      <c r="C24" s="16">
        <f t="shared" si="1"/>
        <v>34.335000000000001</v>
      </c>
      <c r="D24" s="16">
        <f t="shared" si="13"/>
        <v>98.664999999999992</v>
      </c>
      <c r="E24" s="16">
        <f t="shared" si="14"/>
        <v>0.94645000000000001</v>
      </c>
      <c r="F24" s="16">
        <f t="shared" si="2"/>
        <v>0.45610227917701318</v>
      </c>
      <c r="G24" s="16">
        <f t="shared" si="3"/>
        <v>0.580493809861653</v>
      </c>
      <c r="H24" s="16">
        <f t="shared" si="4"/>
        <v>1.0025024183979321</v>
      </c>
      <c r="I24" s="16">
        <f t="shared" si="5"/>
        <v>1.00336124916494</v>
      </c>
      <c r="J24" s="16">
        <f t="shared" si="6"/>
        <v>1.0040919167429003</v>
      </c>
      <c r="K24" s="16">
        <f t="shared" si="7"/>
        <v>1.2629972767512609</v>
      </c>
      <c r="L24" s="16">
        <f t="shared" si="8"/>
        <v>2.0436923825194149</v>
      </c>
      <c r="M24" s="16">
        <f t="shared" si="9"/>
        <v>3.3258750177099494</v>
      </c>
      <c r="N24" s="16">
        <f t="shared" si="10"/>
        <v>0.99235500316170533</v>
      </c>
      <c r="O24" s="16">
        <f t="shared" si="11"/>
        <v>1.6057583005509695</v>
      </c>
      <c r="P24" s="16">
        <f t="shared" si="12"/>
        <v>1.6045898064034823</v>
      </c>
    </row>
    <row r="25" spans="1:16" ht="15.75" customHeight="1" x14ac:dyDescent="0.2">
      <c r="A25" s="5">
        <f t="shared" si="15"/>
        <v>7.5</v>
      </c>
      <c r="B25" s="16">
        <f t="shared" si="0"/>
        <v>142.5</v>
      </c>
      <c r="C25" s="16">
        <f t="shared" si="1"/>
        <v>39.24</v>
      </c>
      <c r="D25" s="16">
        <f t="shared" si="13"/>
        <v>103.25999999999999</v>
      </c>
      <c r="E25" s="16">
        <f t="shared" si="14"/>
        <v>0.94262500000000005</v>
      </c>
      <c r="F25" s="16">
        <f t="shared" si="2"/>
        <v>0.46504795994334702</v>
      </c>
      <c r="G25" s="16">
        <f t="shared" si="3"/>
        <v>0.59187922174607788</v>
      </c>
      <c r="H25" s="16">
        <f t="shared" si="4"/>
        <v>0.99402694649963419</v>
      </c>
      <c r="I25" s="16">
        <f t="shared" si="5"/>
        <v>0.99197699269361306</v>
      </c>
      <c r="J25" s="16">
        <f t="shared" si="6"/>
        <v>0.99023295319256588</v>
      </c>
      <c r="K25" s="16">
        <f t="shared" si="7"/>
        <v>1.2492638828959453</v>
      </c>
      <c r="L25" s="16">
        <f t="shared" si="8"/>
        <v>2.0273827625954368</v>
      </c>
      <c r="M25" s="16">
        <f t="shared" si="9"/>
        <v>3.307550775381503</v>
      </c>
      <c r="N25" s="16">
        <f t="shared" si="10"/>
        <v>0.98156447941824287</v>
      </c>
      <c r="O25" s="16">
        <f t="shared" si="11"/>
        <v>1.5929435991821297</v>
      </c>
      <c r="P25" s="16">
        <f t="shared" si="12"/>
        <v>1.5957491577640337</v>
      </c>
    </row>
    <row r="26" spans="1:16" ht="15.75" customHeight="1" x14ac:dyDescent="0.2">
      <c r="A26" s="5">
        <f t="shared" si="15"/>
        <v>8</v>
      </c>
      <c r="B26" s="16">
        <f t="shared" si="0"/>
        <v>152</v>
      </c>
      <c r="C26" s="16">
        <f t="shared" si="1"/>
        <v>44.145000000000003</v>
      </c>
      <c r="D26" s="16">
        <f t="shared" si="13"/>
        <v>107.85499999999999</v>
      </c>
      <c r="E26" s="16">
        <f t="shared" si="14"/>
        <v>0.93879999999999997</v>
      </c>
      <c r="F26" s="16">
        <f t="shared" si="2"/>
        <v>0.47299051504334533</v>
      </c>
      <c r="G26" s="16">
        <f t="shared" si="3"/>
        <v>0.60198792823698488</v>
      </c>
      <c r="H26" s="16">
        <f t="shared" si="4"/>
        <v>0.98592053770132715</v>
      </c>
      <c r="I26" s="16">
        <f t="shared" si="5"/>
        <v>0.98108846189217391</v>
      </c>
      <c r="J26" s="16">
        <f t="shared" si="6"/>
        <v>0.97697747604533924</v>
      </c>
      <c r="K26" s="16">
        <f t="shared" si="7"/>
        <v>1.2383851632772442</v>
      </c>
      <c r="L26" s="16">
        <f t="shared" si="8"/>
        <v>2.015461435756015</v>
      </c>
      <c r="M26" s="16">
        <f t="shared" si="9"/>
        <v>3.2961324522979023</v>
      </c>
      <c r="N26" s="16">
        <f t="shared" si="10"/>
        <v>0.97301691400354928</v>
      </c>
      <c r="O26" s="16">
        <f t="shared" si="11"/>
        <v>1.5835768423797263</v>
      </c>
      <c r="P26" s="16">
        <f t="shared" si="12"/>
        <v>1.5902403143082193</v>
      </c>
    </row>
    <row r="27" spans="1:16" ht="15.75" customHeight="1" x14ac:dyDescent="0.2">
      <c r="A27" s="5">
        <f t="shared" si="15"/>
        <v>8.5</v>
      </c>
      <c r="B27" s="16">
        <f t="shared" si="0"/>
        <v>161.5</v>
      </c>
      <c r="C27" s="16">
        <f t="shared" si="1"/>
        <v>49.050000000000004</v>
      </c>
      <c r="D27" s="16">
        <f t="shared" si="13"/>
        <v>112.44999999999999</v>
      </c>
      <c r="E27" s="16">
        <f t="shared" si="14"/>
        <v>0.934975</v>
      </c>
      <c r="F27" s="16">
        <f t="shared" si="2"/>
        <v>0.4800529154624279</v>
      </c>
      <c r="G27" s="16">
        <f t="shared" si="3"/>
        <v>0.61097643786127176</v>
      </c>
      <c r="H27" s="16">
        <f t="shared" si="4"/>
        <v>0.97815238714368646</v>
      </c>
      <c r="I27" s="16">
        <f t="shared" si="5"/>
        <v>0.97065427966406426</v>
      </c>
      <c r="J27" s="16">
        <f t="shared" si="6"/>
        <v>0.96427511366083596</v>
      </c>
      <c r="K27" s="16">
        <f t="shared" si="7"/>
        <v>1.2298565397048806</v>
      </c>
      <c r="L27" s="16">
        <f t="shared" si="8"/>
        <v>2.0071572915181517</v>
      </c>
      <c r="M27" s="16">
        <f t="shared" si="9"/>
        <v>3.2904217571740011</v>
      </c>
      <c r="N27" s="16">
        <f t="shared" si="10"/>
        <v>0.96631585262526354</v>
      </c>
      <c r="O27" s="16">
        <f t="shared" si="11"/>
        <v>1.5770521576214054</v>
      </c>
      <c r="P27" s="16">
        <f t="shared" si="12"/>
        <v>1.5874851526937586</v>
      </c>
    </row>
    <row r="28" spans="1:16" ht="15.75" customHeight="1" x14ac:dyDescent="0.2">
      <c r="A28" s="5">
        <f t="shared" si="15"/>
        <v>9</v>
      </c>
      <c r="B28" s="16">
        <f t="shared" si="0"/>
        <v>171</v>
      </c>
      <c r="C28" s="16">
        <f t="shared" si="1"/>
        <v>53.955000000000005</v>
      </c>
      <c r="D28" s="16">
        <f t="shared" si="13"/>
        <v>117.04499999999999</v>
      </c>
      <c r="E28" s="16">
        <f t="shared" si="14"/>
        <v>0.93115000000000003</v>
      </c>
      <c r="F28" s="16">
        <f t="shared" si="2"/>
        <v>0.48633882160707437</v>
      </c>
      <c r="G28" s="16">
        <f t="shared" si="3"/>
        <v>0.61897668204536715</v>
      </c>
      <c r="H28" s="16">
        <f t="shared" si="4"/>
        <v>0.97069539276808858</v>
      </c>
      <c r="I28" s="16">
        <f t="shared" si="5"/>
        <v>0.9606380425157709</v>
      </c>
      <c r="J28" s="16">
        <f t="shared" si="6"/>
        <v>0.95208154916241361</v>
      </c>
      <c r="K28" s="16">
        <f t="shared" si="7"/>
        <v>1.2232864890516852</v>
      </c>
      <c r="L28" s="16">
        <f t="shared" si="8"/>
        <v>2.0018723141160311</v>
      </c>
      <c r="M28" s="16">
        <f t="shared" si="9"/>
        <v>3.2894898544317597</v>
      </c>
      <c r="N28" s="16">
        <f t="shared" si="10"/>
        <v>0.96115366996918172</v>
      </c>
      <c r="O28" s="16">
        <f t="shared" si="11"/>
        <v>1.572899675376882</v>
      </c>
      <c r="P28" s="16">
        <f t="shared" si="12"/>
        <v>1.5870355502183808</v>
      </c>
    </row>
    <row r="29" spans="1:16" ht="15.75" customHeight="1" x14ac:dyDescent="0.2">
      <c r="A29" s="5">
        <f t="shared" si="15"/>
        <v>9.5</v>
      </c>
      <c r="B29" s="16">
        <f t="shared" si="0"/>
        <v>180.5</v>
      </c>
      <c r="C29" s="16">
        <f t="shared" si="1"/>
        <v>58.86</v>
      </c>
      <c r="D29" s="16">
        <f t="shared" si="13"/>
        <v>121.64</v>
      </c>
      <c r="E29" s="16">
        <f t="shared" si="14"/>
        <v>0.92034999999999989</v>
      </c>
      <c r="F29" s="16">
        <f t="shared" si="2"/>
        <v>0.4882360659528116</v>
      </c>
      <c r="G29" s="16">
        <f t="shared" si="3"/>
        <v>0.62139135666721457</v>
      </c>
      <c r="H29" s="16">
        <f t="shared" si="4"/>
        <v>0.96352558466326654</v>
      </c>
      <c r="I29" s="16">
        <f t="shared" si="5"/>
        <v>0.9510075540550772</v>
      </c>
      <c r="J29" s="16">
        <f t="shared" si="6"/>
        <v>0.94035758731344843</v>
      </c>
      <c r="K29" s="16">
        <f t="shared" si="7"/>
        <v>1.2276002747381087</v>
      </c>
      <c r="L29" s="16">
        <f t="shared" si="8"/>
        <v>2.0142866229184984</v>
      </c>
      <c r="M29" s="16">
        <f t="shared" si="9"/>
        <v>3.3175597066926596</v>
      </c>
      <c r="N29" s="16">
        <f t="shared" si="10"/>
        <v>0.9645430730085145</v>
      </c>
      <c r="O29" s="16">
        <f t="shared" si="11"/>
        <v>1.5826537751502492</v>
      </c>
      <c r="P29" s="16">
        <f t="shared" si="12"/>
        <v>1.6005780310889051</v>
      </c>
    </row>
    <row r="30" spans="1:16" ht="15.75" customHeight="1" x14ac:dyDescent="0.2">
      <c r="A30" s="5">
        <f t="shared" si="15"/>
        <v>10</v>
      </c>
      <c r="B30" s="16">
        <f t="shared" si="0"/>
        <v>190</v>
      </c>
      <c r="C30" s="16">
        <f t="shared" si="1"/>
        <v>63.765000000000001</v>
      </c>
      <c r="D30" s="16">
        <f t="shared" si="13"/>
        <v>126.235</v>
      </c>
      <c r="E30" s="16">
        <f t="shared" si="14"/>
        <v>0.90699999999999992</v>
      </c>
      <c r="F30" s="16">
        <f t="shared" si="2"/>
        <v>0.48804194557769237</v>
      </c>
      <c r="G30" s="16">
        <f t="shared" si="3"/>
        <v>0.62114429437160834</v>
      </c>
      <c r="H30" s="16">
        <f t="shared" si="4"/>
        <v>0.95662166027776552</v>
      </c>
      <c r="I30" s="16">
        <f t="shared" si="5"/>
        <v>0.94173420068828995</v>
      </c>
      <c r="J30" s="16">
        <f t="shared" si="6"/>
        <v>0.92906839450376655</v>
      </c>
      <c r="K30" s="16">
        <f t="shared" si="7"/>
        <v>1.2369516539690091</v>
      </c>
      <c r="L30" s="16">
        <f t="shared" si="8"/>
        <v>2.0349305889910769</v>
      </c>
      <c r="M30" s="16">
        <f t="shared" si="9"/>
        <v>3.3592072752624582</v>
      </c>
      <c r="N30" s="16">
        <f t="shared" si="10"/>
        <v>0.9718905852613644</v>
      </c>
      <c r="O30" s="16">
        <f t="shared" si="11"/>
        <v>1.5988740342072749</v>
      </c>
      <c r="P30" s="16">
        <f t="shared" si="12"/>
        <v>1.6206711685738497</v>
      </c>
    </row>
    <row r="31" spans="1:16" ht="15.75" customHeight="1" x14ac:dyDescent="0.2">
      <c r="A31" s="5">
        <f t="shared" si="15"/>
        <v>10.5</v>
      </c>
      <c r="B31" s="16">
        <f t="shared" si="0"/>
        <v>199.5</v>
      </c>
      <c r="C31" s="16">
        <f t="shared" si="1"/>
        <v>68.67</v>
      </c>
      <c r="D31" s="16">
        <f t="shared" si="13"/>
        <v>130.82999999999998</v>
      </c>
      <c r="E31" s="16">
        <f t="shared" si="14"/>
        <v>0.89364999999999994</v>
      </c>
      <c r="F31" s="16">
        <f t="shared" si="2"/>
        <v>0.48716834871589099</v>
      </c>
      <c r="G31" s="16">
        <f t="shared" si="3"/>
        <v>0.62003244382022471</v>
      </c>
      <c r="H31" s="16">
        <f t="shared" si="4"/>
        <v>0.94996460277107808</v>
      </c>
      <c r="I31" s="16">
        <f t="shared" si="5"/>
        <v>0.93279243898936648</v>
      </c>
      <c r="J31" s="16">
        <f t="shared" si="6"/>
        <v>0.91818287468318982</v>
      </c>
      <c r="K31" s="16">
        <f t="shared" si="7"/>
        <v>1.2478534900789249</v>
      </c>
      <c r="L31" s="16">
        <f t="shared" si="8"/>
        <v>2.0581215078056734</v>
      </c>
      <c r="M31" s="16">
        <f t="shared" si="9"/>
        <v>3.4051275579169569</v>
      </c>
      <c r="N31" s="16">
        <f t="shared" si="10"/>
        <v>0.98045631363344132</v>
      </c>
      <c r="O31" s="16">
        <f t="shared" si="11"/>
        <v>1.6170954704187437</v>
      </c>
      <c r="P31" s="16">
        <f t="shared" si="12"/>
        <v>1.6428257044665755</v>
      </c>
    </row>
    <row r="32" spans="1:16" ht="15.75" customHeight="1" x14ac:dyDescent="0.2">
      <c r="A32" s="5">
        <f t="shared" si="15"/>
        <v>11</v>
      </c>
      <c r="B32" s="16">
        <f t="shared" si="0"/>
        <v>209</v>
      </c>
      <c r="C32" s="16">
        <f t="shared" si="1"/>
        <v>73.575000000000003</v>
      </c>
      <c r="D32" s="16">
        <f t="shared" si="13"/>
        <v>135.42500000000001</v>
      </c>
      <c r="E32" s="16">
        <f t="shared" si="14"/>
        <v>0.88029999999999986</v>
      </c>
      <c r="F32" s="16">
        <f t="shared" si="2"/>
        <v>0.48568443972678604</v>
      </c>
      <c r="G32" s="16">
        <f t="shared" si="3"/>
        <v>0.61814383237954573</v>
      </c>
      <c r="H32" s="16">
        <f t="shared" si="4"/>
        <v>0.94353736527245369</v>
      </c>
      <c r="I32" s="16">
        <f t="shared" si="5"/>
        <v>0.92415937159625017</v>
      </c>
      <c r="J32" s="16">
        <f t="shared" si="6"/>
        <v>0.90767315306631235</v>
      </c>
      <c r="K32" s="16">
        <f t="shared" si="7"/>
        <v>1.26019221465744</v>
      </c>
      <c r="L32" s="16">
        <f t="shared" si="8"/>
        <v>2.0836944309482321</v>
      </c>
      <c r="M32" s="16">
        <f t="shared" si="9"/>
        <v>3.455078811657172</v>
      </c>
      <c r="N32" s="16">
        <f t="shared" si="10"/>
        <v>0.99015102580227454</v>
      </c>
      <c r="O32" s="16">
        <f t="shared" si="11"/>
        <v>1.6371884814593256</v>
      </c>
      <c r="P32" s="16">
        <f t="shared" si="12"/>
        <v>1.666925008301454</v>
      </c>
    </row>
    <row r="33" spans="1:16" ht="15.75" customHeight="1" x14ac:dyDescent="0.2">
      <c r="A33" s="5">
        <f t="shared" si="15"/>
        <v>11.5</v>
      </c>
      <c r="B33" s="16">
        <f t="shared" si="0"/>
        <v>218.5</v>
      </c>
      <c r="C33" s="16">
        <f t="shared" si="1"/>
        <v>78.48</v>
      </c>
      <c r="D33" s="16">
        <f t="shared" si="13"/>
        <v>140.01999999999998</v>
      </c>
      <c r="E33" s="16">
        <f t="shared" si="14"/>
        <v>0.86694999999999989</v>
      </c>
      <c r="F33" s="16">
        <f t="shared" si="2"/>
        <v>0.48365030397443226</v>
      </c>
      <c r="G33" s="16">
        <f t="shared" si="3"/>
        <v>0.61555493233109548</v>
      </c>
      <c r="H33" s="16">
        <f t="shared" si="4"/>
        <v>0.93732460784407179</v>
      </c>
      <c r="I33" s="16">
        <f t="shared" si="5"/>
        <v>0.91581439389972275</v>
      </c>
      <c r="J33" s="16">
        <f t="shared" si="6"/>
        <v>0.89751414601865687</v>
      </c>
      <c r="K33" s="16">
        <f t="shared" si="7"/>
        <v>1.2738802418395514</v>
      </c>
      <c r="L33" s="16">
        <f t="shared" si="8"/>
        <v>2.1115246833475507</v>
      </c>
      <c r="M33" s="16">
        <f t="shared" si="9"/>
        <v>3.5088828664987513</v>
      </c>
      <c r="N33" s="16">
        <f t="shared" si="10"/>
        <v>1.0009059043025048</v>
      </c>
      <c r="O33" s="16">
        <f t="shared" si="11"/>
        <v>1.6590551083445044</v>
      </c>
      <c r="P33" s="16">
        <f t="shared" si="12"/>
        <v>1.6928831208228972</v>
      </c>
    </row>
    <row r="34" spans="1:16" ht="15.75" customHeight="1" x14ac:dyDescent="0.2">
      <c r="A34" s="5">
        <f t="shared" si="15"/>
        <v>12</v>
      </c>
      <c r="B34" s="16">
        <f t="shared" si="0"/>
        <v>228</v>
      </c>
      <c r="C34" s="16">
        <f t="shared" si="1"/>
        <v>83.385000000000005</v>
      </c>
      <c r="D34" s="16">
        <f t="shared" si="13"/>
        <v>144.61500000000001</v>
      </c>
      <c r="E34" s="16">
        <f t="shared" si="14"/>
        <v>0.85359999999999991</v>
      </c>
      <c r="F34" s="16">
        <f t="shared" si="2"/>
        <v>0.48111839020848457</v>
      </c>
      <c r="G34" s="16">
        <f t="shared" si="3"/>
        <v>0.61233249662898015</v>
      </c>
      <c r="H34" s="16">
        <f t="shared" si="4"/>
        <v>0.93131247693168284</v>
      </c>
      <c r="I34" s="16">
        <f t="shared" si="5"/>
        <v>0.90773889780143779</v>
      </c>
      <c r="J34" s="16">
        <f t="shared" si="6"/>
        <v>0.88768320041769611</v>
      </c>
      <c r="K34" s="16">
        <f t="shared" si="7"/>
        <v>1.288850981534458</v>
      </c>
      <c r="L34" s="16">
        <f t="shared" si="8"/>
        <v>2.1415202686712953</v>
      </c>
      <c r="M34" s="16">
        <f t="shared" si="9"/>
        <v>3.5664133743883926</v>
      </c>
      <c r="N34" s="16">
        <f t="shared" si="10"/>
        <v>1.0126686283485031</v>
      </c>
      <c r="O34" s="16">
        <f t="shared" si="11"/>
        <v>1.6826230682417327</v>
      </c>
      <c r="P34" s="16">
        <f t="shared" si="12"/>
        <v>1.7206390845994604</v>
      </c>
    </row>
    <row r="35" spans="1:16" ht="15.75" customHeight="1" x14ac:dyDescent="0.2">
      <c r="A35" s="5">
        <f t="shared" si="15"/>
        <v>12.5</v>
      </c>
      <c r="B35" s="16">
        <f t="shared" si="0"/>
        <v>237.5</v>
      </c>
      <c r="C35" s="16">
        <f t="shared" si="1"/>
        <v>88.29</v>
      </c>
      <c r="D35" s="16">
        <f t="shared" si="13"/>
        <v>149.20999999999998</v>
      </c>
      <c r="E35" s="16">
        <f t="shared" si="14"/>
        <v>0.84024999999999994</v>
      </c>
      <c r="F35" s="16">
        <f t="shared" si="2"/>
        <v>0.47813468643187468</v>
      </c>
      <c r="G35" s="16">
        <f t="shared" si="3"/>
        <v>0.60853505545874942</v>
      </c>
      <c r="H35" s="16">
        <f t="shared" si="4"/>
        <v>0.92548841932436088</v>
      </c>
      <c r="I35" s="16">
        <f t="shared" si="5"/>
        <v>0.89991602182460273</v>
      </c>
      <c r="J35" s="16">
        <f t="shared" si="6"/>
        <v>0.87815978944265238</v>
      </c>
      <c r="K35" s="16">
        <f t="shared" si="7"/>
        <v>1.3050550932214178</v>
      </c>
      <c r="L35" s="16">
        <f t="shared" si="8"/>
        <v>2.1736161786222685</v>
      </c>
      <c r="M35" s="16">
        <f t="shared" si="9"/>
        <v>3.627587028941424</v>
      </c>
      <c r="N35" s="16">
        <f t="shared" si="10"/>
        <v>1.0254004303882571</v>
      </c>
      <c r="O35" s="16">
        <f t="shared" si="11"/>
        <v>1.7078412832032115</v>
      </c>
      <c r="P35" s="16">
        <f t="shared" si="12"/>
        <v>1.750152707929729</v>
      </c>
    </row>
    <row r="36" spans="1:16" ht="15.75" customHeight="1" x14ac:dyDescent="0.2">
      <c r="A36" s="5">
        <f t="shared" si="15"/>
        <v>13</v>
      </c>
      <c r="B36" s="16">
        <f t="shared" si="0"/>
        <v>247</v>
      </c>
      <c r="C36" s="16">
        <f t="shared" si="1"/>
        <v>93.195000000000007</v>
      </c>
      <c r="D36" s="16">
        <f t="shared" si="13"/>
        <v>153.80500000000001</v>
      </c>
      <c r="E36" s="16">
        <f t="shared" si="14"/>
        <v>0.82689999999999997</v>
      </c>
      <c r="F36" s="16">
        <f t="shared" si="2"/>
        <v>0.47473968499073499</v>
      </c>
      <c r="G36" s="16">
        <f t="shared" si="3"/>
        <v>0.60421414453366262</v>
      </c>
      <c r="H36" s="16">
        <f t="shared" si="4"/>
        <v>0.91984102433997827</v>
      </c>
      <c r="I36" s="16">
        <f t="shared" si="5"/>
        <v>0.89233043913745957</v>
      </c>
      <c r="J36" s="16">
        <f t="shared" si="6"/>
        <v>0.86892525451857117</v>
      </c>
      <c r="K36" s="16">
        <f t="shared" si="7"/>
        <v>1.3224576503891958</v>
      </c>
      <c r="L36" s="16">
        <f t="shared" si="8"/>
        <v>2.2077701011767976</v>
      </c>
      <c r="M36" s="16">
        <f t="shared" si="9"/>
        <v>3.6923569705507648</v>
      </c>
      <c r="N36" s="16">
        <f t="shared" si="10"/>
        <v>1.0390738681629397</v>
      </c>
      <c r="O36" s="16">
        <f t="shared" si="11"/>
        <v>1.7346765080674844</v>
      </c>
      <c r="P36" s="16">
        <f t="shared" si="12"/>
        <v>1.7814013830946955</v>
      </c>
    </row>
    <row r="37" spans="1:16" ht="15.75" customHeight="1" x14ac:dyDescent="0.2">
      <c r="A37" s="5">
        <f t="shared" si="15"/>
        <v>13.5</v>
      </c>
      <c r="B37" s="16">
        <f t="shared" si="0"/>
        <v>256.5</v>
      </c>
      <c r="C37" s="16">
        <f t="shared" si="1"/>
        <v>98.100000000000009</v>
      </c>
      <c r="D37" s="16">
        <f t="shared" si="13"/>
        <v>158.39999999999998</v>
      </c>
      <c r="E37" s="16">
        <f t="shared" si="14"/>
        <v>0.81354999999999988</v>
      </c>
      <c r="F37" s="16">
        <f t="shared" si="2"/>
        <v>0.47096917968750007</v>
      </c>
      <c r="G37" s="16">
        <f t="shared" si="3"/>
        <v>0.59941531960227268</v>
      </c>
      <c r="H37" s="16">
        <f t="shared" si="4"/>
        <v>0.91435988924855083</v>
      </c>
      <c r="I37" s="16">
        <f t="shared" si="5"/>
        <v>0.88496817678988082</v>
      </c>
      <c r="J37" s="16">
        <f t="shared" si="6"/>
        <v>0.85996258525860836</v>
      </c>
      <c r="K37" s="16">
        <f t="shared" si="7"/>
        <v>1.3410359840802661</v>
      </c>
      <c r="L37" s="16">
        <f t="shared" si="8"/>
        <v>2.2439591735891016</v>
      </c>
      <c r="M37" s="16">
        <f t="shared" si="9"/>
        <v>3.7607078262926463</v>
      </c>
      <c r="N37" s="16">
        <f t="shared" si="10"/>
        <v>1.0536711303487809</v>
      </c>
      <c r="O37" s="16">
        <f t="shared" si="11"/>
        <v>1.7631107792485803</v>
      </c>
      <c r="P37" s="16">
        <f t="shared" si="12"/>
        <v>1.8143776933283542</v>
      </c>
    </row>
    <row r="38" spans="1:16" ht="15.75" customHeight="1" x14ac:dyDescent="0.2">
      <c r="A38" s="5">
        <f t="shared" si="15"/>
        <v>14</v>
      </c>
      <c r="B38" s="16">
        <f t="shared" si="0"/>
        <v>266</v>
      </c>
      <c r="C38" s="16">
        <f t="shared" si="1"/>
        <v>103.00500000000001</v>
      </c>
      <c r="D38" s="16">
        <f t="shared" si="13"/>
        <v>162.995</v>
      </c>
      <c r="E38" s="16">
        <f t="shared" si="14"/>
        <v>0.80019999999999991</v>
      </c>
      <c r="F38" s="16">
        <f t="shared" si="2"/>
        <v>0.46685492806527806</v>
      </c>
      <c r="G38" s="16">
        <f t="shared" si="3"/>
        <v>0.59417899935580831</v>
      </c>
      <c r="H38" s="16">
        <f t="shared" si="4"/>
        <v>0.90903550394456722</v>
      </c>
      <c r="I38" s="16">
        <f t="shared" si="5"/>
        <v>0.87781646080520681</v>
      </c>
      <c r="J38" s="16">
        <f t="shared" si="6"/>
        <v>0.85125623088196722</v>
      </c>
      <c r="K38" s="16">
        <f t="shared" si="7"/>
        <v>1.3607780408311074</v>
      </c>
      <c r="L38" s="16">
        <f t="shared" si="8"/>
        <v>2.2821775284321566</v>
      </c>
      <c r="M38" s="16">
        <f t="shared" si="9"/>
        <v>3.8326519936821262</v>
      </c>
      <c r="N38" s="16">
        <f t="shared" si="10"/>
        <v>1.0691827463672989</v>
      </c>
      <c r="O38" s="16">
        <f t="shared" si="11"/>
        <v>1.7931394866252659</v>
      </c>
      <c r="P38" s="16">
        <f t="shared" si="12"/>
        <v>1.8490876198916302</v>
      </c>
    </row>
    <row r="39" spans="1:16" ht="15.75" customHeight="1" x14ac:dyDescent="0.2">
      <c r="A39" s="5">
        <f t="shared" si="15"/>
        <v>14.5</v>
      </c>
      <c r="B39" s="16">
        <f t="shared" si="0"/>
        <v>275.5</v>
      </c>
      <c r="C39" s="16">
        <f t="shared" si="1"/>
        <v>107.91000000000001</v>
      </c>
      <c r="D39" s="16">
        <f t="shared" si="13"/>
        <v>167.58999999999997</v>
      </c>
      <c r="E39" s="16">
        <f t="shared" si="14"/>
        <v>0.78684999999999994</v>
      </c>
      <c r="F39" s="16">
        <f t="shared" si="2"/>
        <v>0.4624252047407364</v>
      </c>
      <c r="G39" s="16">
        <f t="shared" si="3"/>
        <v>0.58854116967002801</v>
      </c>
      <c r="H39" s="16">
        <f t="shared" si="4"/>
        <v>0.90385915165608266</v>
      </c>
      <c r="I39" s="16">
        <f t="shared" si="5"/>
        <v>0.87086358281266896</v>
      </c>
      <c r="J39" s="16">
        <f t="shared" si="6"/>
        <v>0.84279193785490802</v>
      </c>
      <c r="K39" s="16">
        <f t="shared" si="7"/>
        <v>1.3816811364724131</v>
      </c>
      <c r="L39" s="16">
        <f t="shared" si="8"/>
        <v>2.3224344517536482</v>
      </c>
      <c r="M39" s="16">
        <f t="shared" si="9"/>
        <v>3.9082268877126878</v>
      </c>
      <c r="N39" s="16">
        <f t="shared" si="10"/>
        <v>1.0856066072283248</v>
      </c>
      <c r="O39" s="16">
        <f t="shared" si="11"/>
        <v>1.8247699263778667</v>
      </c>
      <c r="P39" s="16">
        <f t="shared" si="12"/>
        <v>1.8855492138889176</v>
      </c>
    </row>
    <row r="40" spans="1:16" ht="15.75" customHeight="1" x14ac:dyDescent="0.2">
      <c r="A40" s="5">
        <f t="shared" si="15"/>
        <v>15</v>
      </c>
      <c r="B40" s="16">
        <f t="shared" si="0"/>
        <v>285</v>
      </c>
      <c r="C40" s="16">
        <f t="shared" si="1"/>
        <v>112.81500000000001</v>
      </c>
      <c r="D40" s="16">
        <f t="shared" si="13"/>
        <v>172.185</v>
      </c>
      <c r="E40" s="16">
        <f t="shared" si="14"/>
        <v>0.77349999999999985</v>
      </c>
      <c r="F40" s="16">
        <f t="shared" si="2"/>
        <v>0.45770526613816531</v>
      </c>
      <c r="G40" s="16">
        <f t="shared" si="3"/>
        <v>0.58253397508493754</v>
      </c>
      <c r="H40" s="16">
        <f t="shared" si="4"/>
        <v>0.89882282308685146</v>
      </c>
      <c r="I40" s="16">
        <f t="shared" si="5"/>
        <v>0.86409878472307666</v>
      </c>
      <c r="J40" s="16">
        <f t="shared" si="6"/>
        <v>0.83455660949726207</v>
      </c>
      <c r="K40" s="16">
        <f t="shared" si="7"/>
        <v>1.4037510196712673</v>
      </c>
      <c r="L40" s="16">
        <f t="shared" si="8"/>
        <v>2.3647530221735935</v>
      </c>
      <c r="M40" s="16">
        <f t="shared" si="9"/>
        <v>3.9874929482241832</v>
      </c>
      <c r="N40" s="16">
        <f t="shared" si="10"/>
        <v>1.1029472297417102</v>
      </c>
      <c r="O40" s="16">
        <f t="shared" si="11"/>
        <v>1.8580202317078238</v>
      </c>
      <c r="P40" s="16">
        <f t="shared" si="12"/>
        <v>1.9237916349099229</v>
      </c>
    </row>
    <row r="41" spans="1:16" ht="15.75" customHeight="1" x14ac:dyDescent="0.2">
      <c r="A41" s="5">
        <f t="shared" si="15"/>
        <v>15.5</v>
      </c>
      <c r="B41" s="16">
        <f t="shared" si="0"/>
        <v>294.5</v>
      </c>
      <c r="C41" s="16">
        <f t="shared" si="1"/>
        <v>117.72</v>
      </c>
      <c r="D41" s="16">
        <f t="shared" si="13"/>
        <v>176.78</v>
      </c>
      <c r="E41" s="16">
        <f t="shared" si="14"/>
        <v>0.76014999999999988</v>
      </c>
      <c r="F41" s="16">
        <f t="shared" si="2"/>
        <v>0.45271774274522003</v>
      </c>
      <c r="G41" s="16">
        <f t="shared" si="3"/>
        <v>0.57618621803937087</v>
      </c>
      <c r="H41" s="16">
        <f t="shared" si="4"/>
        <v>0.89391914186801147</v>
      </c>
      <c r="I41" s="16">
        <f t="shared" si="5"/>
        <v>0.85751215859549612</v>
      </c>
      <c r="J41" s="16">
        <f t="shared" si="6"/>
        <v>0.82653818408215185</v>
      </c>
      <c r="K41" s="16">
        <f t="shared" si="7"/>
        <v>1.4270011822171924</v>
      </c>
      <c r="L41" s="16">
        <f t="shared" si="8"/>
        <v>2.4091691352670543</v>
      </c>
      <c r="M41" s="16">
        <f t="shared" si="9"/>
        <v>4.0705322601188545</v>
      </c>
      <c r="N41" s="16">
        <f t="shared" si="10"/>
        <v>1.1212152145992229</v>
      </c>
      <c r="O41" s="16">
        <f t="shared" si="11"/>
        <v>1.8929186062812573</v>
      </c>
      <c r="P41" s="16">
        <f t="shared" si="12"/>
        <v>1.9638544853440005</v>
      </c>
    </row>
    <row r="42" spans="1:16" ht="15.75" customHeight="1" x14ac:dyDescent="0.2">
      <c r="A42" s="5">
        <f t="shared" si="15"/>
        <v>16</v>
      </c>
      <c r="B42" s="16">
        <f t="shared" si="0"/>
        <v>304</v>
      </c>
      <c r="C42" s="16">
        <f t="shared" ref="C42:C70" si="16">MAX(0,(A42-$B$2)*9.81)</f>
        <v>122.625</v>
      </c>
      <c r="D42" s="16">
        <f t="shared" ref="D42:D70" si="17">B42-C42</f>
        <v>181.375</v>
      </c>
      <c r="E42" s="16">
        <f t="shared" ref="E42:E70" si="18">IF(A42&lt;=9.15,1-0.00765*A42,1.174-0.0267*A42)</f>
        <v>0.74679999999999991</v>
      </c>
      <c r="F42" s="16">
        <f t="shared" si="2"/>
        <v>0.44748297174362506</v>
      </c>
      <c r="G42" s="16">
        <f t="shared" si="3"/>
        <v>0.569523782219159</v>
      </c>
      <c r="H42" s="16">
        <f t="shared" si="4"/>
        <v>0.88914129957742027</v>
      </c>
      <c r="I42" s="16">
        <f t="shared" si="5"/>
        <v>0.85109455935520306</v>
      </c>
      <c r="J42" s="16">
        <f t="shared" si="6"/>
        <v>0.81872552858059233</v>
      </c>
      <c r="K42" s="16">
        <f t="shared" si="7"/>
        <v>1.4514523698030848</v>
      </c>
      <c r="L42" s="16">
        <f t="shared" si="8"/>
        <v>2.4557308433488125</v>
      </c>
      <c r="M42" s="16">
        <f t="shared" si="9"/>
        <v>4.1574476792783264</v>
      </c>
      <c r="N42" s="16">
        <f t="shared" si="10"/>
        <v>1.1404268619881386</v>
      </c>
      <c r="O42" s="16">
        <f t="shared" si="11"/>
        <v>1.929502805488353</v>
      </c>
      <c r="P42" s="16">
        <f t="shared" si="12"/>
        <v>2.0057873886731832</v>
      </c>
    </row>
    <row r="43" spans="1:16" ht="15.75" customHeight="1" x14ac:dyDescent="0.2">
      <c r="A43" s="5">
        <f t="shared" si="15"/>
        <v>16.5</v>
      </c>
      <c r="B43" s="16">
        <f t="shared" si="0"/>
        <v>313.5</v>
      </c>
      <c r="C43" s="16">
        <f t="shared" si="16"/>
        <v>127.53</v>
      </c>
      <c r="D43" s="16">
        <f t="shared" si="17"/>
        <v>185.97</v>
      </c>
      <c r="E43" s="16">
        <f t="shared" si="18"/>
        <v>0.73344999999999994</v>
      </c>
      <c r="F43" s="16">
        <f t="shared" ref="F43:F74" si="19">0.65*$D$5*(B43/D43)*E43</f>
        <v>0.44201928032747217</v>
      </c>
      <c r="G43" s="16">
        <f t="shared" ref="G43:G70" si="20">0.65*$D$6*(B43/D43)*E43</f>
        <v>0.56256999314405542</v>
      </c>
      <c r="H43" s="16">
        <f t="shared" ref="H43:H70" si="21">MIN(1.1,1-$I$2*LN($D43/100))</f>
        <v>0.88448299888993276</v>
      </c>
      <c r="I43" s="16">
        <f t="shared" ref="I43:I70" si="22">MIN(1.1,1-$I$3*LN($D43/100))</f>
        <v>0.84483752843311755</v>
      </c>
      <c r="J43" s="16">
        <f t="shared" ref="J43:J70" si="23">MIN(1.1,1-$I$4*LN($D43/100))</f>
        <v>0.81110834570168344</v>
      </c>
      <c r="K43" s="16">
        <f t="shared" ref="K43:K70" si="24">($G$6*$I$5)/($F43*H43)</f>
        <v>1.4771322593855565</v>
      </c>
      <c r="L43" s="16">
        <f t="shared" ref="L43:L70" si="25">($G$7*$I$6)/($F43*I43)</f>
        <v>2.5044979598052706</v>
      </c>
      <c r="M43" s="16">
        <f t="shared" ref="M43:M70" si="26">($G$8*$I$7)/($F43*J43)</f>
        <v>4.2483623868992142</v>
      </c>
      <c r="N43" s="16">
        <f t="shared" ref="N43:N70" si="27">($G$6*$I$5)/($G43*H43)</f>
        <v>1.1606039180886516</v>
      </c>
      <c r="O43" s="16">
        <f t="shared" ref="O43:O70" si="28">($G$7*$I$6)/($G43*I43)</f>
        <v>1.9678198255612844</v>
      </c>
      <c r="P43" s="16">
        <f t="shared" ref="P43:P70" si="29">($G$7*$I$6)/($G43*J43)</f>
        <v>2.0496497744585267</v>
      </c>
    </row>
    <row r="44" spans="1:16" ht="15.75" customHeight="1" x14ac:dyDescent="0.2">
      <c r="A44" s="5">
        <f t="shared" si="15"/>
        <v>17</v>
      </c>
      <c r="B44" s="16">
        <f t="shared" si="0"/>
        <v>323</v>
      </c>
      <c r="C44" s="16">
        <f t="shared" si="16"/>
        <v>132.435</v>
      </c>
      <c r="D44" s="16">
        <f t="shared" si="17"/>
        <v>190.565</v>
      </c>
      <c r="E44" s="16">
        <f t="shared" si="18"/>
        <v>0.72009999999999996</v>
      </c>
      <c r="F44" s="16">
        <f t="shared" si="19"/>
        <v>0.43634322803242986</v>
      </c>
      <c r="G44" s="16">
        <f t="shared" si="20"/>
        <v>0.55534592658672888</v>
      </c>
      <c r="H44" s="16">
        <f t="shared" si="21"/>
        <v>0.87993840366747134</v>
      </c>
      <c r="I44" s="16">
        <f t="shared" si="22"/>
        <v>0.83873322672677153</v>
      </c>
      <c r="J44" s="16">
        <f t="shared" si="23"/>
        <v>0.80367709228064776</v>
      </c>
      <c r="K44" s="16">
        <f t="shared" si="24"/>
        <v>1.5040752784545914</v>
      </c>
      <c r="L44" s="16">
        <f t="shared" si="25"/>
        <v>2.5555418914395132</v>
      </c>
      <c r="M44" s="16">
        <f t="shared" si="26"/>
        <v>4.3434198175396856</v>
      </c>
      <c r="N44" s="16">
        <f t="shared" si="27"/>
        <v>1.1817734330714649</v>
      </c>
      <c r="O44" s="16">
        <f t="shared" si="28"/>
        <v>2.0079257718453318</v>
      </c>
      <c r="P44" s="16">
        <f t="shared" si="29"/>
        <v>2.0955108436257111</v>
      </c>
    </row>
    <row r="45" spans="1:16" ht="15.75" customHeight="1" x14ac:dyDescent="0.2">
      <c r="A45" s="5">
        <f t="shared" si="15"/>
        <v>17.5</v>
      </c>
      <c r="B45" s="16">
        <f t="shared" si="0"/>
        <v>332.5</v>
      </c>
      <c r="C45" s="16">
        <f t="shared" si="16"/>
        <v>137.34</v>
      </c>
      <c r="D45" s="16">
        <f t="shared" si="17"/>
        <v>195.16</v>
      </c>
      <c r="E45" s="16">
        <f t="shared" si="18"/>
        <v>0.70674999999999988</v>
      </c>
      <c r="F45" s="16">
        <f t="shared" si="19"/>
        <v>0.43046981483142038</v>
      </c>
      <c r="G45" s="16">
        <f t="shared" si="20"/>
        <v>0.54787067342180762</v>
      </c>
      <c r="H45" s="16">
        <f t="shared" si="21"/>
        <v>0.87550209499648113</v>
      </c>
      <c r="I45" s="16">
        <f t="shared" si="22"/>
        <v>0.83277437554980449</v>
      </c>
      <c r="J45" s="16">
        <f t="shared" si="23"/>
        <v>0.79642290739194155</v>
      </c>
      <c r="K45" s="16">
        <f t="shared" si="24"/>
        <v>1.5323225486152434</v>
      </c>
      <c r="L45" s="16">
        <f t="shared" si="25"/>
        <v>2.6089456733152963</v>
      </c>
      <c r="M45" s="16">
        <f t="shared" si="26"/>
        <v>4.4427839236522262</v>
      </c>
      <c r="N45" s="16">
        <f t="shared" si="27"/>
        <v>1.2039677167691201</v>
      </c>
      <c r="O45" s="16">
        <f t="shared" si="28"/>
        <v>2.0498858861763045</v>
      </c>
      <c r="P45" s="16">
        <f t="shared" si="29"/>
        <v>2.1434496960905753</v>
      </c>
    </row>
    <row r="46" spans="1:16" ht="15.75" customHeight="1" x14ac:dyDescent="0.2">
      <c r="A46" s="5">
        <f t="shared" si="15"/>
        <v>18</v>
      </c>
      <c r="B46" s="16">
        <f t="shared" si="0"/>
        <v>342</v>
      </c>
      <c r="C46" s="16">
        <f t="shared" si="16"/>
        <v>142.245</v>
      </c>
      <c r="D46" s="16">
        <f t="shared" si="17"/>
        <v>199.755</v>
      </c>
      <c r="E46" s="16">
        <f t="shared" si="18"/>
        <v>0.69339999999999991</v>
      </c>
      <c r="F46" s="16">
        <f t="shared" si="19"/>
        <v>0.42441266050912363</v>
      </c>
      <c r="G46" s="16">
        <f t="shared" si="20"/>
        <v>0.54016156792070269</v>
      </c>
      <c r="H46" s="16">
        <f t="shared" si="21"/>
        <v>0.87116903234208221</v>
      </c>
      <c r="I46" s="16">
        <f t="shared" si="22"/>
        <v>0.82695420445420897</v>
      </c>
      <c r="J46" s="16">
        <f t="shared" si="23"/>
        <v>0.78933754882911156</v>
      </c>
      <c r="K46" s="16">
        <f t="shared" si="24"/>
        <v>1.5619219414270125</v>
      </c>
      <c r="L46" s="16">
        <f t="shared" si="25"/>
        <v>2.6648041892945633</v>
      </c>
      <c r="M46" s="16">
        <f t="shared" si="26"/>
        <v>4.5466397533192051</v>
      </c>
      <c r="N46" s="16">
        <f t="shared" si="27"/>
        <v>1.2272243825497959</v>
      </c>
      <c r="O46" s="16">
        <f t="shared" si="28"/>
        <v>2.0937747201600141</v>
      </c>
      <c r="P46" s="16">
        <f t="shared" si="29"/>
        <v>2.1935556094913609</v>
      </c>
    </row>
    <row r="47" spans="1:16" ht="15.75" customHeight="1" x14ac:dyDescent="0.2">
      <c r="A47" s="5">
        <f t="shared" si="15"/>
        <v>18.5</v>
      </c>
      <c r="B47" s="16">
        <f t="shared" si="0"/>
        <v>351.5</v>
      </c>
      <c r="C47" s="16">
        <f t="shared" si="16"/>
        <v>147.15</v>
      </c>
      <c r="D47" s="16">
        <f t="shared" si="17"/>
        <v>204.35</v>
      </c>
      <c r="E47" s="16">
        <f t="shared" si="18"/>
        <v>0.68004999999999993</v>
      </c>
      <c r="F47" s="16">
        <f t="shared" si="19"/>
        <v>0.41818415983606561</v>
      </c>
      <c r="G47" s="16">
        <f t="shared" si="20"/>
        <v>0.5322343852459015</v>
      </c>
      <c r="H47" s="16">
        <f t="shared" si="21"/>
        <v>0.86693451912052222</v>
      </c>
      <c r="I47" s="16">
        <f t="shared" si="22"/>
        <v>0.82126640498723835</v>
      </c>
      <c r="J47" s="16">
        <f t="shared" si="23"/>
        <v>0.78241333680938974</v>
      </c>
      <c r="K47" s="16">
        <f t="shared" si="24"/>
        <v>1.5929282389190753</v>
      </c>
      <c r="L47" s="16">
        <f t="shared" si="25"/>
        <v>2.7232245685711272</v>
      </c>
      <c r="M47" s="16">
        <f t="shared" si="26"/>
        <v>4.6551943294246492</v>
      </c>
      <c r="N47" s="16">
        <f t="shared" si="27"/>
        <v>1.2515864734364168</v>
      </c>
      <c r="O47" s="16">
        <f t="shared" si="28"/>
        <v>2.139676446734458</v>
      </c>
      <c r="P47" s="16">
        <f t="shared" si="29"/>
        <v>2.2459284633507894</v>
      </c>
    </row>
    <row r="48" spans="1:16" ht="15.75" customHeight="1" x14ac:dyDescent="0.2">
      <c r="A48" s="5">
        <f t="shared" si="15"/>
        <v>19</v>
      </c>
      <c r="B48" s="16">
        <f t="shared" si="0"/>
        <v>361</v>
      </c>
      <c r="C48" s="16">
        <f t="shared" si="16"/>
        <v>152.05500000000001</v>
      </c>
      <c r="D48" s="16">
        <f t="shared" si="17"/>
        <v>208.94499999999999</v>
      </c>
      <c r="E48" s="16">
        <f t="shared" si="18"/>
        <v>0.66669999999999985</v>
      </c>
      <c r="F48" s="16">
        <f t="shared" si="19"/>
        <v>0.41179561726770203</v>
      </c>
      <c r="G48" s="16">
        <f t="shared" si="20"/>
        <v>0.52410351288616608</v>
      </c>
      <c r="H48" s="16">
        <f t="shared" si="21"/>
        <v>0.86279417210027542</v>
      </c>
      <c r="I48" s="16">
        <f t="shared" si="22"/>
        <v>0.81570508959095356</v>
      </c>
      <c r="J48" s="16">
        <f t="shared" si="23"/>
        <v>0.77564310393883296</v>
      </c>
      <c r="K48" s="16">
        <f t="shared" si="24"/>
        <v>1.6254033949380615</v>
      </c>
      <c r="L48" s="16">
        <f t="shared" si="25"/>
        <v>2.7843267545336081</v>
      </c>
      <c r="M48" s="16">
        <f t="shared" si="26"/>
        <v>4.7686778284159619</v>
      </c>
      <c r="N48" s="16">
        <f t="shared" si="27"/>
        <v>1.2771026674513344</v>
      </c>
      <c r="O48" s="16">
        <f t="shared" si="28"/>
        <v>2.1876853071335498</v>
      </c>
      <c r="P48" s="16">
        <f t="shared" si="29"/>
        <v>2.3006793077772412</v>
      </c>
    </row>
    <row r="49" spans="1:16" ht="15.75" customHeight="1" x14ac:dyDescent="0.2">
      <c r="A49" s="5">
        <f t="shared" si="15"/>
        <v>19.5</v>
      </c>
      <c r="B49" s="16">
        <f t="shared" si="0"/>
        <v>370.5</v>
      </c>
      <c r="C49" s="16">
        <f t="shared" si="16"/>
        <v>156.96</v>
      </c>
      <c r="D49" s="16">
        <f t="shared" si="17"/>
        <v>213.54</v>
      </c>
      <c r="E49" s="16">
        <f t="shared" si="18"/>
        <v>0.65334999999999988</v>
      </c>
      <c r="F49" s="16">
        <f t="shared" si="19"/>
        <v>0.40525736425259901</v>
      </c>
      <c r="G49" s="16">
        <f t="shared" si="20"/>
        <v>0.51578209995785318</v>
      </c>
      <c r="H49" s="16">
        <f t="shared" si="21"/>
        <v>0.85874389413195085</v>
      </c>
      <c r="I49" s="16">
        <f t="shared" si="22"/>
        <v>0.81026475497302719</v>
      </c>
      <c r="J49" s="16">
        <f t="shared" si="23"/>
        <v>0.76902015062068108</v>
      </c>
      <c r="K49" s="16">
        <f t="shared" si="24"/>
        <v>1.6594168967428997</v>
      </c>
      <c r="L49" s="16">
        <f t="shared" si="25"/>
        <v>2.84824424764096</v>
      </c>
      <c r="M49" s="16">
        <f t="shared" si="26"/>
        <v>4.8873450657686455</v>
      </c>
      <c r="N49" s="16">
        <f t="shared" si="27"/>
        <v>1.3038275617265642</v>
      </c>
      <c r="O49" s="16">
        <f t="shared" si="28"/>
        <v>2.2379061945750407</v>
      </c>
      <c r="P49" s="16">
        <f t="shared" si="29"/>
        <v>2.3579310801367708</v>
      </c>
    </row>
    <row r="50" spans="1:16" ht="15.75" customHeight="1" x14ac:dyDescent="0.2">
      <c r="A50" s="5">
        <f t="shared" si="15"/>
        <v>20</v>
      </c>
      <c r="B50" s="16">
        <f t="shared" si="0"/>
        <v>380</v>
      </c>
      <c r="C50" s="16">
        <f t="shared" si="16"/>
        <v>161.86500000000001</v>
      </c>
      <c r="D50" s="16">
        <f t="shared" si="17"/>
        <v>218.13499999999999</v>
      </c>
      <c r="E50" s="16">
        <f t="shared" si="18"/>
        <v>0.6399999999999999</v>
      </c>
      <c r="F50" s="16">
        <f t="shared" si="19"/>
        <v>0.39857886171407614</v>
      </c>
      <c r="G50" s="16">
        <f t="shared" si="20"/>
        <v>0.50728218763609678</v>
      </c>
      <c r="H50" s="16">
        <f t="shared" si="21"/>
        <v>0.85477984978168331</v>
      </c>
      <c r="I50" s="16">
        <f t="shared" si="22"/>
        <v>0.80494024937750708</v>
      </c>
      <c r="J50" s="16">
        <f t="shared" si="23"/>
        <v>0.76253820521144666</v>
      </c>
      <c r="K50" s="16">
        <f t="shared" si="24"/>
        <v>1.6950462292365878</v>
      </c>
      <c r="L50" s="16">
        <f t="shared" si="25"/>
        <v>2.9151250289794337</v>
      </c>
      <c r="M50" s="16">
        <f t="shared" si="26"/>
        <v>5.0114773037768394</v>
      </c>
      <c r="N50" s="16">
        <f t="shared" si="27"/>
        <v>1.3318220372573193</v>
      </c>
      <c r="O50" s="16">
        <f t="shared" si="28"/>
        <v>2.2904553799124123</v>
      </c>
      <c r="P50" s="16">
        <f t="shared" si="29"/>
        <v>2.4178194772332886</v>
      </c>
    </row>
    <row r="51" spans="1:16" ht="15.75" customHeight="1" x14ac:dyDescent="0.2">
      <c r="A51" s="5">
        <f t="shared" si="15"/>
        <v>20.5</v>
      </c>
      <c r="B51" s="16">
        <f t="shared" si="0"/>
        <v>389.5</v>
      </c>
      <c r="C51" s="16">
        <f t="shared" si="16"/>
        <v>166.77</v>
      </c>
      <c r="D51" s="16">
        <f t="shared" si="17"/>
        <v>222.73</v>
      </c>
      <c r="E51" s="16">
        <f t="shared" si="18"/>
        <v>0.62664999999999993</v>
      </c>
      <c r="F51" s="16">
        <f t="shared" si="19"/>
        <v>0.39176878984645086</v>
      </c>
      <c r="G51" s="16">
        <f t="shared" si="20"/>
        <v>0.49861482344093733</v>
      </c>
      <c r="H51" s="16">
        <f t="shared" si="21"/>
        <v>0.85089844350476451</v>
      </c>
      <c r="I51" s="16">
        <f t="shared" si="22"/>
        <v>0.79972674326763071</v>
      </c>
      <c r="J51" s="16">
        <f t="shared" si="23"/>
        <v>0.75619138833076538</v>
      </c>
      <c r="K51" s="16">
        <f t="shared" si="24"/>
        <v>1.7323774470803315</v>
      </c>
      <c r="L51" s="16">
        <f t="shared" si="25"/>
        <v>2.9851326760542052</v>
      </c>
      <c r="M51" s="16">
        <f t="shared" si="26"/>
        <v>5.1413844057884459</v>
      </c>
      <c r="N51" s="16">
        <f t="shared" si="27"/>
        <v>1.3611537084202607</v>
      </c>
      <c r="O51" s="16">
        <f t="shared" si="28"/>
        <v>2.3454613883283049</v>
      </c>
      <c r="P51" s="16">
        <f t="shared" si="29"/>
        <v>2.4804939946331541</v>
      </c>
    </row>
    <row r="52" spans="1:16" ht="15.75" customHeight="1" x14ac:dyDescent="0.2">
      <c r="A52" s="5">
        <f t="shared" si="15"/>
        <v>21</v>
      </c>
      <c r="B52" s="16">
        <f t="shared" si="0"/>
        <v>399</v>
      </c>
      <c r="C52" s="16">
        <f t="shared" si="16"/>
        <v>171.67500000000001</v>
      </c>
      <c r="D52" s="16">
        <f t="shared" si="17"/>
        <v>227.32499999999999</v>
      </c>
      <c r="E52" s="16">
        <f t="shared" si="18"/>
        <v>0.61329999999999996</v>
      </c>
      <c r="F52" s="16">
        <f t="shared" si="19"/>
        <v>0.38483512702078526</v>
      </c>
      <c r="G52" s="16">
        <f t="shared" si="20"/>
        <v>0.48979016166281747</v>
      </c>
      <c r="H52" s="16">
        <f t="shared" si="21"/>
        <v>0.84709630004820657</v>
      </c>
      <c r="I52" s="16">
        <f t="shared" si="22"/>
        <v>0.79461970300254237</v>
      </c>
      <c r="J52" s="16">
        <f t="shared" si="23"/>
        <v>0.74997418081596467</v>
      </c>
      <c r="K52" s="16">
        <f t="shared" si="24"/>
        <v>1.7715058628134319</v>
      </c>
      <c r="L52" s="16">
        <f t="shared" si="25"/>
        <v>3.0584476873877886</v>
      </c>
      <c r="M52" s="16">
        <f t="shared" si="26"/>
        <v>5.2774073698836501</v>
      </c>
      <c r="N52" s="16">
        <f t="shared" si="27"/>
        <v>1.3918974636391255</v>
      </c>
      <c r="O52" s="16">
        <f t="shared" si="28"/>
        <v>2.403066040090406</v>
      </c>
      <c r="P52" s="16">
        <f t="shared" si="29"/>
        <v>2.5461191490546922</v>
      </c>
    </row>
    <row r="53" spans="1:16" ht="15.75" customHeight="1" x14ac:dyDescent="0.2">
      <c r="A53" s="5">
        <f t="shared" si="15"/>
        <v>21.5</v>
      </c>
      <c r="B53" s="16">
        <f t="shared" si="0"/>
        <v>408.5</v>
      </c>
      <c r="C53" s="16">
        <f t="shared" si="16"/>
        <v>176.58</v>
      </c>
      <c r="D53" s="16">
        <f t="shared" si="17"/>
        <v>231.92</v>
      </c>
      <c r="E53" s="16">
        <f t="shared" si="18"/>
        <v>0.59994999999999987</v>
      </c>
      <c r="F53" s="16">
        <f t="shared" si="19"/>
        <v>0.3777852193105381</v>
      </c>
      <c r="G53" s="16">
        <f t="shared" si="20"/>
        <v>0.4808175518497757</v>
      </c>
      <c r="H53" s="16">
        <f t="shared" si="21"/>
        <v>0.84337024681455075</v>
      </c>
      <c r="I53" s="16">
        <f t="shared" si="22"/>
        <v>0.78961486714835549</v>
      </c>
      <c r="J53" s="16">
        <f t="shared" si="23"/>
        <v>0.7438813948836307</v>
      </c>
      <c r="K53" s="16">
        <f t="shared" si="24"/>
        <v>1.8125368621353657</v>
      </c>
      <c r="L53" s="16">
        <f t="shared" si="25"/>
        <v>3.135269037876371</v>
      </c>
      <c r="M53" s="16">
        <f t="shared" si="26"/>
        <v>5.4199212846502887</v>
      </c>
      <c r="N53" s="16">
        <f t="shared" si="27"/>
        <v>1.4241361059635016</v>
      </c>
      <c r="O53" s="16">
        <f t="shared" si="28"/>
        <v>2.4634256726171491</v>
      </c>
      <c r="P53" s="16">
        <f t="shared" si="29"/>
        <v>2.6148759044010368</v>
      </c>
    </row>
    <row r="54" spans="1:16" ht="15.75" customHeight="1" x14ac:dyDescent="0.2">
      <c r="A54" s="5">
        <f t="shared" si="15"/>
        <v>22</v>
      </c>
      <c r="B54" s="16">
        <f t="shared" si="0"/>
        <v>418</v>
      </c>
      <c r="C54" s="16">
        <f t="shared" si="16"/>
        <v>181.48500000000001</v>
      </c>
      <c r="D54" s="16">
        <f t="shared" si="17"/>
        <v>236.51499999999999</v>
      </c>
      <c r="E54" s="16">
        <f t="shared" si="18"/>
        <v>0.5865999999999999</v>
      </c>
      <c r="F54" s="16">
        <f t="shared" si="19"/>
        <v>0.37062584191277503</v>
      </c>
      <c r="G54" s="16">
        <f t="shared" si="20"/>
        <v>0.47170561697989544</v>
      </c>
      <c r="H54" s="16">
        <f t="shared" si="21"/>
        <v>0.83971729795600725</v>
      </c>
      <c r="I54" s="16">
        <f t="shared" si="22"/>
        <v>0.78470822511339655</v>
      </c>
      <c r="J54" s="16">
        <f t="shared" si="23"/>
        <v>0.73790814812058492</v>
      </c>
      <c r="K54" s="16">
        <f t="shared" si="24"/>
        <v>1.855586860828065</v>
      </c>
      <c r="L54" s="16">
        <f t="shared" si="25"/>
        <v>3.2158159928265495</v>
      </c>
      <c r="M54" s="16">
        <f t="shared" si="26"/>
        <v>5.569338760548419</v>
      </c>
      <c r="N54" s="16">
        <f t="shared" si="27"/>
        <v>1.4579611049363368</v>
      </c>
      <c r="O54" s="16">
        <f t="shared" si="28"/>
        <v>2.5267125657922893</v>
      </c>
      <c r="P54" s="16">
        <f t="shared" si="29"/>
        <v>2.6869633272440518</v>
      </c>
    </row>
    <row r="55" spans="1:16" ht="15.75" customHeight="1" x14ac:dyDescent="0.2">
      <c r="A55" s="5">
        <f t="shared" si="15"/>
        <v>22.5</v>
      </c>
      <c r="B55" s="16">
        <f t="shared" si="0"/>
        <v>427.5</v>
      </c>
      <c r="C55" s="16">
        <f t="shared" si="16"/>
        <v>186.39000000000001</v>
      </c>
      <c r="D55" s="16">
        <f t="shared" si="17"/>
        <v>241.10999999999999</v>
      </c>
      <c r="E55" s="16">
        <f t="shared" si="18"/>
        <v>0.57324999999999993</v>
      </c>
      <c r="F55" s="16">
        <f t="shared" si="19"/>
        <v>0.36336325354609927</v>
      </c>
      <c r="G55" s="16">
        <f t="shared" si="20"/>
        <v>0.4624623226950354</v>
      </c>
      <c r="H55" s="16">
        <f t="shared" si="21"/>
        <v>0.83613463999911786</v>
      </c>
      <c r="I55" s="16">
        <f t="shared" si="22"/>
        <v>0.77989599783924812</v>
      </c>
      <c r="J55" s="16">
        <f t="shared" si="23"/>
        <v>0.73204983997755202</v>
      </c>
      <c r="K55" s="16">
        <f t="shared" si="24"/>
        <v>1.9007844215494589</v>
      </c>
      <c r="L55" s="16">
        <f t="shared" si="25"/>
        <v>3.300330215412556</v>
      </c>
      <c r="M55" s="16">
        <f t="shared" si="26"/>
        <v>5.7261139028364525</v>
      </c>
      <c r="N55" s="16">
        <f t="shared" si="27"/>
        <v>1.4934734740745752</v>
      </c>
      <c r="O55" s="16">
        <f t="shared" si="28"/>
        <v>2.5931165978241508</v>
      </c>
      <c r="P55" s="16">
        <f t="shared" si="29"/>
        <v>2.7626005035881125</v>
      </c>
    </row>
    <row r="56" spans="1:16" ht="15.75" customHeight="1" x14ac:dyDescent="0.2">
      <c r="A56" s="5">
        <f t="shared" si="15"/>
        <v>23</v>
      </c>
      <c r="B56" s="16">
        <f t="shared" si="0"/>
        <v>437</v>
      </c>
      <c r="C56" s="16">
        <f t="shared" si="16"/>
        <v>191.29500000000002</v>
      </c>
      <c r="D56" s="16">
        <f t="shared" si="17"/>
        <v>245.70499999999998</v>
      </c>
      <c r="E56" s="16">
        <f t="shared" si="18"/>
        <v>0.55989999999999984</v>
      </c>
      <c r="F56" s="16">
        <f t="shared" si="19"/>
        <v>0.35600324474471418</v>
      </c>
      <c r="G56" s="16">
        <f t="shared" si="20"/>
        <v>0.45309503876599977</v>
      </c>
      <c r="H56" s="16">
        <f t="shared" si="21"/>
        <v>0.83261961882654867</v>
      </c>
      <c r="I56" s="16">
        <f t="shared" si="22"/>
        <v>0.77517462031468709</v>
      </c>
      <c r="J56" s="16">
        <f t="shared" si="23"/>
        <v>0.72630213048198111</v>
      </c>
      <c r="K56" s="16">
        <f t="shared" si="24"/>
        <v>1.9482715530756944</v>
      </c>
      <c r="L56" s="16">
        <f t="shared" si="25"/>
        <v>3.3890782102501071</v>
      </c>
      <c r="M56" s="16">
        <f t="shared" si="26"/>
        <v>5.8907469066840923</v>
      </c>
      <c r="N56" s="16">
        <f t="shared" si="27"/>
        <v>1.5307847917023316</v>
      </c>
      <c r="O56" s="16">
        <f t="shared" si="28"/>
        <v>2.6628471651965135</v>
      </c>
      <c r="P56" s="16">
        <f t="shared" si="29"/>
        <v>2.8420287558119153</v>
      </c>
    </row>
    <row r="57" spans="1:16" ht="15.75" customHeight="1" x14ac:dyDescent="0.2">
      <c r="A57" s="5">
        <f t="shared" si="15"/>
        <v>23.5</v>
      </c>
      <c r="B57" s="16">
        <f t="shared" si="0"/>
        <v>446.5</v>
      </c>
      <c r="C57" s="16">
        <f t="shared" si="16"/>
        <v>196.20000000000002</v>
      </c>
      <c r="D57" s="16">
        <f t="shared" si="17"/>
        <v>250.29999999999998</v>
      </c>
      <c r="E57" s="16">
        <f t="shared" si="18"/>
        <v>0.54654999999999987</v>
      </c>
      <c r="F57" s="16">
        <f t="shared" si="19"/>
        <v>0.34855118083300035</v>
      </c>
      <c r="G57" s="16">
        <f t="shared" si="20"/>
        <v>0.44361059378745493</v>
      </c>
      <c r="H57" s="16">
        <f t="shared" si="21"/>
        <v>0.82916972786510734</v>
      </c>
      <c r="I57" s="16">
        <f t="shared" si="22"/>
        <v>0.77054072570982779</v>
      </c>
      <c r="J57" s="16">
        <f t="shared" si="23"/>
        <v>0.72066092092327261</v>
      </c>
      <c r="K57" s="16">
        <f t="shared" si="24"/>
        <v>1.9982052197004363</v>
      </c>
      <c r="L57" s="16">
        <f t="shared" si="25"/>
        <v>3.482354155226429</v>
      </c>
      <c r="M57" s="16">
        <f t="shared" si="26"/>
        <v>6.0637893725641057</v>
      </c>
      <c r="N57" s="16">
        <f t="shared" si="27"/>
        <v>1.570018386907486</v>
      </c>
      <c r="O57" s="16">
        <f t="shared" si="28"/>
        <v>2.7361354076779092</v>
      </c>
      <c r="P57" s="16">
        <f t="shared" si="29"/>
        <v>2.9255142071134435</v>
      </c>
    </row>
    <row r="58" spans="1:16" ht="15.75" customHeight="1" x14ac:dyDescent="0.2">
      <c r="A58" s="5">
        <f t="shared" si="15"/>
        <v>24</v>
      </c>
      <c r="B58" s="16">
        <f t="shared" si="0"/>
        <v>456</v>
      </c>
      <c r="C58" s="16">
        <f t="shared" si="16"/>
        <v>201.10500000000002</v>
      </c>
      <c r="D58" s="16">
        <f t="shared" si="17"/>
        <v>254.89499999999998</v>
      </c>
      <c r="E58" s="16">
        <f t="shared" si="18"/>
        <v>0.5331999999999999</v>
      </c>
      <c r="F58" s="16">
        <f t="shared" si="19"/>
        <v>0.34101204025186838</v>
      </c>
      <c r="G58" s="16">
        <f t="shared" si="20"/>
        <v>0.43401532395692333</v>
      </c>
      <c r="H58" s="16">
        <f t="shared" si="21"/>
        <v>0.8257825973483075</v>
      </c>
      <c r="I58" s="16">
        <f t="shared" si="22"/>
        <v>0.76599113095359339</v>
      </c>
      <c r="J58" s="16">
        <f t="shared" si="23"/>
        <v>0.71512233629508426</v>
      </c>
      <c r="K58" s="16">
        <f t="shared" si="24"/>
        <v>2.0507590946481851</v>
      </c>
      <c r="L58" s="16">
        <f t="shared" si="25"/>
        <v>3.5804831850852388</v>
      </c>
      <c r="M58" s="16">
        <f t="shared" si="26"/>
        <v>6.2458504610876213</v>
      </c>
      <c r="N58" s="16">
        <f t="shared" si="27"/>
        <v>1.6113107172235741</v>
      </c>
      <c r="O58" s="16">
        <f t="shared" si="28"/>
        <v>2.8132367882812597</v>
      </c>
      <c r="P58" s="16">
        <f t="shared" si="29"/>
        <v>3.0133507509498689</v>
      </c>
    </row>
    <row r="59" spans="1:16" ht="15.75" customHeight="1" x14ac:dyDescent="0.2">
      <c r="A59" s="5">
        <f t="shared" si="15"/>
        <v>24.5</v>
      </c>
      <c r="B59" s="16">
        <f t="shared" si="0"/>
        <v>465.5</v>
      </c>
      <c r="C59" s="16">
        <f t="shared" si="16"/>
        <v>206.01000000000002</v>
      </c>
      <c r="D59" s="16">
        <f t="shared" si="17"/>
        <v>259.49</v>
      </c>
      <c r="E59" s="16">
        <f t="shared" si="18"/>
        <v>0.51984999999999992</v>
      </c>
      <c r="F59" s="16">
        <f t="shared" si="19"/>
        <v>0.33339044881305635</v>
      </c>
      <c r="G59" s="16">
        <f t="shared" si="20"/>
        <v>0.42431511667116256</v>
      </c>
      <c r="H59" s="16">
        <f t="shared" si="21"/>
        <v>0.82245598453826618</v>
      </c>
      <c r="I59" s="16">
        <f t="shared" si="22"/>
        <v>0.7615228235997672</v>
      </c>
      <c r="J59" s="16">
        <f t="shared" si="23"/>
        <v>0.7096827093063266</v>
      </c>
      <c r="K59" s="16">
        <f t="shared" si="24"/>
        <v>2.106125598815062</v>
      </c>
      <c r="L59" s="16">
        <f t="shared" si="25"/>
        <v>3.6838252040769626</v>
      </c>
      <c r="M59" s="16">
        <f t="shared" si="26"/>
        <v>6.4376040321211381</v>
      </c>
      <c r="N59" s="16">
        <f t="shared" si="27"/>
        <v>1.6548129704975492</v>
      </c>
      <c r="O59" s="16">
        <f t="shared" si="28"/>
        <v>2.8944340889176141</v>
      </c>
      <c r="P59" s="16">
        <f t="shared" si="29"/>
        <v>3.1058634953505009</v>
      </c>
    </row>
    <row r="60" spans="1:16" ht="15.75" customHeight="1" x14ac:dyDescent="0.2">
      <c r="A60" s="5">
        <f t="shared" si="15"/>
        <v>25</v>
      </c>
      <c r="B60" s="16">
        <f t="shared" si="0"/>
        <v>475</v>
      </c>
      <c r="C60" s="16">
        <f t="shared" si="16"/>
        <v>210.91500000000002</v>
      </c>
      <c r="D60" s="16">
        <f t="shared" si="17"/>
        <v>264.08499999999998</v>
      </c>
      <c r="E60" s="16">
        <f t="shared" si="18"/>
        <v>0.50649999999999995</v>
      </c>
      <c r="F60" s="16">
        <f t="shared" si="19"/>
        <v>0.3256907103773406</v>
      </c>
      <c r="G60" s="16">
        <f t="shared" si="20"/>
        <v>0.41451544957116071</v>
      </c>
      <c r="H60" s="16">
        <f t="shared" si="21"/>
        <v>0.81918776480588817</v>
      </c>
      <c r="I60" s="16">
        <f t="shared" si="22"/>
        <v>0.75713294984589219</v>
      </c>
      <c r="J60" s="16">
        <f t="shared" si="23"/>
        <v>0.70433856579561449</v>
      </c>
      <c r="K60" s="16">
        <f t="shared" si="24"/>
        <v>2.1645182752830028</v>
      </c>
      <c r="L60" s="16">
        <f t="shared" si="25"/>
        <v>3.7927793219301762</v>
      </c>
      <c r="M60" s="16">
        <f t="shared" si="26"/>
        <v>6.6397969445660374</v>
      </c>
      <c r="N60" s="16">
        <f t="shared" si="27"/>
        <v>1.7006929305795022</v>
      </c>
      <c r="O60" s="16">
        <f t="shared" si="28"/>
        <v>2.9800408958022819</v>
      </c>
      <c r="P60" s="16">
        <f t="shared" si="29"/>
        <v>3.2034127671988184</v>
      </c>
    </row>
    <row r="61" spans="1:16" ht="15.75" customHeight="1" x14ac:dyDescent="0.2">
      <c r="A61" s="5">
        <f t="shared" si="15"/>
        <v>25.5</v>
      </c>
      <c r="B61" s="16">
        <f t="shared" si="0"/>
        <v>484.5</v>
      </c>
      <c r="C61" s="16">
        <f t="shared" si="16"/>
        <v>215.82000000000002</v>
      </c>
      <c r="D61" s="16">
        <f t="shared" si="17"/>
        <v>268.67999999999995</v>
      </c>
      <c r="E61" s="16">
        <f t="shared" si="18"/>
        <v>0.49314999999999987</v>
      </c>
      <c r="F61" s="16">
        <f t="shared" si="19"/>
        <v>0.31791683438477003</v>
      </c>
      <c r="G61" s="16">
        <f t="shared" si="20"/>
        <v>0.40462142558061626</v>
      </c>
      <c r="H61" s="16">
        <f t="shared" si="21"/>
        <v>0.81597592348048531</v>
      </c>
      <c r="I61" s="16">
        <f t="shared" si="22"/>
        <v>0.75281880358567788</v>
      </c>
      <c r="J61" s="16">
        <f t="shared" si="23"/>
        <v>0.69908661140388828</v>
      </c>
      <c r="K61" s="16">
        <f t="shared" si="24"/>
        <v>2.2261745613342145</v>
      </c>
      <c r="L61" s="16">
        <f t="shared" si="25"/>
        <v>3.9077890283574415</v>
      </c>
      <c r="M61" s="16">
        <f t="shared" si="26"/>
        <v>6.8532587322266272</v>
      </c>
      <c r="N61" s="16">
        <f t="shared" si="27"/>
        <v>1.7491371553340267</v>
      </c>
      <c r="O61" s="16">
        <f t="shared" si="28"/>
        <v>3.070405665137991</v>
      </c>
      <c r="P61" s="16">
        <f t="shared" si="29"/>
        <v>3.306398780417287</v>
      </c>
    </row>
    <row r="62" spans="1:16" ht="15.75" customHeight="1" x14ac:dyDescent="0.2">
      <c r="A62" s="5">
        <f t="shared" si="15"/>
        <v>26</v>
      </c>
      <c r="B62" s="16">
        <f t="shared" si="0"/>
        <v>494</v>
      </c>
      <c r="C62" s="16">
        <f t="shared" si="16"/>
        <v>220.72500000000002</v>
      </c>
      <c r="D62" s="16">
        <f t="shared" si="17"/>
        <v>273.27499999999998</v>
      </c>
      <c r="E62" s="16">
        <f t="shared" si="18"/>
        <v>0.47979999999999989</v>
      </c>
      <c r="F62" s="16">
        <f t="shared" si="19"/>
        <v>0.3100725606074467</v>
      </c>
      <c r="G62" s="16">
        <f t="shared" si="20"/>
        <v>0.39463780440947754</v>
      </c>
      <c r="H62" s="16">
        <f t="shared" si="21"/>
        <v>0.81281854839053669</v>
      </c>
      <c r="I62" s="16">
        <f t="shared" si="22"/>
        <v>0.74857781638974696</v>
      </c>
      <c r="J62" s="16">
        <f t="shared" si="23"/>
        <v>0.69392371937717767</v>
      </c>
      <c r="K62" s="16">
        <f t="shared" si="24"/>
        <v>2.291359033735056</v>
      </c>
      <c r="L62" s="16">
        <f t="shared" si="25"/>
        <v>4.0293482474165891</v>
      </c>
      <c r="M62" s="16">
        <f t="shared" si="26"/>
        <v>7.0789129198641429</v>
      </c>
      <c r="N62" s="16">
        <f t="shared" si="27"/>
        <v>1.8003535265061159</v>
      </c>
      <c r="O62" s="16">
        <f t="shared" si="28"/>
        <v>3.1659164801130344</v>
      </c>
      <c r="P62" s="16">
        <f t="shared" si="29"/>
        <v>3.4152670954704272</v>
      </c>
    </row>
    <row r="63" spans="1:16" ht="15.75" customHeight="1" x14ac:dyDescent="0.2">
      <c r="A63" s="5">
        <f t="shared" si="15"/>
        <v>26.5</v>
      </c>
      <c r="B63" s="16">
        <f t="shared" si="0"/>
        <v>503.5</v>
      </c>
      <c r="C63" s="16">
        <f t="shared" si="16"/>
        <v>225.63000000000002</v>
      </c>
      <c r="D63" s="16">
        <f t="shared" si="17"/>
        <v>277.87</v>
      </c>
      <c r="E63" s="16">
        <f t="shared" si="18"/>
        <v>0.46644999999999992</v>
      </c>
      <c r="F63" s="16">
        <f t="shared" si="19"/>
        <v>0.30216138144635979</v>
      </c>
      <c r="G63" s="16">
        <f t="shared" si="20"/>
        <v>0.38456903093173056</v>
      </c>
      <c r="H63" s="16">
        <f t="shared" si="21"/>
        <v>0.80971382302642958</v>
      </c>
      <c r="I63" s="16">
        <f t="shared" si="22"/>
        <v>0.74440754832182643</v>
      </c>
      <c r="J63" s="16">
        <f t="shared" si="23"/>
        <v>0.68884691938641829</v>
      </c>
      <c r="K63" s="16">
        <f t="shared" si="24"/>
        <v>2.3603672206648061</v>
      </c>
      <c r="L63" s="16">
        <f t="shared" si="25"/>
        <v>4.1580084458002773</v>
      </c>
      <c r="M63" s="16">
        <f t="shared" si="26"/>
        <v>7.3177903046162935</v>
      </c>
      <c r="N63" s="16">
        <f t="shared" si="27"/>
        <v>1.8545742448080622</v>
      </c>
      <c r="O63" s="16">
        <f t="shared" si="28"/>
        <v>3.2670066359859331</v>
      </c>
      <c r="P63" s="16">
        <f t="shared" si="29"/>
        <v>3.5305150270711603</v>
      </c>
    </row>
    <row r="64" spans="1:16" ht="15.75" customHeight="1" x14ac:dyDescent="0.2">
      <c r="A64" s="5">
        <f t="shared" si="15"/>
        <v>27</v>
      </c>
      <c r="B64" s="16">
        <f t="shared" si="0"/>
        <v>513</v>
      </c>
      <c r="C64" s="16">
        <f t="shared" si="16"/>
        <v>230.53500000000003</v>
      </c>
      <c r="D64" s="16">
        <f t="shared" si="17"/>
        <v>282.46499999999997</v>
      </c>
      <c r="E64" s="16">
        <f t="shared" si="18"/>
        <v>0.45309999999999984</v>
      </c>
      <c r="F64" s="16">
        <f t="shared" si="19"/>
        <v>0.29418656205193555</v>
      </c>
      <c r="G64" s="16">
        <f t="shared" si="20"/>
        <v>0.37441926079337245</v>
      </c>
      <c r="H64" s="16">
        <f t="shared" si="21"/>
        <v>0.80666002026396444</v>
      </c>
      <c r="I64" s="16">
        <f t="shared" si="22"/>
        <v>0.74030567950815829</v>
      </c>
      <c r="J64" s="16">
        <f t="shared" si="23"/>
        <v>0.68385338726422296</v>
      </c>
      <c r="K64" s="16">
        <f t="shared" si="24"/>
        <v>2.4335300958954811</v>
      </c>
      <c r="L64" s="16">
        <f t="shared" si="25"/>
        <v>4.2943870104953978</v>
      </c>
      <c r="M64" s="16">
        <f t="shared" si="26"/>
        <v>7.571044605135774</v>
      </c>
      <c r="N64" s="16">
        <f t="shared" si="27"/>
        <v>1.9120593610607355</v>
      </c>
      <c r="O64" s="16">
        <f t="shared" si="28"/>
        <v>3.3741612225320989</v>
      </c>
      <c r="P64" s="16">
        <f t="shared" si="29"/>
        <v>3.6526991942083873</v>
      </c>
    </row>
    <row r="65" spans="1:16" ht="15.75" customHeight="1" x14ac:dyDescent="0.2">
      <c r="A65" s="5">
        <f t="shared" si="15"/>
        <v>27.5</v>
      </c>
      <c r="B65" s="16">
        <f t="shared" si="0"/>
        <v>522.5</v>
      </c>
      <c r="C65" s="16">
        <f t="shared" si="16"/>
        <v>235.44</v>
      </c>
      <c r="D65" s="16">
        <f t="shared" si="17"/>
        <v>287.06</v>
      </c>
      <c r="E65" s="16">
        <f t="shared" si="18"/>
        <v>0.43974999999999986</v>
      </c>
      <c r="F65" s="16">
        <f t="shared" si="19"/>
        <v>0.28615115851215767</v>
      </c>
      <c r="G65" s="16">
        <f t="shared" si="20"/>
        <v>0.36419238356092787</v>
      </c>
      <c r="H65" s="16">
        <f t="shared" si="21"/>
        <v>0.80365549659432522</v>
      </c>
      <c r="I65" s="16">
        <f t="shared" si="22"/>
        <v>0.73627000238719298</v>
      </c>
      <c r="J65" s="16">
        <f t="shared" si="23"/>
        <v>0.6789404355698152</v>
      </c>
      <c r="K65" s="16">
        <f t="shared" si="24"/>
        <v>2.5112193990959213</v>
      </c>
      <c r="L65" s="16">
        <f t="shared" si="25"/>
        <v>4.4391771638681181</v>
      </c>
      <c r="M65" s="16">
        <f t="shared" si="26"/>
        <v>7.8399709789713823</v>
      </c>
      <c r="N65" s="16">
        <f t="shared" si="27"/>
        <v>1.9731009564325102</v>
      </c>
      <c r="O65" s="16">
        <f t="shared" si="28"/>
        <v>3.4879249144678077</v>
      </c>
      <c r="P65" s="16">
        <f t="shared" si="29"/>
        <v>3.7824444539766855</v>
      </c>
    </row>
    <row r="66" spans="1:16" ht="15.75" customHeight="1" x14ac:dyDescent="0.2">
      <c r="A66" s="5">
        <f t="shared" si="15"/>
        <v>28</v>
      </c>
      <c r="B66" s="16">
        <f t="shared" si="0"/>
        <v>532</v>
      </c>
      <c r="C66" s="16">
        <f t="shared" si="16"/>
        <v>240.345</v>
      </c>
      <c r="D66" s="16">
        <f t="shared" si="17"/>
        <v>291.65499999999997</v>
      </c>
      <c r="E66" s="16">
        <f t="shared" si="18"/>
        <v>0.42639999999999989</v>
      </c>
      <c r="F66" s="16">
        <f t="shared" si="19"/>
        <v>0.27805803432137283</v>
      </c>
      <c r="G66" s="16">
        <f t="shared" si="20"/>
        <v>0.3538920436817472</v>
      </c>
      <c r="H66" s="16">
        <f t="shared" si="21"/>
        <v>0.80069868681224998</v>
      </c>
      <c r="I66" s="16">
        <f t="shared" si="22"/>
        <v>0.73229841457473943</v>
      </c>
      <c r="J66" s="16">
        <f t="shared" si="23"/>
        <v>0.67410550490320742</v>
      </c>
      <c r="K66" s="16">
        <f t="shared" si="24"/>
        <v>2.5938539623338897</v>
      </c>
      <c r="L66" s="16">
        <f t="shared" si="25"/>
        <v>4.5931597516217888</v>
      </c>
      <c r="M66" s="16">
        <f t="shared" si="26"/>
        <v>8.1260280344725526</v>
      </c>
      <c r="N66" s="16">
        <f t="shared" si="27"/>
        <v>2.0380281132623423</v>
      </c>
      <c r="O66" s="16">
        <f t="shared" si="28"/>
        <v>3.6089112334171203</v>
      </c>
      <c r="P66" s="16">
        <f t="shared" si="29"/>
        <v>3.9204545213613042</v>
      </c>
    </row>
    <row r="67" spans="1:16" ht="15.75" customHeight="1" x14ac:dyDescent="0.2">
      <c r="A67" s="5">
        <f t="shared" si="15"/>
        <v>28.5</v>
      </c>
      <c r="B67" s="16">
        <f t="shared" si="0"/>
        <v>541.5</v>
      </c>
      <c r="C67" s="16">
        <f t="shared" si="16"/>
        <v>245.25</v>
      </c>
      <c r="D67" s="16">
        <f t="shared" si="17"/>
        <v>296.25</v>
      </c>
      <c r="E67" s="16">
        <f t="shared" si="18"/>
        <v>0.41304999999999992</v>
      </c>
      <c r="F67" s="16">
        <f t="shared" si="19"/>
        <v>0.26990987531645566</v>
      </c>
      <c r="G67" s="16">
        <f t="shared" si="20"/>
        <v>0.34352165949367081</v>
      </c>
      <c r="H67" s="16">
        <f t="shared" si="21"/>
        <v>0.79778809911942128</v>
      </c>
      <c r="I67" s="16">
        <f t="shared" si="22"/>
        <v>0.728388912286837</v>
      </c>
      <c r="J67" s="16">
        <f t="shared" si="23"/>
        <v>0.66934615589833779</v>
      </c>
      <c r="K67" s="16">
        <f t="shared" si="24"/>
        <v>2.6819072695535637</v>
      </c>
      <c r="L67" s="16">
        <f t="shared" si="25"/>
        <v>4.7572173260281385</v>
      </c>
      <c r="M67" s="16">
        <f t="shared" si="26"/>
        <v>8.4308641257718158</v>
      </c>
      <c r="N67" s="16">
        <f t="shared" si="27"/>
        <v>2.1072128546492293</v>
      </c>
      <c r="O67" s="16">
        <f t="shared" si="28"/>
        <v>3.7378136133078232</v>
      </c>
      <c r="P67" s="16">
        <f t="shared" si="29"/>
        <v>4.0675246554216873</v>
      </c>
    </row>
    <row r="68" spans="1:16" ht="15.75" customHeight="1" x14ac:dyDescent="0.2">
      <c r="A68" s="5">
        <f t="shared" si="15"/>
        <v>29</v>
      </c>
      <c r="B68" s="16">
        <f t="shared" si="0"/>
        <v>551</v>
      </c>
      <c r="C68" s="16">
        <f t="shared" si="16"/>
        <v>250.155</v>
      </c>
      <c r="D68" s="16">
        <f t="shared" si="17"/>
        <v>300.84500000000003</v>
      </c>
      <c r="E68" s="16">
        <f t="shared" si="18"/>
        <v>0.39969999999999994</v>
      </c>
      <c r="F68" s="16">
        <f t="shared" si="19"/>
        <v>0.2617092032441955</v>
      </c>
      <c r="G68" s="16">
        <f t="shared" si="20"/>
        <v>0.33308444049261238</v>
      </c>
      <c r="H68" s="16">
        <f t="shared" si="21"/>
        <v>0.79492231060472607</v>
      </c>
      <c r="I68" s="16">
        <f t="shared" si="22"/>
        <v>0.7245395842688388</v>
      </c>
      <c r="J68" s="16">
        <f t="shared" si="23"/>
        <v>0.66466006183245974</v>
      </c>
      <c r="K68" s="16">
        <f t="shared" si="24"/>
        <v>2.7759165365255973</v>
      </c>
      <c r="L68" s="16">
        <f t="shared" si="25"/>
        <v>4.9323510598883749</v>
      </c>
      <c r="M68" s="16">
        <f t="shared" si="26"/>
        <v>8.7563489303982234</v>
      </c>
      <c r="N68" s="16">
        <f t="shared" si="27"/>
        <v>2.1810772786986838</v>
      </c>
      <c r="O68" s="16">
        <f t="shared" si="28"/>
        <v>3.8754186899122951</v>
      </c>
      <c r="P68" s="16">
        <f t="shared" si="29"/>
        <v>4.224556894114281</v>
      </c>
    </row>
    <row r="69" spans="1:16" ht="15.75" customHeight="1" x14ac:dyDescent="0.2">
      <c r="A69" s="5">
        <f t="shared" si="15"/>
        <v>29.5</v>
      </c>
      <c r="B69" s="16">
        <f t="shared" si="0"/>
        <v>560.5</v>
      </c>
      <c r="C69" s="16">
        <f t="shared" si="16"/>
        <v>255.06</v>
      </c>
      <c r="D69" s="16">
        <f t="shared" si="17"/>
        <v>305.44</v>
      </c>
      <c r="E69" s="16">
        <f t="shared" si="18"/>
        <v>0.38634999999999986</v>
      </c>
      <c r="F69" s="16">
        <f t="shared" si="19"/>
        <v>0.25345838810404658</v>
      </c>
      <c r="G69" s="16">
        <f t="shared" si="20"/>
        <v>0.32258340304151378</v>
      </c>
      <c r="H69" s="16">
        <f t="shared" si="21"/>
        <v>0.79209996306710462</v>
      </c>
      <c r="I69" s="16">
        <f t="shared" si="22"/>
        <v>0.72074860618466252</v>
      </c>
      <c r="J69" s="16">
        <f t="shared" si="23"/>
        <v>0.66004500179572878</v>
      </c>
      <c r="K69" s="16">
        <f t="shared" si="24"/>
        <v>2.8764936783499957</v>
      </c>
      <c r="L69" s="16">
        <f t="shared" si="25"/>
        <v>5.119701174865793</v>
      </c>
      <c r="M69" s="16">
        <f t="shared" si="26"/>
        <v>9.1046115856440473</v>
      </c>
      <c r="N69" s="16">
        <f t="shared" si="27"/>
        <v>2.2601021758464257</v>
      </c>
      <c r="O69" s="16">
        <f t="shared" si="28"/>
        <v>4.0226223516802664</v>
      </c>
      <c r="P69" s="16">
        <f t="shared" si="29"/>
        <v>4.3925784534280874</v>
      </c>
    </row>
    <row r="70" spans="1:16" ht="15.75" customHeight="1" x14ac:dyDescent="0.2">
      <c r="A70" s="5">
        <f t="shared" si="15"/>
        <v>30</v>
      </c>
      <c r="B70" s="16">
        <f t="shared" si="0"/>
        <v>570</v>
      </c>
      <c r="C70" s="16">
        <f t="shared" si="16"/>
        <v>259.96500000000003</v>
      </c>
      <c r="D70" s="16">
        <f t="shared" si="17"/>
        <v>310.03499999999997</v>
      </c>
      <c r="E70" s="16">
        <f t="shared" si="18"/>
        <v>0.37299999999999989</v>
      </c>
      <c r="F70" s="16">
        <f t="shared" si="19"/>
        <v>0.24515965939329432</v>
      </c>
      <c r="G70" s="16">
        <f t="shared" si="20"/>
        <v>0.3120213846823745</v>
      </c>
      <c r="H70" s="16">
        <f t="shared" si="21"/>
        <v>0.78931975915029362</v>
      </c>
      <c r="I70" s="16">
        <f t="shared" si="22"/>
        <v>0.71701423542497411</v>
      </c>
      <c r="J70" s="16">
        <f t="shared" si="23"/>
        <v>0.6554988543707907</v>
      </c>
      <c r="K70" s="16">
        <f t="shared" si="24"/>
        <v>2.9843386367931788</v>
      </c>
      <c r="L70" s="16">
        <f t="shared" si="25"/>
        <v>5.32057176372341</v>
      </c>
      <c r="M70" s="16">
        <f t="shared" si="26"/>
        <v>9.4780870254237595</v>
      </c>
      <c r="N70" s="16">
        <f t="shared" si="27"/>
        <v>2.3448375003374982</v>
      </c>
      <c r="O70" s="16">
        <f t="shared" si="28"/>
        <v>4.1804492429255378</v>
      </c>
      <c r="P70" s="16">
        <f t="shared" si="29"/>
        <v>4.5727640829004841</v>
      </c>
    </row>
  </sheetData>
  <mergeCells count="7">
    <mergeCell ref="AF5:AG5"/>
    <mergeCell ref="W5:X5"/>
    <mergeCell ref="K1:L1"/>
    <mergeCell ref="A1:D1"/>
    <mergeCell ref="F1:I1"/>
    <mergeCell ref="Z5:AA5"/>
    <mergeCell ref="AC5:A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2"/>
  <sheetViews>
    <sheetView workbookViewId="0">
      <selection sqref="A1:XFD11"/>
    </sheetView>
  </sheetViews>
  <sheetFormatPr defaultColWidth="12.5703125" defaultRowHeight="15.75" customHeight="1" x14ac:dyDescent="0.2"/>
  <sheetData>
    <row r="1" spans="1:19" ht="15.75" customHeight="1" x14ac:dyDescent="0.25">
      <c r="A1" s="1" t="s">
        <v>11</v>
      </c>
      <c r="B1" s="1" t="s">
        <v>12</v>
      </c>
      <c r="C1" s="2" t="s">
        <v>13</v>
      </c>
      <c r="D1" s="1" t="s">
        <v>0</v>
      </c>
      <c r="E1" s="1" t="s">
        <v>1</v>
      </c>
      <c r="F1" s="2" t="s">
        <v>2</v>
      </c>
      <c r="G1" s="1" t="s">
        <v>3</v>
      </c>
      <c r="H1" s="2" t="s">
        <v>14</v>
      </c>
      <c r="I1" s="1" t="s">
        <v>4</v>
      </c>
      <c r="J1" s="2" t="s">
        <v>15</v>
      </c>
      <c r="K1" s="1" t="s">
        <v>5</v>
      </c>
      <c r="L1" s="1" t="s">
        <v>6</v>
      </c>
      <c r="M1" s="2" t="s">
        <v>16</v>
      </c>
      <c r="N1" s="1" t="s">
        <v>7</v>
      </c>
      <c r="O1" s="1" t="s">
        <v>8</v>
      </c>
      <c r="P1" s="2" t="s">
        <v>17</v>
      </c>
      <c r="Q1" s="2" t="s">
        <v>18</v>
      </c>
      <c r="R1" s="1" t="s">
        <v>9</v>
      </c>
      <c r="S1" s="1" t="s">
        <v>10</v>
      </c>
    </row>
    <row r="2" spans="1:19" ht="12.75" x14ac:dyDescent="0.2">
      <c r="A2" s="1">
        <v>0</v>
      </c>
      <c r="B2" s="1">
        <v>3.5</v>
      </c>
      <c r="C2" s="1">
        <v>19</v>
      </c>
      <c r="D2" s="1">
        <v>15</v>
      </c>
      <c r="E2" s="1">
        <v>10</v>
      </c>
      <c r="F2" s="1">
        <v>0.55000000000000004</v>
      </c>
      <c r="G2" s="1">
        <v>7.5</v>
      </c>
      <c r="H2" s="1">
        <f t="shared" ref="H2:H7" si="0">A2*C2</f>
        <v>0</v>
      </c>
      <c r="I2" s="1">
        <f t="shared" ref="I2:I7" si="1">MAX(0,(A2-B2)*9.81)</f>
        <v>0</v>
      </c>
      <c r="J2" s="1">
        <f t="shared" ref="J2:J7" si="2">H2-I2</f>
        <v>0</v>
      </c>
      <c r="K2" s="1">
        <f t="shared" ref="K2:K11" si="3">IF(A2&lt;=9.15,1-0.00765*A2,1.174-0.0267*A2)</f>
        <v>1</v>
      </c>
      <c r="L2" s="1" t="e">
        <f t="shared" ref="L2:L7" si="4">0.65*F2*(H2/J2)*K2</f>
        <v>#DIV/0!</v>
      </c>
      <c r="M2" s="1">
        <f t="shared" ref="M2:M7" si="5">EXP(1.63+(9.7/(E2+0.01))-((15.7/(E2+0.01))^2))</f>
        <v>1.1491854466868581</v>
      </c>
      <c r="N2" s="1">
        <f t="shared" ref="N2:N7" si="6">D2+M2</f>
        <v>16.149185446686857</v>
      </c>
      <c r="O2" s="1">
        <f t="shared" ref="O2:O7" si="7">EXP((N2/14.1)+(N2/126)^2-(N2/23.6)^3+(N2/25.4)^4-2.8)</f>
        <v>0.16608559423385921</v>
      </c>
      <c r="P2" s="1">
        <f t="shared" ref="P2:P7" si="8">1/(18.9-2.55*SQRT(N2))</f>
        <v>0.11557276600007273</v>
      </c>
      <c r="Q2" s="1" t="e">
        <f t="shared" ref="Q2:Q7" si="9">MIN(1.1,1-P2*LN(J2/100))</f>
        <v>#NUM!</v>
      </c>
      <c r="R2" s="1">
        <f t="shared" ref="R2:R7" si="10">MIN(1.8,6.9*EXP(-G2/4)-0.058)</f>
        <v>1.0001492712300064</v>
      </c>
      <c r="S2" s="1" t="e">
        <f t="shared" ref="S2:S7" si="11">(O2*R2)/(L2*Q2)</f>
        <v>#DIV/0!</v>
      </c>
    </row>
    <row r="3" spans="1:19" ht="12.75" x14ac:dyDescent="0.2">
      <c r="A3" s="1">
        <v>1</v>
      </c>
      <c r="B3" s="1">
        <v>3.5</v>
      </c>
      <c r="C3" s="1">
        <v>19</v>
      </c>
      <c r="D3" s="1">
        <v>33</v>
      </c>
      <c r="E3" s="1">
        <v>10</v>
      </c>
      <c r="F3" s="1">
        <v>0.55000000000000004</v>
      </c>
      <c r="G3" s="1">
        <v>7.5</v>
      </c>
      <c r="H3" s="1">
        <f t="shared" si="0"/>
        <v>19</v>
      </c>
      <c r="I3" s="1">
        <f t="shared" si="1"/>
        <v>0</v>
      </c>
      <c r="J3" s="1">
        <f t="shared" si="2"/>
        <v>19</v>
      </c>
      <c r="K3" s="1">
        <f t="shared" si="3"/>
        <v>0.99234999999999995</v>
      </c>
      <c r="L3" s="1">
        <f t="shared" si="4"/>
        <v>0.35476512500000001</v>
      </c>
      <c r="M3" s="1">
        <f t="shared" si="5"/>
        <v>1.1491854466868581</v>
      </c>
      <c r="N3" s="1">
        <f t="shared" si="6"/>
        <v>34.149185446686857</v>
      </c>
      <c r="O3" s="1">
        <f t="shared" si="7"/>
        <v>0.93512629659096602</v>
      </c>
      <c r="P3" s="1">
        <f t="shared" si="8"/>
        <v>0.25009457452025152</v>
      </c>
      <c r="Q3" s="1">
        <f t="shared" si="9"/>
        <v>1.1000000000000001</v>
      </c>
      <c r="R3" s="1">
        <f t="shared" si="10"/>
        <v>1.0001492712300064</v>
      </c>
      <c r="S3" s="1">
        <f t="shared" si="11"/>
        <v>2.3966327376931154</v>
      </c>
    </row>
    <row r="4" spans="1:19" ht="12.75" x14ac:dyDescent="0.2">
      <c r="A4" s="1">
        <v>2</v>
      </c>
      <c r="B4" s="1">
        <v>3.5</v>
      </c>
      <c r="C4" s="1">
        <v>19</v>
      </c>
      <c r="D4" s="1">
        <v>12</v>
      </c>
      <c r="E4" s="1">
        <v>15</v>
      </c>
      <c r="F4" s="1">
        <v>0.55000000000000004</v>
      </c>
      <c r="G4" s="1">
        <v>7.5</v>
      </c>
      <c r="H4" s="1">
        <f t="shared" si="0"/>
        <v>38</v>
      </c>
      <c r="I4" s="1">
        <f t="shared" si="1"/>
        <v>0</v>
      </c>
      <c r="J4" s="1">
        <f t="shared" si="2"/>
        <v>38</v>
      </c>
      <c r="K4" s="1">
        <f t="shared" si="3"/>
        <v>0.98470000000000002</v>
      </c>
      <c r="L4" s="1">
        <f t="shared" si="4"/>
        <v>0.35203025000000004</v>
      </c>
      <c r="M4" s="1">
        <f t="shared" si="5"/>
        <v>3.2614893724315115</v>
      </c>
      <c r="N4" s="1">
        <f t="shared" si="6"/>
        <v>15.261489372431512</v>
      </c>
      <c r="O4" s="1">
        <f t="shared" si="7"/>
        <v>0.1583335330078621</v>
      </c>
      <c r="P4" s="1">
        <f t="shared" si="8"/>
        <v>0.11187958515744674</v>
      </c>
      <c r="Q4" s="1">
        <f t="shared" si="9"/>
        <v>1.1000000000000001</v>
      </c>
      <c r="R4" s="1">
        <f t="shared" si="10"/>
        <v>1.0001492712300064</v>
      </c>
      <c r="S4" s="1">
        <f t="shared" si="11"/>
        <v>0.4089451446265443</v>
      </c>
    </row>
    <row r="5" spans="1:19" ht="12.75" x14ac:dyDescent="0.2">
      <c r="A5" s="1">
        <v>3</v>
      </c>
      <c r="B5" s="1">
        <v>3.5</v>
      </c>
      <c r="C5" s="1">
        <v>19</v>
      </c>
      <c r="D5" s="1">
        <v>25</v>
      </c>
      <c r="E5" s="1">
        <v>5</v>
      </c>
      <c r="F5" s="1">
        <v>0.55000000000000004</v>
      </c>
      <c r="G5" s="1">
        <v>7.5</v>
      </c>
      <c r="H5" s="1">
        <f t="shared" si="0"/>
        <v>57</v>
      </c>
      <c r="I5" s="1">
        <f t="shared" si="1"/>
        <v>0</v>
      </c>
      <c r="J5" s="1">
        <f t="shared" si="2"/>
        <v>57</v>
      </c>
      <c r="K5" s="1">
        <f t="shared" si="3"/>
        <v>0.97704999999999997</v>
      </c>
      <c r="L5" s="1">
        <f t="shared" si="4"/>
        <v>0.34929537500000002</v>
      </c>
      <c r="M5" s="1">
        <f t="shared" si="5"/>
        <v>1.9224557841922914E-3</v>
      </c>
      <c r="N5" s="1">
        <f t="shared" si="6"/>
        <v>25.001922455784193</v>
      </c>
      <c r="O5" s="1">
        <f t="shared" si="7"/>
        <v>0.29005701688477081</v>
      </c>
      <c r="P5" s="1">
        <f t="shared" si="8"/>
        <v>0.16261458803302983</v>
      </c>
      <c r="Q5" s="1">
        <f t="shared" si="9"/>
        <v>1.0914087363011105</v>
      </c>
      <c r="R5" s="1">
        <f t="shared" si="10"/>
        <v>1.0001492712300064</v>
      </c>
      <c r="S5" s="1">
        <f t="shared" si="11"/>
        <v>0.76097070468451999</v>
      </c>
    </row>
    <row r="6" spans="1:19" ht="12.75" x14ac:dyDescent="0.2">
      <c r="A6" s="1">
        <v>4</v>
      </c>
      <c r="B6" s="1">
        <v>3.5</v>
      </c>
      <c r="C6" s="1">
        <v>19</v>
      </c>
      <c r="D6" s="1">
        <v>8</v>
      </c>
      <c r="E6" s="1">
        <v>30</v>
      </c>
      <c r="F6" s="1">
        <v>0.55000000000000004</v>
      </c>
      <c r="G6" s="1">
        <v>7.5</v>
      </c>
      <c r="H6" s="1">
        <f t="shared" si="0"/>
        <v>76</v>
      </c>
      <c r="I6" s="1">
        <f t="shared" si="1"/>
        <v>4.9050000000000002</v>
      </c>
      <c r="J6" s="1">
        <f t="shared" si="2"/>
        <v>71.094999999999999</v>
      </c>
      <c r="K6" s="1">
        <f t="shared" si="3"/>
        <v>0.96940000000000004</v>
      </c>
      <c r="L6" s="1">
        <f t="shared" si="4"/>
        <v>0.3704704690906534</v>
      </c>
      <c r="M6" s="1">
        <f t="shared" si="5"/>
        <v>5.3630364021515593</v>
      </c>
      <c r="N6" s="1">
        <f t="shared" si="6"/>
        <v>13.363036402151559</v>
      </c>
      <c r="O6" s="1">
        <f t="shared" si="7"/>
        <v>0.14285116359963898</v>
      </c>
      <c r="P6" s="1">
        <f t="shared" si="8"/>
        <v>0.10440210669919499</v>
      </c>
      <c r="Q6" s="1">
        <f t="shared" si="9"/>
        <v>1.0356171101917098</v>
      </c>
      <c r="R6" s="1">
        <f t="shared" si="10"/>
        <v>1.0001492712300064</v>
      </c>
      <c r="S6" s="1">
        <f t="shared" si="11"/>
        <v>0.37238809871428014</v>
      </c>
    </row>
    <row r="7" spans="1:19" ht="12.75" x14ac:dyDescent="0.2">
      <c r="A7" s="1">
        <v>5</v>
      </c>
      <c r="B7" s="1">
        <v>3.5</v>
      </c>
      <c r="C7" s="1">
        <v>19</v>
      </c>
      <c r="D7" s="1">
        <v>33</v>
      </c>
      <c r="E7" s="1">
        <v>10</v>
      </c>
      <c r="F7" s="1">
        <v>0.55000000000000004</v>
      </c>
      <c r="G7" s="1">
        <v>8</v>
      </c>
      <c r="H7" s="1">
        <f t="shared" si="0"/>
        <v>95</v>
      </c>
      <c r="I7" s="1">
        <f t="shared" si="1"/>
        <v>14.715</v>
      </c>
      <c r="J7" s="1">
        <f t="shared" si="2"/>
        <v>80.284999999999997</v>
      </c>
      <c r="K7" s="1">
        <f t="shared" si="3"/>
        <v>0.96174999999999999</v>
      </c>
      <c r="L7" s="1">
        <f t="shared" si="4"/>
        <v>0.40684354954225577</v>
      </c>
      <c r="M7" s="1">
        <f t="shared" si="5"/>
        <v>1.1491854466868581</v>
      </c>
      <c r="N7" s="1">
        <f t="shared" si="6"/>
        <v>34.149185446686857</v>
      </c>
      <c r="O7" s="1">
        <f t="shared" si="7"/>
        <v>0.93512629659096602</v>
      </c>
      <c r="P7" s="1">
        <f t="shared" si="8"/>
        <v>0.25009457452025152</v>
      </c>
      <c r="Q7" s="1">
        <f t="shared" si="9"/>
        <v>1.0549176128679154</v>
      </c>
      <c r="R7" s="1">
        <f t="shared" si="10"/>
        <v>0.87581345433262769</v>
      </c>
      <c r="S7" s="1">
        <f t="shared" si="11"/>
        <v>1.9082527830821183</v>
      </c>
    </row>
    <row r="8" spans="1:19" ht="15.75" customHeight="1" x14ac:dyDescent="0.2">
      <c r="A8" s="2">
        <v>6</v>
      </c>
      <c r="K8" s="2">
        <f t="shared" si="3"/>
        <v>0.95409999999999995</v>
      </c>
    </row>
    <row r="9" spans="1:19" ht="15.75" customHeight="1" x14ac:dyDescent="0.2">
      <c r="A9" s="2">
        <v>7</v>
      </c>
      <c r="K9" s="2">
        <f t="shared" si="3"/>
        <v>0.94645000000000001</v>
      </c>
    </row>
    <row r="10" spans="1:19" ht="15.75" customHeight="1" x14ac:dyDescent="0.2">
      <c r="A10" s="2">
        <v>8</v>
      </c>
      <c r="K10" s="2">
        <f t="shared" si="3"/>
        <v>0.93879999999999997</v>
      </c>
    </row>
    <row r="11" spans="1:19" ht="15.75" customHeight="1" x14ac:dyDescent="0.2">
      <c r="A11" s="2">
        <v>9</v>
      </c>
      <c r="K11" s="2">
        <f t="shared" si="3"/>
        <v>0.93115000000000003</v>
      </c>
    </row>
    <row r="12" spans="1:19" ht="15.75" customHeight="1" x14ac:dyDescent="0.2">
      <c r="A12" s="1">
        <v>10</v>
      </c>
    </row>
    <row r="13" spans="1:19" ht="15.75" customHeight="1" x14ac:dyDescent="0.2">
      <c r="A13" s="1">
        <v>11</v>
      </c>
    </row>
    <row r="14" spans="1:19" ht="15.75" customHeight="1" x14ac:dyDescent="0.2">
      <c r="A14" s="1">
        <v>12</v>
      </c>
    </row>
    <row r="15" spans="1:19" ht="15.75" customHeight="1" x14ac:dyDescent="0.2">
      <c r="A15" s="1">
        <v>13</v>
      </c>
    </row>
    <row r="16" spans="1:19" ht="15.75" customHeight="1" x14ac:dyDescent="0.2">
      <c r="A16" s="1">
        <v>14</v>
      </c>
    </row>
    <row r="17" spans="1:1" ht="15.75" customHeight="1" x14ac:dyDescent="0.2">
      <c r="A17" s="1">
        <v>15</v>
      </c>
    </row>
    <row r="18" spans="1:1" ht="15.75" customHeight="1" x14ac:dyDescent="0.2">
      <c r="A18" s="2">
        <v>16</v>
      </c>
    </row>
    <row r="19" spans="1:1" ht="15.75" customHeight="1" x14ac:dyDescent="0.2">
      <c r="A19" s="2">
        <v>17</v>
      </c>
    </row>
    <row r="20" spans="1:1" ht="15.75" customHeight="1" x14ac:dyDescent="0.2">
      <c r="A20" s="2">
        <v>18</v>
      </c>
    </row>
    <row r="21" spans="1:1" ht="15.75" customHeight="1" x14ac:dyDescent="0.2">
      <c r="A21" s="2">
        <v>19</v>
      </c>
    </row>
    <row r="22" spans="1:1" ht="15.75" customHeight="1" x14ac:dyDescent="0.2">
      <c r="A22" s="1">
        <v>20</v>
      </c>
    </row>
    <row r="23" spans="1:1" ht="15.75" customHeight="1" x14ac:dyDescent="0.2">
      <c r="A23" s="1">
        <v>21</v>
      </c>
    </row>
    <row r="24" spans="1:1" ht="15.75" customHeight="1" x14ac:dyDescent="0.2">
      <c r="A24" s="1">
        <v>22</v>
      </c>
    </row>
    <row r="25" spans="1:1" ht="15.75" customHeight="1" x14ac:dyDescent="0.2">
      <c r="A25" s="1">
        <v>23</v>
      </c>
    </row>
    <row r="26" spans="1:1" ht="15.75" customHeight="1" x14ac:dyDescent="0.2">
      <c r="A26" s="1">
        <v>24</v>
      </c>
    </row>
    <row r="27" spans="1:1" ht="15.75" customHeight="1" x14ac:dyDescent="0.2">
      <c r="A27" s="1">
        <v>25</v>
      </c>
    </row>
    <row r="28" spans="1:1" ht="15.75" customHeight="1" x14ac:dyDescent="0.2">
      <c r="A28" s="2">
        <v>26</v>
      </c>
    </row>
    <row r="29" spans="1:1" ht="15.75" customHeight="1" x14ac:dyDescent="0.2">
      <c r="A29" s="2">
        <v>27</v>
      </c>
    </row>
    <row r="30" spans="1:1" ht="15.75" customHeight="1" x14ac:dyDescent="0.2">
      <c r="A30" s="2">
        <v>28</v>
      </c>
    </row>
    <row r="31" spans="1:1" ht="15.75" customHeight="1" x14ac:dyDescent="0.2">
      <c r="A31" s="2">
        <v>29</v>
      </c>
    </row>
    <row r="32" spans="1:1" ht="15.75" customHeight="1" x14ac:dyDescent="0.2">
      <c r="A32" s="1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Liquefação por profundidade</vt:lpstr>
      <vt:lpstr>Liquefação por linha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Mateus Farias de Barros</cp:lastModifiedBy>
  <dcterms:modified xsi:type="dcterms:W3CDTF">2026-08-31T19:13:20Z</dcterms:modified>
</cp:coreProperties>
</file>