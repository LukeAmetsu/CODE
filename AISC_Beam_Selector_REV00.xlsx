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CODE-2\"/>
    </mc:Choice>
  </mc:AlternateContent>
  <xr:revisionPtr revIDLastSave="0" documentId="13_ncr:1_{E5CF3524-D53F-4626-A0E6-672797896E4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abase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B10" i="2"/>
  <c r="M290" i="1"/>
  <c r="L290" i="1"/>
  <c r="K290" i="1"/>
  <c r="J290" i="1"/>
  <c r="N290" i="1" s="1"/>
  <c r="O290" i="1" s="1"/>
  <c r="M289" i="1"/>
  <c r="L289" i="1"/>
  <c r="K289" i="1"/>
  <c r="J289" i="1"/>
  <c r="N289" i="1" s="1"/>
  <c r="O289" i="1" s="1"/>
  <c r="P289" i="1" s="1"/>
  <c r="Q289" i="1" s="1"/>
  <c r="M288" i="1"/>
  <c r="L288" i="1"/>
  <c r="K288" i="1"/>
  <c r="J288" i="1"/>
  <c r="M287" i="1"/>
  <c r="L287" i="1"/>
  <c r="K287" i="1"/>
  <c r="J287" i="1"/>
  <c r="M286" i="1"/>
  <c r="L286" i="1"/>
  <c r="K286" i="1"/>
  <c r="J286" i="1"/>
  <c r="M285" i="1"/>
  <c r="L285" i="1"/>
  <c r="K285" i="1"/>
  <c r="J285" i="1"/>
  <c r="M284" i="1"/>
  <c r="L284" i="1"/>
  <c r="K284" i="1"/>
  <c r="J284" i="1"/>
  <c r="N284" i="1" s="1"/>
  <c r="O284" i="1" s="1"/>
  <c r="P284" i="1" s="1"/>
  <c r="Q284" i="1" s="1"/>
  <c r="M283" i="1"/>
  <c r="L283" i="1"/>
  <c r="K283" i="1"/>
  <c r="J283" i="1"/>
  <c r="M282" i="1"/>
  <c r="L282" i="1"/>
  <c r="K282" i="1"/>
  <c r="J282" i="1"/>
  <c r="M281" i="1"/>
  <c r="L281" i="1"/>
  <c r="K281" i="1"/>
  <c r="J281" i="1"/>
  <c r="N281" i="1" s="1"/>
  <c r="O281" i="1" s="1"/>
  <c r="P281" i="1" s="1"/>
  <c r="Q281" i="1" s="1"/>
  <c r="M280" i="1"/>
  <c r="L280" i="1"/>
  <c r="K280" i="1"/>
  <c r="J280" i="1"/>
  <c r="N280" i="1" s="1"/>
  <c r="O280" i="1" s="1"/>
  <c r="P280" i="1" s="1"/>
  <c r="Q280" i="1" s="1"/>
  <c r="M279" i="1"/>
  <c r="L279" i="1"/>
  <c r="K279" i="1"/>
  <c r="J279" i="1"/>
  <c r="M278" i="1"/>
  <c r="L278" i="1"/>
  <c r="K278" i="1"/>
  <c r="J278" i="1"/>
  <c r="M277" i="1"/>
  <c r="L277" i="1"/>
  <c r="K277" i="1"/>
  <c r="J277" i="1"/>
  <c r="M276" i="1"/>
  <c r="L276" i="1"/>
  <c r="K276" i="1"/>
  <c r="J276" i="1"/>
  <c r="M275" i="1"/>
  <c r="L275" i="1"/>
  <c r="K275" i="1"/>
  <c r="J275" i="1"/>
  <c r="M274" i="1"/>
  <c r="L274" i="1"/>
  <c r="K274" i="1"/>
  <c r="J274" i="1"/>
  <c r="M273" i="1"/>
  <c r="L273" i="1"/>
  <c r="K273" i="1"/>
  <c r="J273" i="1"/>
  <c r="M272" i="1"/>
  <c r="L272" i="1"/>
  <c r="K272" i="1"/>
  <c r="J272" i="1"/>
  <c r="N272" i="1" s="1"/>
  <c r="O272" i="1" s="1"/>
  <c r="P272" i="1" s="1"/>
  <c r="Q272" i="1" s="1"/>
  <c r="M271" i="1"/>
  <c r="L271" i="1"/>
  <c r="K271" i="1"/>
  <c r="J271" i="1"/>
  <c r="M270" i="1"/>
  <c r="L270" i="1"/>
  <c r="K270" i="1"/>
  <c r="J270" i="1"/>
  <c r="M269" i="1"/>
  <c r="L269" i="1"/>
  <c r="K269" i="1"/>
  <c r="J269" i="1"/>
  <c r="M268" i="1"/>
  <c r="L268" i="1"/>
  <c r="K268" i="1"/>
  <c r="J268" i="1"/>
  <c r="M267" i="1"/>
  <c r="L267" i="1"/>
  <c r="K267" i="1"/>
  <c r="J267" i="1"/>
  <c r="M266" i="1"/>
  <c r="L266" i="1"/>
  <c r="K266" i="1"/>
  <c r="J266" i="1"/>
  <c r="M265" i="1"/>
  <c r="L265" i="1"/>
  <c r="K265" i="1"/>
  <c r="J265" i="1"/>
  <c r="N265" i="1" s="1"/>
  <c r="O265" i="1" s="1"/>
  <c r="P265" i="1" s="1"/>
  <c r="Q265" i="1" s="1"/>
  <c r="M264" i="1"/>
  <c r="L264" i="1"/>
  <c r="K264" i="1"/>
  <c r="J264" i="1"/>
  <c r="N264" i="1" s="1"/>
  <c r="O264" i="1" s="1"/>
  <c r="P264" i="1" s="1"/>
  <c r="Q264" i="1" s="1"/>
  <c r="M263" i="1"/>
  <c r="L263" i="1"/>
  <c r="K263" i="1"/>
  <c r="J263" i="1"/>
  <c r="N262" i="1"/>
  <c r="O262" i="1" s="1"/>
  <c r="P262" i="1" s="1"/>
  <c r="Q262" i="1" s="1"/>
  <c r="M262" i="1"/>
  <c r="L262" i="1"/>
  <c r="K262" i="1"/>
  <c r="J262" i="1"/>
  <c r="M261" i="1"/>
  <c r="L261" i="1"/>
  <c r="K261" i="1"/>
  <c r="J261" i="1"/>
  <c r="M260" i="1"/>
  <c r="L260" i="1"/>
  <c r="K260" i="1"/>
  <c r="J260" i="1"/>
  <c r="M259" i="1"/>
  <c r="L259" i="1"/>
  <c r="K259" i="1"/>
  <c r="J259" i="1"/>
  <c r="N259" i="1" s="1"/>
  <c r="O259" i="1" s="1"/>
  <c r="P259" i="1" s="1"/>
  <c r="Q259" i="1" s="1"/>
  <c r="N258" i="1"/>
  <c r="O258" i="1" s="1"/>
  <c r="P258" i="1" s="1"/>
  <c r="Q258" i="1" s="1"/>
  <c r="M258" i="1"/>
  <c r="L258" i="1"/>
  <c r="K258" i="1"/>
  <c r="J258" i="1"/>
  <c r="M257" i="1"/>
  <c r="L257" i="1"/>
  <c r="K257" i="1"/>
  <c r="J257" i="1"/>
  <c r="N257" i="1" s="1"/>
  <c r="O257" i="1" s="1"/>
  <c r="P257" i="1" s="1"/>
  <c r="Q257" i="1" s="1"/>
  <c r="M256" i="1"/>
  <c r="L256" i="1"/>
  <c r="K256" i="1"/>
  <c r="J256" i="1"/>
  <c r="M255" i="1"/>
  <c r="L255" i="1"/>
  <c r="K255" i="1"/>
  <c r="J255" i="1"/>
  <c r="M254" i="1"/>
  <c r="L254" i="1"/>
  <c r="K254" i="1"/>
  <c r="J254" i="1"/>
  <c r="N254" i="1" s="1"/>
  <c r="O254" i="1" s="1"/>
  <c r="P254" i="1" s="1"/>
  <c r="Q254" i="1" s="1"/>
  <c r="M253" i="1"/>
  <c r="L253" i="1"/>
  <c r="K253" i="1"/>
  <c r="J253" i="1"/>
  <c r="M252" i="1"/>
  <c r="L252" i="1"/>
  <c r="K252" i="1"/>
  <c r="J252" i="1"/>
  <c r="M251" i="1"/>
  <c r="L251" i="1"/>
  <c r="K251" i="1"/>
  <c r="J251" i="1"/>
  <c r="M250" i="1"/>
  <c r="L250" i="1"/>
  <c r="K250" i="1"/>
  <c r="J250" i="1"/>
  <c r="M249" i="1"/>
  <c r="L249" i="1"/>
  <c r="K249" i="1"/>
  <c r="J249" i="1"/>
  <c r="N248" i="1"/>
  <c r="O248" i="1" s="1"/>
  <c r="P248" i="1" s="1"/>
  <c r="Q248" i="1" s="1"/>
  <c r="M248" i="1"/>
  <c r="L248" i="1"/>
  <c r="K248" i="1"/>
  <c r="J248" i="1"/>
  <c r="M247" i="1"/>
  <c r="L247" i="1"/>
  <c r="K247" i="1"/>
  <c r="J247" i="1"/>
  <c r="M246" i="1"/>
  <c r="L246" i="1"/>
  <c r="K246" i="1"/>
  <c r="J246" i="1"/>
  <c r="M245" i="1"/>
  <c r="L245" i="1"/>
  <c r="K245" i="1"/>
  <c r="J245" i="1"/>
  <c r="M244" i="1"/>
  <c r="L244" i="1"/>
  <c r="K244" i="1"/>
  <c r="J244" i="1"/>
  <c r="N244" i="1" s="1"/>
  <c r="O244" i="1" s="1"/>
  <c r="P244" i="1" s="1"/>
  <c r="Q244" i="1" s="1"/>
  <c r="M243" i="1"/>
  <c r="L243" i="1"/>
  <c r="K243" i="1"/>
  <c r="J243" i="1"/>
  <c r="M242" i="1"/>
  <c r="L242" i="1"/>
  <c r="K242" i="1"/>
  <c r="J242" i="1"/>
  <c r="M241" i="1"/>
  <c r="L241" i="1"/>
  <c r="K241" i="1"/>
  <c r="J241" i="1"/>
  <c r="N241" i="1" s="1"/>
  <c r="O241" i="1" s="1"/>
  <c r="P241" i="1" s="1"/>
  <c r="Q241" i="1" s="1"/>
  <c r="M240" i="1"/>
  <c r="L240" i="1"/>
  <c r="K240" i="1"/>
  <c r="J240" i="1"/>
  <c r="N240" i="1" s="1"/>
  <c r="O240" i="1" s="1"/>
  <c r="P240" i="1" s="1"/>
  <c r="Q240" i="1" s="1"/>
  <c r="M239" i="1"/>
  <c r="L239" i="1"/>
  <c r="K239" i="1"/>
  <c r="J239" i="1"/>
  <c r="M238" i="1"/>
  <c r="L238" i="1"/>
  <c r="K238" i="1"/>
  <c r="J238" i="1"/>
  <c r="N238" i="1" s="1"/>
  <c r="O238" i="1" s="1"/>
  <c r="P238" i="1" s="1"/>
  <c r="Q238" i="1" s="1"/>
  <c r="M237" i="1"/>
  <c r="L237" i="1"/>
  <c r="K237" i="1"/>
  <c r="J237" i="1"/>
  <c r="M236" i="1"/>
  <c r="L236" i="1"/>
  <c r="N236" i="1" s="1"/>
  <c r="O236" i="1" s="1"/>
  <c r="P236" i="1" s="1"/>
  <c r="Q236" i="1" s="1"/>
  <c r="K236" i="1"/>
  <c r="J236" i="1"/>
  <c r="M235" i="1"/>
  <c r="L235" i="1"/>
  <c r="K235" i="1"/>
  <c r="J235" i="1"/>
  <c r="M234" i="1"/>
  <c r="L234" i="1"/>
  <c r="K234" i="1"/>
  <c r="J234" i="1"/>
  <c r="N234" i="1" s="1"/>
  <c r="O234" i="1" s="1"/>
  <c r="P234" i="1" s="1"/>
  <c r="Q234" i="1" s="1"/>
  <c r="M233" i="1"/>
  <c r="L233" i="1"/>
  <c r="K233" i="1"/>
  <c r="J233" i="1"/>
  <c r="N233" i="1" s="1"/>
  <c r="O233" i="1" s="1"/>
  <c r="P233" i="1" s="1"/>
  <c r="Q233" i="1" s="1"/>
  <c r="M232" i="1"/>
  <c r="L232" i="1"/>
  <c r="K232" i="1"/>
  <c r="J232" i="1"/>
  <c r="M231" i="1"/>
  <c r="L231" i="1"/>
  <c r="K231" i="1"/>
  <c r="J231" i="1"/>
  <c r="M230" i="1"/>
  <c r="L230" i="1"/>
  <c r="K230" i="1"/>
  <c r="J230" i="1"/>
  <c r="N230" i="1" s="1"/>
  <c r="O230" i="1" s="1"/>
  <c r="P230" i="1" s="1"/>
  <c r="Q230" i="1" s="1"/>
  <c r="M229" i="1"/>
  <c r="L229" i="1"/>
  <c r="K229" i="1"/>
  <c r="J229" i="1"/>
  <c r="M228" i="1"/>
  <c r="L228" i="1"/>
  <c r="K228" i="1"/>
  <c r="J228" i="1"/>
  <c r="M227" i="1"/>
  <c r="L227" i="1"/>
  <c r="K227" i="1"/>
  <c r="J227" i="1"/>
  <c r="M226" i="1"/>
  <c r="L226" i="1"/>
  <c r="N226" i="1" s="1"/>
  <c r="O226" i="1" s="1"/>
  <c r="P226" i="1" s="1"/>
  <c r="Q226" i="1" s="1"/>
  <c r="K226" i="1"/>
  <c r="J226" i="1"/>
  <c r="M225" i="1"/>
  <c r="L225" i="1"/>
  <c r="K225" i="1"/>
  <c r="J225" i="1"/>
  <c r="M224" i="1"/>
  <c r="L224" i="1"/>
  <c r="K224" i="1"/>
  <c r="J224" i="1"/>
  <c r="N224" i="1" s="1"/>
  <c r="O224" i="1" s="1"/>
  <c r="P224" i="1" s="1"/>
  <c r="Q224" i="1" s="1"/>
  <c r="M223" i="1"/>
  <c r="L223" i="1"/>
  <c r="K223" i="1"/>
  <c r="J223" i="1"/>
  <c r="N223" i="1" s="1"/>
  <c r="O223" i="1" s="1"/>
  <c r="P223" i="1" s="1"/>
  <c r="Q223" i="1" s="1"/>
  <c r="M222" i="1"/>
  <c r="L222" i="1"/>
  <c r="K222" i="1"/>
  <c r="J222" i="1"/>
  <c r="M221" i="1"/>
  <c r="L221" i="1"/>
  <c r="K221" i="1"/>
  <c r="J221" i="1"/>
  <c r="M220" i="1"/>
  <c r="L220" i="1"/>
  <c r="K220" i="1"/>
  <c r="J220" i="1"/>
  <c r="N220" i="1" s="1"/>
  <c r="O220" i="1" s="1"/>
  <c r="P220" i="1" s="1"/>
  <c r="Q220" i="1" s="1"/>
  <c r="M219" i="1"/>
  <c r="L219" i="1"/>
  <c r="K219" i="1"/>
  <c r="J219" i="1"/>
  <c r="N219" i="1" s="1"/>
  <c r="O219" i="1" s="1"/>
  <c r="P219" i="1" s="1"/>
  <c r="Q219" i="1" s="1"/>
  <c r="M218" i="1"/>
  <c r="L218" i="1"/>
  <c r="K218" i="1"/>
  <c r="J218" i="1"/>
  <c r="M217" i="1"/>
  <c r="L217" i="1"/>
  <c r="K217" i="1"/>
  <c r="J217" i="1"/>
  <c r="M216" i="1"/>
  <c r="L216" i="1"/>
  <c r="K216" i="1"/>
  <c r="J216" i="1"/>
  <c r="N216" i="1" s="1"/>
  <c r="O216" i="1" s="1"/>
  <c r="P216" i="1" s="1"/>
  <c r="Q216" i="1" s="1"/>
  <c r="M215" i="1"/>
  <c r="L215" i="1"/>
  <c r="K215" i="1"/>
  <c r="J215" i="1"/>
  <c r="M214" i="1"/>
  <c r="L214" i="1"/>
  <c r="K214" i="1"/>
  <c r="J214" i="1"/>
  <c r="M213" i="1"/>
  <c r="L213" i="1"/>
  <c r="K213" i="1"/>
  <c r="J213" i="1"/>
  <c r="M212" i="1"/>
  <c r="L212" i="1"/>
  <c r="K212" i="1"/>
  <c r="J212" i="1"/>
  <c r="M211" i="1"/>
  <c r="L211" i="1"/>
  <c r="K211" i="1"/>
  <c r="J211" i="1"/>
  <c r="M210" i="1"/>
  <c r="L210" i="1"/>
  <c r="K210" i="1"/>
  <c r="J210" i="1"/>
  <c r="M209" i="1"/>
  <c r="L209" i="1"/>
  <c r="K209" i="1"/>
  <c r="J209" i="1"/>
  <c r="M208" i="1"/>
  <c r="L208" i="1"/>
  <c r="K208" i="1"/>
  <c r="J208" i="1"/>
  <c r="N208" i="1" s="1"/>
  <c r="O208" i="1" s="1"/>
  <c r="P208" i="1" s="1"/>
  <c r="Q208" i="1" s="1"/>
  <c r="M207" i="1"/>
  <c r="L207" i="1"/>
  <c r="K207" i="1"/>
  <c r="J207" i="1"/>
  <c r="M206" i="1"/>
  <c r="L206" i="1"/>
  <c r="K206" i="1"/>
  <c r="J206" i="1"/>
  <c r="M205" i="1"/>
  <c r="L205" i="1"/>
  <c r="K205" i="1"/>
  <c r="J205" i="1"/>
  <c r="M204" i="1"/>
  <c r="L204" i="1"/>
  <c r="N204" i="1" s="1"/>
  <c r="O204" i="1" s="1"/>
  <c r="P204" i="1" s="1"/>
  <c r="Q204" i="1" s="1"/>
  <c r="K204" i="1"/>
  <c r="J204" i="1"/>
  <c r="M203" i="1"/>
  <c r="L203" i="1"/>
  <c r="K203" i="1"/>
  <c r="J203" i="1"/>
  <c r="N202" i="1"/>
  <c r="O202" i="1" s="1"/>
  <c r="P202" i="1" s="1"/>
  <c r="Q202" i="1" s="1"/>
  <c r="M202" i="1"/>
  <c r="L202" i="1"/>
  <c r="K202" i="1"/>
  <c r="J202" i="1"/>
  <c r="M201" i="1"/>
  <c r="L201" i="1"/>
  <c r="K201" i="1"/>
  <c r="J201" i="1"/>
  <c r="N201" i="1" s="1"/>
  <c r="O201" i="1" s="1"/>
  <c r="P201" i="1" s="1"/>
  <c r="Q201" i="1" s="1"/>
  <c r="M200" i="1"/>
  <c r="L200" i="1"/>
  <c r="K200" i="1"/>
  <c r="J200" i="1"/>
  <c r="M199" i="1"/>
  <c r="L199" i="1"/>
  <c r="K199" i="1"/>
  <c r="J199" i="1"/>
  <c r="M198" i="1"/>
  <c r="L198" i="1"/>
  <c r="K198" i="1"/>
  <c r="J198" i="1"/>
  <c r="N198" i="1" s="1"/>
  <c r="O198" i="1" s="1"/>
  <c r="P198" i="1" s="1"/>
  <c r="Q198" i="1" s="1"/>
  <c r="M197" i="1"/>
  <c r="L197" i="1"/>
  <c r="K197" i="1"/>
  <c r="J197" i="1"/>
  <c r="M196" i="1"/>
  <c r="L196" i="1"/>
  <c r="K196" i="1"/>
  <c r="J196" i="1"/>
  <c r="M195" i="1"/>
  <c r="L195" i="1"/>
  <c r="K195" i="1"/>
  <c r="J195" i="1"/>
  <c r="M194" i="1"/>
  <c r="L194" i="1"/>
  <c r="N194" i="1" s="1"/>
  <c r="O194" i="1" s="1"/>
  <c r="P194" i="1" s="1"/>
  <c r="Q194" i="1" s="1"/>
  <c r="K194" i="1"/>
  <c r="J194" i="1"/>
  <c r="M193" i="1"/>
  <c r="L193" i="1"/>
  <c r="K193" i="1"/>
  <c r="J193" i="1"/>
  <c r="M192" i="1"/>
  <c r="L192" i="1"/>
  <c r="K192" i="1"/>
  <c r="J192" i="1"/>
  <c r="N192" i="1" s="1"/>
  <c r="O192" i="1" s="1"/>
  <c r="P192" i="1" s="1"/>
  <c r="Q192" i="1" s="1"/>
  <c r="M191" i="1"/>
  <c r="L191" i="1"/>
  <c r="K191" i="1"/>
  <c r="J191" i="1"/>
  <c r="N191" i="1" s="1"/>
  <c r="O191" i="1" s="1"/>
  <c r="P191" i="1" s="1"/>
  <c r="Q191" i="1" s="1"/>
  <c r="M190" i="1"/>
  <c r="L190" i="1"/>
  <c r="K190" i="1"/>
  <c r="J190" i="1"/>
  <c r="N190" i="1" s="1"/>
  <c r="O190" i="1" s="1"/>
  <c r="P190" i="1" s="1"/>
  <c r="Q190" i="1" s="1"/>
  <c r="M189" i="1"/>
  <c r="L189" i="1"/>
  <c r="K189" i="1"/>
  <c r="J189" i="1"/>
  <c r="N189" i="1" s="1"/>
  <c r="O189" i="1" s="1"/>
  <c r="P189" i="1" s="1"/>
  <c r="Q189" i="1" s="1"/>
  <c r="M188" i="1"/>
  <c r="L188" i="1"/>
  <c r="K188" i="1"/>
  <c r="J188" i="1"/>
  <c r="M187" i="1"/>
  <c r="L187" i="1"/>
  <c r="K187" i="1"/>
  <c r="J187" i="1"/>
  <c r="M186" i="1"/>
  <c r="L186" i="1"/>
  <c r="K186" i="1"/>
  <c r="J186" i="1"/>
  <c r="N186" i="1" s="1"/>
  <c r="O186" i="1" s="1"/>
  <c r="P186" i="1" s="1"/>
  <c r="Q186" i="1" s="1"/>
  <c r="M185" i="1"/>
  <c r="L185" i="1"/>
  <c r="K185" i="1"/>
  <c r="J185" i="1"/>
  <c r="N185" i="1" s="1"/>
  <c r="O185" i="1" s="1"/>
  <c r="P185" i="1" s="1"/>
  <c r="Q185" i="1" s="1"/>
  <c r="M184" i="1"/>
  <c r="L184" i="1"/>
  <c r="K184" i="1"/>
  <c r="J184" i="1"/>
  <c r="M183" i="1"/>
  <c r="L183" i="1"/>
  <c r="K183" i="1"/>
  <c r="J183" i="1"/>
  <c r="M182" i="1"/>
  <c r="L182" i="1"/>
  <c r="K182" i="1"/>
  <c r="J182" i="1"/>
  <c r="N182" i="1" s="1"/>
  <c r="O182" i="1" s="1"/>
  <c r="P182" i="1" s="1"/>
  <c r="Q182" i="1" s="1"/>
  <c r="M181" i="1"/>
  <c r="L181" i="1"/>
  <c r="K181" i="1"/>
  <c r="J181" i="1"/>
  <c r="N181" i="1" s="1"/>
  <c r="O181" i="1" s="1"/>
  <c r="P181" i="1" s="1"/>
  <c r="Q181" i="1" s="1"/>
  <c r="N180" i="1"/>
  <c r="O180" i="1" s="1"/>
  <c r="P180" i="1" s="1"/>
  <c r="Q180" i="1" s="1"/>
  <c r="M180" i="1"/>
  <c r="L180" i="1"/>
  <c r="K180" i="1"/>
  <c r="J180" i="1"/>
  <c r="N179" i="1"/>
  <c r="O179" i="1" s="1"/>
  <c r="P179" i="1" s="1"/>
  <c r="Q179" i="1" s="1"/>
  <c r="M179" i="1"/>
  <c r="L179" i="1"/>
  <c r="K179" i="1"/>
  <c r="J179" i="1"/>
  <c r="M178" i="1"/>
  <c r="L178" i="1"/>
  <c r="K178" i="1"/>
  <c r="J178" i="1"/>
  <c r="M177" i="1"/>
  <c r="L177" i="1"/>
  <c r="K177" i="1"/>
  <c r="J177" i="1"/>
  <c r="M176" i="1"/>
  <c r="L176" i="1"/>
  <c r="K176" i="1"/>
  <c r="J176" i="1"/>
  <c r="N176" i="1" s="1"/>
  <c r="O176" i="1" s="1"/>
  <c r="P176" i="1" s="1"/>
  <c r="Q176" i="1" s="1"/>
  <c r="M175" i="1"/>
  <c r="L175" i="1"/>
  <c r="K175" i="1"/>
  <c r="J175" i="1"/>
  <c r="N175" i="1" s="1"/>
  <c r="O175" i="1" s="1"/>
  <c r="P175" i="1" s="1"/>
  <c r="Q175" i="1" s="1"/>
  <c r="M174" i="1"/>
  <c r="L174" i="1"/>
  <c r="K174" i="1"/>
  <c r="J174" i="1"/>
  <c r="M173" i="1"/>
  <c r="L173" i="1"/>
  <c r="N173" i="1" s="1"/>
  <c r="O173" i="1" s="1"/>
  <c r="P173" i="1" s="1"/>
  <c r="Q173" i="1" s="1"/>
  <c r="K173" i="1"/>
  <c r="J173" i="1"/>
  <c r="M172" i="1"/>
  <c r="L172" i="1"/>
  <c r="K172" i="1"/>
  <c r="J172" i="1"/>
  <c r="N172" i="1" s="1"/>
  <c r="O172" i="1" s="1"/>
  <c r="P172" i="1" s="1"/>
  <c r="Q172" i="1" s="1"/>
  <c r="M171" i="1"/>
  <c r="L171" i="1"/>
  <c r="K171" i="1"/>
  <c r="J171" i="1"/>
  <c r="M170" i="1"/>
  <c r="L170" i="1"/>
  <c r="K170" i="1"/>
  <c r="J170" i="1"/>
  <c r="N170" i="1" s="1"/>
  <c r="O170" i="1" s="1"/>
  <c r="P170" i="1" s="1"/>
  <c r="Q170" i="1" s="1"/>
  <c r="M169" i="1"/>
  <c r="L169" i="1"/>
  <c r="K169" i="1"/>
  <c r="J169" i="1"/>
  <c r="M168" i="1"/>
  <c r="L168" i="1"/>
  <c r="K168" i="1"/>
  <c r="J168" i="1"/>
  <c r="M167" i="1"/>
  <c r="L167" i="1"/>
  <c r="K167" i="1"/>
  <c r="J167" i="1"/>
  <c r="M166" i="1"/>
  <c r="L166" i="1"/>
  <c r="K166" i="1"/>
  <c r="J166" i="1"/>
  <c r="N166" i="1" s="1"/>
  <c r="O166" i="1" s="1"/>
  <c r="P166" i="1" s="1"/>
  <c r="Q166" i="1" s="1"/>
  <c r="M165" i="1"/>
  <c r="L165" i="1"/>
  <c r="K165" i="1"/>
  <c r="J165" i="1"/>
  <c r="M164" i="1"/>
  <c r="L164" i="1"/>
  <c r="N164" i="1" s="1"/>
  <c r="O164" i="1" s="1"/>
  <c r="P164" i="1" s="1"/>
  <c r="Q164" i="1" s="1"/>
  <c r="K164" i="1"/>
  <c r="J164" i="1"/>
  <c r="M163" i="1"/>
  <c r="L163" i="1"/>
  <c r="K163" i="1"/>
  <c r="N163" i="1" s="1"/>
  <c r="O163" i="1" s="1"/>
  <c r="P163" i="1" s="1"/>
  <c r="Q163" i="1" s="1"/>
  <c r="J163" i="1"/>
  <c r="M162" i="1"/>
  <c r="L162" i="1"/>
  <c r="K162" i="1"/>
  <c r="J162" i="1"/>
  <c r="M161" i="1"/>
  <c r="L161" i="1"/>
  <c r="K161" i="1"/>
  <c r="J161" i="1"/>
  <c r="M160" i="1"/>
  <c r="L160" i="1"/>
  <c r="K160" i="1"/>
  <c r="J160" i="1"/>
  <c r="M159" i="1"/>
  <c r="L159" i="1"/>
  <c r="K159" i="1"/>
  <c r="J159" i="1"/>
  <c r="M158" i="1"/>
  <c r="L158" i="1"/>
  <c r="K158" i="1"/>
  <c r="J158" i="1"/>
  <c r="N157" i="1"/>
  <c r="O157" i="1" s="1"/>
  <c r="P157" i="1" s="1"/>
  <c r="Q157" i="1" s="1"/>
  <c r="M157" i="1"/>
  <c r="L157" i="1"/>
  <c r="K157" i="1"/>
  <c r="J157" i="1"/>
  <c r="M156" i="1"/>
  <c r="L156" i="1"/>
  <c r="K156" i="1"/>
  <c r="J156" i="1"/>
  <c r="N156" i="1" s="1"/>
  <c r="O156" i="1" s="1"/>
  <c r="P156" i="1" s="1"/>
  <c r="Q156" i="1" s="1"/>
  <c r="M155" i="1"/>
  <c r="L155" i="1"/>
  <c r="K155" i="1"/>
  <c r="J155" i="1"/>
  <c r="M154" i="1"/>
  <c r="L154" i="1"/>
  <c r="K154" i="1"/>
  <c r="J154" i="1"/>
  <c r="M153" i="1"/>
  <c r="L153" i="1"/>
  <c r="K153" i="1"/>
  <c r="J153" i="1"/>
  <c r="N153" i="1" s="1"/>
  <c r="O153" i="1" s="1"/>
  <c r="P153" i="1" s="1"/>
  <c r="Q153" i="1" s="1"/>
  <c r="M152" i="1"/>
  <c r="L152" i="1"/>
  <c r="K152" i="1"/>
  <c r="J152" i="1"/>
  <c r="M151" i="1"/>
  <c r="L151" i="1"/>
  <c r="K151" i="1"/>
  <c r="J151" i="1"/>
  <c r="M150" i="1"/>
  <c r="L150" i="1"/>
  <c r="K150" i="1"/>
  <c r="J150" i="1"/>
  <c r="M149" i="1"/>
  <c r="L149" i="1"/>
  <c r="K149" i="1"/>
  <c r="J149" i="1"/>
  <c r="N149" i="1" s="1"/>
  <c r="O149" i="1" s="1"/>
  <c r="P149" i="1" s="1"/>
  <c r="Q149" i="1" s="1"/>
  <c r="M148" i="1"/>
  <c r="L148" i="1"/>
  <c r="K148" i="1"/>
  <c r="J148" i="1"/>
  <c r="N148" i="1" s="1"/>
  <c r="O148" i="1" s="1"/>
  <c r="P148" i="1" s="1"/>
  <c r="Q148" i="1" s="1"/>
  <c r="M147" i="1"/>
  <c r="L147" i="1"/>
  <c r="K147" i="1"/>
  <c r="J147" i="1"/>
  <c r="M146" i="1"/>
  <c r="L146" i="1"/>
  <c r="K146" i="1"/>
  <c r="J146" i="1"/>
  <c r="M145" i="1"/>
  <c r="L145" i="1"/>
  <c r="K145" i="1"/>
  <c r="J145" i="1"/>
  <c r="M144" i="1"/>
  <c r="L144" i="1"/>
  <c r="K144" i="1"/>
  <c r="J144" i="1"/>
  <c r="N144" i="1" s="1"/>
  <c r="O144" i="1" s="1"/>
  <c r="P144" i="1" s="1"/>
  <c r="Q144" i="1" s="1"/>
  <c r="M143" i="1"/>
  <c r="L143" i="1"/>
  <c r="K143" i="1"/>
  <c r="J143" i="1"/>
  <c r="M142" i="1"/>
  <c r="L142" i="1"/>
  <c r="K142" i="1"/>
  <c r="J142" i="1"/>
  <c r="N141" i="1"/>
  <c r="O141" i="1" s="1"/>
  <c r="P141" i="1" s="1"/>
  <c r="Q141" i="1" s="1"/>
  <c r="M141" i="1"/>
  <c r="L141" i="1"/>
  <c r="K141" i="1"/>
  <c r="J141" i="1"/>
  <c r="M140" i="1"/>
  <c r="L140" i="1"/>
  <c r="K140" i="1"/>
  <c r="J140" i="1"/>
  <c r="M139" i="1"/>
  <c r="L139" i="1"/>
  <c r="K139" i="1"/>
  <c r="J139" i="1"/>
  <c r="M138" i="1"/>
  <c r="L138" i="1"/>
  <c r="K138" i="1"/>
  <c r="J138" i="1"/>
  <c r="N137" i="1"/>
  <c r="O137" i="1" s="1"/>
  <c r="P137" i="1" s="1"/>
  <c r="Q137" i="1" s="1"/>
  <c r="M137" i="1"/>
  <c r="L137" i="1"/>
  <c r="K137" i="1"/>
  <c r="J137" i="1"/>
  <c r="M136" i="1"/>
  <c r="L136" i="1"/>
  <c r="K136" i="1"/>
  <c r="J136" i="1"/>
  <c r="M135" i="1"/>
  <c r="L135" i="1"/>
  <c r="K135" i="1"/>
  <c r="J135" i="1"/>
  <c r="M134" i="1"/>
  <c r="L134" i="1"/>
  <c r="K134" i="1"/>
  <c r="J134" i="1"/>
  <c r="M133" i="1"/>
  <c r="L133" i="1"/>
  <c r="K133" i="1"/>
  <c r="J133" i="1"/>
  <c r="N133" i="1" s="1"/>
  <c r="O133" i="1" s="1"/>
  <c r="P133" i="1" s="1"/>
  <c r="Q133" i="1" s="1"/>
  <c r="M132" i="1"/>
  <c r="L132" i="1"/>
  <c r="K132" i="1"/>
  <c r="J132" i="1"/>
  <c r="N132" i="1" s="1"/>
  <c r="O132" i="1" s="1"/>
  <c r="P132" i="1" s="1"/>
  <c r="Q132" i="1" s="1"/>
  <c r="M131" i="1"/>
  <c r="L131" i="1"/>
  <c r="K131" i="1"/>
  <c r="N131" i="1" s="1"/>
  <c r="O131" i="1" s="1"/>
  <c r="P131" i="1" s="1"/>
  <c r="Q131" i="1" s="1"/>
  <c r="J131" i="1"/>
  <c r="M130" i="1"/>
  <c r="L130" i="1"/>
  <c r="K130" i="1"/>
  <c r="J130" i="1"/>
  <c r="M129" i="1"/>
  <c r="L129" i="1"/>
  <c r="K129" i="1"/>
  <c r="J129" i="1"/>
  <c r="M128" i="1"/>
  <c r="L128" i="1"/>
  <c r="K128" i="1"/>
  <c r="J128" i="1"/>
  <c r="N128" i="1" s="1"/>
  <c r="O128" i="1" s="1"/>
  <c r="P128" i="1" s="1"/>
  <c r="Q128" i="1" s="1"/>
  <c r="M127" i="1"/>
  <c r="L127" i="1"/>
  <c r="K127" i="1"/>
  <c r="J127" i="1"/>
  <c r="N127" i="1" s="1"/>
  <c r="O127" i="1" s="1"/>
  <c r="P127" i="1" s="1"/>
  <c r="Q127" i="1" s="1"/>
  <c r="O126" i="1"/>
  <c r="P126" i="1" s="1"/>
  <c r="Q126" i="1" s="1"/>
  <c r="M126" i="1"/>
  <c r="L126" i="1"/>
  <c r="K126" i="1"/>
  <c r="J126" i="1"/>
  <c r="N126" i="1" s="1"/>
  <c r="M125" i="1"/>
  <c r="L125" i="1"/>
  <c r="K125" i="1"/>
  <c r="J125" i="1"/>
  <c r="M124" i="1"/>
  <c r="L124" i="1"/>
  <c r="K124" i="1"/>
  <c r="J124" i="1"/>
  <c r="M123" i="1"/>
  <c r="L123" i="1"/>
  <c r="K123" i="1"/>
  <c r="J123" i="1"/>
  <c r="M122" i="1"/>
  <c r="L122" i="1"/>
  <c r="K122" i="1"/>
  <c r="J122" i="1"/>
  <c r="M121" i="1"/>
  <c r="L121" i="1"/>
  <c r="K121" i="1"/>
  <c r="J121" i="1"/>
  <c r="N121" i="1" s="1"/>
  <c r="O121" i="1" s="1"/>
  <c r="P121" i="1" s="1"/>
  <c r="Q121" i="1" s="1"/>
  <c r="M120" i="1"/>
  <c r="L120" i="1"/>
  <c r="K120" i="1"/>
  <c r="J120" i="1"/>
  <c r="M119" i="1"/>
  <c r="L119" i="1"/>
  <c r="K119" i="1"/>
  <c r="J119" i="1"/>
  <c r="N119" i="1" s="1"/>
  <c r="O119" i="1" s="1"/>
  <c r="P119" i="1" s="1"/>
  <c r="Q119" i="1" s="1"/>
  <c r="M118" i="1"/>
  <c r="L118" i="1"/>
  <c r="K118" i="1"/>
  <c r="J118" i="1"/>
  <c r="N118" i="1" s="1"/>
  <c r="O118" i="1" s="1"/>
  <c r="P118" i="1" s="1"/>
  <c r="Q118" i="1" s="1"/>
  <c r="M117" i="1"/>
  <c r="L117" i="1"/>
  <c r="K117" i="1"/>
  <c r="J117" i="1"/>
  <c r="N117" i="1" s="1"/>
  <c r="O117" i="1" s="1"/>
  <c r="P117" i="1" s="1"/>
  <c r="Q117" i="1" s="1"/>
  <c r="M116" i="1"/>
  <c r="L116" i="1"/>
  <c r="K116" i="1"/>
  <c r="J116" i="1"/>
  <c r="M115" i="1"/>
  <c r="L115" i="1"/>
  <c r="K115" i="1"/>
  <c r="J115" i="1"/>
  <c r="M114" i="1"/>
  <c r="L114" i="1"/>
  <c r="K114" i="1"/>
  <c r="J114" i="1"/>
  <c r="N114" i="1" s="1"/>
  <c r="O114" i="1" s="1"/>
  <c r="P114" i="1" s="1"/>
  <c r="Q114" i="1" s="1"/>
  <c r="M113" i="1"/>
  <c r="L113" i="1"/>
  <c r="K113" i="1"/>
  <c r="J113" i="1"/>
  <c r="M112" i="1"/>
  <c r="L112" i="1"/>
  <c r="K112" i="1"/>
  <c r="J112" i="1"/>
  <c r="M111" i="1"/>
  <c r="L111" i="1"/>
  <c r="K111" i="1"/>
  <c r="J111" i="1"/>
  <c r="N111" i="1" s="1"/>
  <c r="O111" i="1" s="1"/>
  <c r="P111" i="1" s="1"/>
  <c r="Q111" i="1" s="1"/>
  <c r="M110" i="1"/>
  <c r="L110" i="1"/>
  <c r="K110" i="1"/>
  <c r="J110" i="1"/>
  <c r="M109" i="1"/>
  <c r="L109" i="1"/>
  <c r="K109" i="1"/>
  <c r="J109" i="1"/>
  <c r="N109" i="1" s="1"/>
  <c r="O109" i="1" s="1"/>
  <c r="P109" i="1" s="1"/>
  <c r="Q109" i="1" s="1"/>
  <c r="M108" i="1"/>
  <c r="L108" i="1"/>
  <c r="K108" i="1"/>
  <c r="J108" i="1"/>
  <c r="M107" i="1"/>
  <c r="L107" i="1"/>
  <c r="K107" i="1"/>
  <c r="J107" i="1"/>
  <c r="M106" i="1"/>
  <c r="L106" i="1"/>
  <c r="K106" i="1"/>
  <c r="J106" i="1"/>
  <c r="M105" i="1"/>
  <c r="L105" i="1"/>
  <c r="K105" i="1"/>
  <c r="J105" i="1"/>
  <c r="M104" i="1"/>
  <c r="L104" i="1"/>
  <c r="K104" i="1"/>
  <c r="J104" i="1"/>
  <c r="N104" i="1" s="1"/>
  <c r="O104" i="1" s="1"/>
  <c r="P104" i="1" s="1"/>
  <c r="Q104" i="1" s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100" i="1"/>
  <c r="L100" i="1"/>
  <c r="K100" i="1"/>
  <c r="J100" i="1"/>
  <c r="M99" i="1"/>
  <c r="L99" i="1"/>
  <c r="K99" i="1"/>
  <c r="J99" i="1"/>
  <c r="M98" i="1"/>
  <c r="L98" i="1"/>
  <c r="K98" i="1"/>
  <c r="J98" i="1"/>
  <c r="M97" i="1"/>
  <c r="L97" i="1"/>
  <c r="K97" i="1"/>
  <c r="J97" i="1"/>
  <c r="N97" i="1" s="1"/>
  <c r="O97" i="1" s="1"/>
  <c r="P97" i="1" s="1"/>
  <c r="Q97" i="1" s="1"/>
  <c r="M96" i="1"/>
  <c r="L96" i="1"/>
  <c r="K96" i="1"/>
  <c r="J96" i="1"/>
  <c r="N96" i="1" s="1"/>
  <c r="O96" i="1" s="1"/>
  <c r="P96" i="1" s="1"/>
  <c r="Q96" i="1" s="1"/>
  <c r="M95" i="1"/>
  <c r="L95" i="1"/>
  <c r="K95" i="1"/>
  <c r="J95" i="1"/>
  <c r="N95" i="1" s="1"/>
  <c r="O95" i="1" s="1"/>
  <c r="P95" i="1" s="1"/>
  <c r="Q95" i="1" s="1"/>
  <c r="M94" i="1"/>
  <c r="L94" i="1"/>
  <c r="K94" i="1"/>
  <c r="J94" i="1"/>
  <c r="N94" i="1" s="1"/>
  <c r="O94" i="1" s="1"/>
  <c r="P94" i="1" s="1"/>
  <c r="Q94" i="1" s="1"/>
  <c r="M93" i="1"/>
  <c r="L93" i="1"/>
  <c r="K93" i="1"/>
  <c r="J93" i="1"/>
  <c r="M92" i="1"/>
  <c r="L92" i="1"/>
  <c r="K92" i="1"/>
  <c r="J92" i="1"/>
  <c r="N92" i="1" s="1"/>
  <c r="O92" i="1" s="1"/>
  <c r="P92" i="1" s="1"/>
  <c r="Q92" i="1" s="1"/>
  <c r="M91" i="1"/>
  <c r="L91" i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N87" i="1" s="1"/>
  <c r="O87" i="1" s="1"/>
  <c r="P87" i="1" s="1"/>
  <c r="Q87" i="1" s="1"/>
  <c r="M86" i="1"/>
  <c r="L86" i="1"/>
  <c r="K86" i="1"/>
  <c r="J86" i="1"/>
  <c r="N86" i="1" s="1"/>
  <c r="O86" i="1" s="1"/>
  <c r="P86" i="1" s="1"/>
  <c r="Q86" i="1" s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N79" i="1" s="1"/>
  <c r="O79" i="1" s="1"/>
  <c r="P79" i="1" s="1"/>
  <c r="Q79" i="1" s="1"/>
  <c r="M78" i="1"/>
  <c r="L78" i="1"/>
  <c r="K78" i="1"/>
  <c r="J78" i="1"/>
  <c r="M77" i="1"/>
  <c r="L77" i="1"/>
  <c r="K77" i="1"/>
  <c r="J77" i="1"/>
  <c r="M76" i="1"/>
  <c r="L76" i="1"/>
  <c r="K76" i="1"/>
  <c r="J76" i="1"/>
  <c r="N76" i="1" s="1"/>
  <c r="O76" i="1" s="1"/>
  <c r="P76" i="1" s="1"/>
  <c r="Q76" i="1" s="1"/>
  <c r="M75" i="1"/>
  <c r="L75" i="1"/>
  <c r="K75" i="1"/>
  <c r="J75" i="1"/>
  <c r="M74" i="1"/>
  <c r="L74" i="1"/>
  <c r="K74" i="1"/>
  <c r="J74" i="1"/>
  <c r="M73" i="1"/>
  <c r="L73" i="1"/>
  <c r="K73" i="1"/>
  <c r="J73" i="1"/>
  <c r="M72" i="1"/>
  <c r="L72" i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7" i="1"/>
  <c r="L67" i="1"/>
  <c r="K67" i="1"/>
  <c r="J67" i="1"/>
  <c r="N67" i="1" s="1"/>
  <c r="O67" i="1" s="1"/>
  <c r="P67" i="1" s="1"/>
  <c r="Q67" i="1" s="1"/>
  <c r="M66" i="1"/>
  <c r="L66" i="1"/>
  <c r="K66" i="1"/>
  <c r="J66" i="1"/>
  <c r="M65" i="1"/>
  <c r="L65" i="1"/>
  <c r="K65" i="1"/>
  <c r="J65" i="1"/>
  <c r="M64" i="1"/>
  <c r="L64" i="1"/>
  <c r="K64" i="1"/>
  <c r="J64" i="1"/>
  <c r="N64" i="1" s="1"/>
  <c r="O64" i="1" s="1"/>
  <c r="P64" i="1" s="1"/>
  <c r="Q64" i="1" s="1"/>
  <c r="M63" i="1"/>
  <c r="L63" i="1"/>
  <c r="K63" i="1"/>
  <c r="J63" i="1"/>
  <c r="N63" i="1" s="1"/>
  <c r="O63" i="1" s="1"/>
  <c r="P63" i="1" s="1"/>
  <c r="Q63" i="1" s="1"/>
  <c r="M62" i="1"/>
  <c r="L62" i="1"/>
  <c r="K62" i="1"/>
  <c r="J62" i="1"/>
  <c r="N62" i="1" s="1"/>
  <c r="O62" i="1" s="1"/>
  <c r="P62" i="1" s="1"/>
  <c r="Q62" i="1" s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N50" i="1" s="1"/>
  <c r="O50" i="1" s="1"/>
  <c r="P50" i="1" s="1"/>
  <c r="Q50" i="1" s="1"/>
  <c r="M49" i="1"/>
  <c r="L49" i="1"/>
  <c r="K49" i="1"/>
  <c r="J49" i="1"/>
  <c r="N49" i="1" s="1"/>
  <c r="O49" i="1" s="1"/>
  <c r="P49" i="1" s="1"/>
  <c r="Q49" i="1" s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N44" i="1" s="1"/>
  <c r="O44" i="1" s="1"/>
  <c r="P44" i="1" s="1"/>
  <c r="Q44" i="1" s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N38" i="1" s="1"/>
  <c r="O38" i="1" s="1"/>
  <c r="P38" i="1" s="1"/>
  <c r="Q38" i="1" s="1"/>
  <c r="M37" i="1"/>
  <c r="L37" i="1"/>
  <c r="K37" i="1"/>
  <c r="J37" i="1"/>
  <c r="N37" i="1" s="1"/>
  <c r="O37" i="1" s="1"/>
  <c r="P37" i="1" s="1"/>
  <c r="Q37" i="1" s="1"/>
  <c r="M36" i="1"/>
  <c r="L36" i="1"/>
  <c r="K36" i="1"/>
  <c r="J36" i="1"/>
  <c r="M35" i="1"/>
  <c r="L35" i="1"/>
  <c r="K35" i="1"/>
  <c r="J35" i="1"/>
  <c r="M34" i="1"/>
  <c r="L34" i="1"/>
  <c r="K34" i="1"/>
  <c r="J34" i="1"/>
  <c r="N34" i="1" s="1"/>
  <c r="O34" i="1" s="1"/>
  <c r="P34" i="1" s="1"/>
  <c r="Q34" i="1" s="1"/>
  <c r="M33" i="1"/>
  <c r="L33" i="1"/>
  <c r="K33" i="1"/>
  <c r="J33" i="1"/>
  <c r="N33" i="1" s="1"/>
  <c r="O33" i="1" s="1"/>
  <c r="P33" i="1" s="1"/>
  <c r="Q33" i="1" s="1"/>
  <c r="N32" i="1"/>
  <c r="O32" i="1" s="1"/>
  <c r="P32" i="1" s="1"/>
  <c r="Q32" i="1" s="1"/>
  <c r="M32" i="1"/>
  <c r="L32" i="1"/>
  <c r="K32" i="1"/>
  <c r="J32" i="1"/>
  <c r="M31" i="1"/>
  <c r="L31" i="1"/>
  <c r="K31" i="1"/>
  <c r="J31" i="1"/>
  <c r="M30" i="1"/>
  <c r="L30" i="1"/>
  <c r="N30" i="1" s="1"/>
  <c r="O30" i="1" s="1"/>
  <c r="P30" i="1" s="1"/>
  <c r="Q30" i="1" s="1"/>
  <c r="K30" i="1"/>
  <c r="J30" i="1"/>
  <c r="M29" i="1"/>
  <c r="L29" i="1"/>
  <c r="K29" i="1"/>
  <c r="J29" i="1"/>
  <c r="M28" i="1"/>
  <c r="L28" i="1"/>
  <c r="K28" i="1"/>
  <c r="J28" i="1"/>
  <c r="N28" i="1" s="1"/>
  <c r="O28" i="1" s="1"/>
  <c r="P28" i="1" s="1"/>
  <c r="Q28" i="1" s="1"/>
  <c r="M27" i="1"/>
  <c r="L27" i="1"/>
  <c r="K27" i="1"/>
  <c r="J27" i="1"/>
  <c r="M26" i="1"/>
  <c r="L26" i="1"/>
  <c r="K26" i="1"/>
  <c r="J26" i="1"/>
  <c r="M25" i="1"/>
  <c r="L25" i="1"/>
  <c r="K25" i="1"/>
  <c r="J25" i="1"/>
  <c r="N25" i="1" s="1"/>
  <c r="O25" i="1" s="1"/>
  <c r="P25" i="1" s="1"/>
  <c r="Q25" i="1" s="1"/>
  <c r="M24" i="1"/>
  <c r="L24" i="1"/>
  <c r="K24" i="1"/>
  <c r="J24" i="1"/>
  <c r="M23" i="1"/>
  <c r="L23" i="1"/>
  <c r="K23" i="1"/>
  <c r="J23" i="1"/>
  <c r="N23" i="1" s="1"/>
  <c r="O23" i="1" s="1"/>
  <c r="P23" i="1" s="1"/>
  <c r="Q23" i="1" s="1"/>
  <c r="M22" i="1"/>
  <c r="L22" i="1"/>
  <c r="K22" i="1"/>
  <c r="N22" i="1" s="1"/>
  <c r="O22" i="1" s="1"/>
  <c r="P22" i="1" s="1"/>
  <c r="Q22" i="1" s="1"/>
  <c r="J22" i="1"/>
  <c r="M21" i="1"/>
  <c r="L21" i="1"/>
  <c r="K21" i="1"/>
  <c r="J21" i="1"/>
  <c r="N21" i="1" s="1"/>
  <c r="O21" i="1" s="1"/>
  <c r="P21" i="1" s="1"/>
  <c r="Q21" i="1" s="1"/>
  <c r="M20" i="1"/>
  <c r="L20" i="1"/>
  <c r="K20" i="1"/>
  <c r="J20" i="1"/>
  <c r="N20" i="1" s="1"/>
  <c r="O20" i="1" s="1"/>
  <c r="P20" i="1" s="1"/>
  <c r="Q20" i="1" s="1"/>
  <c r="M19" i="1"/>
  <c r="L19" i="1"/>
  <c r="K19" i="1"/>
  <c r="J19" i="1"/>
  <c r="N19" i="1" s="1"/>
  <c r="O19" i="1" s="1"/>
  <c r="P19" i="1" s="1"/>
  <c r="Q19" i="1" s="1"/>
  <c r="N18" i="1"/>
  <c r="O18" i="1" s="1"/>
  <c r="P18" i="1" s="1"/>
  <c r="Q18" i="1" s="1"/>
  <c r="M18" i="1"/>
  <c r="L18" i="1"/>
  <c r="K18" i="1"/>
  <c r="J18" i="1"/>
  <c r="M17" i="1"/>
  <c r="L17" i="1"/>
  <c r="K17" i="1"/>
  <c r="J17" i="1"/>
  <c r="M16" i="1"/>
  <c r="L16" i="1"/>
  <c r="K16" i="1"/>
  <c r="J16" i="1"/>
  <c r="N16" i="1" s="1"/>
  <c r="O16" i="1" s="1"/>
  <c r="P16" i="1" s="1"/>
  <c r="Q16" i="1" s="1"/>
  <c r="M15" i="1"/>
  <c r="L15" i="1"/>
  <c r="K15" i="1"/>
  <c r="J15" i="1"/>
  <c r="N15" i="1" s="1"/>
  <c r="O15" i="1" s="1"/>
  <c r="P15" i="1" s="1"/>
  <c r="Q15" i="1" s="1"/>
  <c r="M14" i="1"/>
  <c r="L14" i="1"/>
  <c r="K14" i="1"/>
  <c r="J14" i="1"/>
  <c r="N14" i="1" s="1"/>
  <c r="O14" i="1" s="1"/>
  <c r="P14" i="1" s="1"/>
  <c r="Q14" i="1" s="1"/>
  <c r="M13" i="1"/>
  <c r="L13" i="1"/>
  <c r="K13" i="1"/>
  <c r="J13" i="1"/>
  <c r="N13" i="1" s="1"/>
  <c r="O13" i="1" s="1"/>
  <c r="P13" i="1" s="1"/>
  <c r="Q13" i="1" s="1"/>
  <c r="M12" i="1"/>
  <c r="L12" i="1"/>
  <c r="K12" i="1"/>
  <c r="J12" i="1"/>
  <c r="N12" i="1" s="1"/>
  <c r="O12" i="1" s="1"/>
  <c r="P12" i="1" s="1"/>
  <c r="Q12" i="1" s="1"/>
  <c r="M11" i="1"/>
  <c r="L11" i="1"/>
  <c r="K11" i="1"/>
  <c r="J11" i="1"/>
  <c r="M10" i="1"/>
  <c r="L10" i="1"/>
  <c r="K10" i="1"/>
  <c r="J10" i="1"/>
  <c r="N10" i="1" s="1"/>
  <c r="O10" i="1" s="1"/>
  <c r="P10" i="1" s="1"/>
  <c r="Q10" i="1" s="1"/>
  <c r="M9" i="1"/>
  <c r="L9" i="1"/>
  <c r="K9" i="1"/>
  <c r="J9" i="1"/>
  <c r="M8" i="1"/>
  <c r="L8" i="1"/>
  <c r="K8" i="1"/>
  <c r="J8" i="1"/>
  <c r="N8" i="1" s="1"/>
  <c r="O8" i="1" s="1"/>
  <c r="P8" i="1" s="1"/>
  <c r="Q8" i="1" s="1"/>
  <c r="M7" i="1"/>
  <c r="L7" i="1"/>
  <c r="K7" i="1"/>
  <c r="J7" i="1"/>
  <c r="N7" i="1" s="1"/>
  <c r="O7" i="1" s="1"/>
  <c r="P7" i="1" s="1"/>
  <c r="Q7" i="1" s="1"/>
  <c r="N6" i="1"/>
  <c r="O6" i="1" s="1"/>
  <c r="P6" i="1" s="1"/>
  <c r="Q6" i="1" s="1"/>
  <c r="M6" i="1"/>
  <c r="L6" i="1"/>
  <c r="K6" i="1"/>
  <c r="J6" i="1"/>
  <c r="M5" i="1"/>
  <c r="L5" i="1"/>
  <c r="K5" i="1"/>
  <c r="J5" i="1"/>
  <c r="N5" i="1" s="1"/>
  <c r="O5" i="1" s="1"/>
  <c r="P5" i="1" s="1"/>
  <c r="Q5" i="1" s="1"/>
  <c r="M4" i="1"/>
  <c r="L4" i="1"/>
  <c r="N4" i="1" s="1"/>
  <c r="O4" i="1" s="1"/>
  <c r="P4" i="1" s="1"/>
  <c r="Q4" i="1" s="1"/>
  <c r="K4" i="1"/>
  <c r="J4" i="1"/>
  <c r="M3" i="1"/>
  <c r="L3" i="1"/>
  <c r="K3" i="1"/>
  <c r="J3" i="1"/>
  <c r="M2" i="1"/>
  <c r="L2" i="1"/>
  <c r="K2" i="1"/>
  <c r="J2" i="1"/>
  <c r="N2" i="1" s="1"/>
  <c r="O2" i="1" s="1"/>
  <c r="P2" i="1" s="1"/>
  <c r="Q2" i="1" s="1"/>
  <c r="N154" i="1" l="1"/>
  <c r="O154" i="1" s="1"/>
  <c r="P154" i="1" s="1"/>
  <c r="Q154" i="1" s="1"/>
  <c r="N147" i="1"/>
  <c r="O147" i="1" s="1"/>
  <c r="P147" i="1" s="1"/>
  <c r="Q147" i="1" s="1"/>
  <c r="N268" i="1"/>
  <c r="O268" i="1" s="1"/>
  <c r="P268" i="1" s="1"/>
  <c r="Q268" i="1" s="1"/>
  <c r="N288" i="1"/>
  <c r="O288" i="1" s="1"/>
  <c r="P288" i="1" s="1"/>
  <c r="Q288" i="1" s="1"/>
  <c r="N27" i="1"/>
  <c r="O27" i="1" s="1"/>
  <c r="P27" i="1" s="1"/>
  <c r="Q27" i="1" s="1"/>
  <c r="N35" i="1"/>
  <c r="O35" i="1" s="1"/>
  <c r="P35" i="1" s="1"/>
  <c r="Q35" i="1" s="1"/>
  <c r="N140" i="1"/>
  <c r="O140" i="1" s="1"/>
  <c r="P140" i="1" s="1"/>
  <c r="Q140" i="1" s="1"/>
  <c r="N193" i="1"/>
  <c r="O193" i="1" s="1"/>
  <c r="P193" i="1" s="1"/>
  <c r="Q193" i="1" s="1"/>
  <c r="N227" i="1"/>
  <c r="O227" i="1" s="1"/>
  <c r="P227" i="1" s="1"/>
  <c r="Q227" i="1" s="1"/>
  <c r="N242" i="1"/>
  <c r="O242" i="1" s="1"/>
  <c r="P242" i="1" s="1"/>
  <c r="Q242" i="1" s="1"/>
  <c r="N31" i="1"/>
  <c r="O31" i="1" s="1"/>
  <c r="P31" i="1" s="1"/>
  <c r="Q31" i="1" s="1"/>
  <c r="N39" i="1"/>
  <c r="O39" i="1" s="1"/>
  <c r="P39" i="1" s="1"/>
  <c r="Q39" i="1" s="1"/>
  <c r="N51" i="1"/>
  <c r="O51" i="1" s="1"/>
  <c r="P51" i="1" s="1"/>
  <c r="Q51" i="1" s="1"/>
  <c r="N9" i="1"/>
  <c r="O9" i="1" s="1"/>
  <c r="P9" i="1" s="1"/>
  <c r="Q9" i="1" s="1"/>
  <c r="N43" i="1"/>
  <c r="O43" i="1" s="1"/>
  <c r="P43" i="1" s="1"/>
  <c r="Q43" i="1" s="1"/>
  <c r="N129" i="1"/>
  <c r="O129" i="1" s="1"/>
  <c r="P129" i="1" s="1"/>
  <c r="Q129" i="1" s="1"/>
  <c r="N155" i="1"/>
  <c r="O155" i="1" s="1"/>
  <c r="P155" i="1" s="1"/>
  <c r="Q155" i="1" s="1"/>
  <c r="N178" i="1"/>
  <c r="O178" i="1" s="1"/>
  <c r="P178" i="1" s="1"/>
  <c r="Q178" i="1" s="1"/>
  <c r="N246" i="1"/>
  <c r="O246" i="1" s="1"/>
  <c r="P246" i="1" s="1"/>
  <c r="Q246" i="1" s="1"/>
  <c r="N250" i="1"/>
  <c r="O250" i="1" s="1"/>
  <c r="P250" i="1" s="1"/>
  <c r="Q250" i="1" s="1"/>
  <c r="N273" i="1"/>
  <c r="O273" i="1" s="1"/>
  <c r="P273" i="1" s="1"/>
  <c r="Q273" i="1" s="1"/>
  <c r="N17" i="1"/>
  <c r="O17" i="1" s="1"/>
  <c r="P17" i="1" s="1"/>
  <c r="Q17" i="1" s="1"/>
  <c r="N24" i="1"/>
  <c r="O24" i="1" s="1"/>
  <c r="P24" i="1" s="1"/>
  <c r="Q24" i="1" s="1"/>
  <c r="N52" i="1"/>
  <c r="O52" i="1" s="1"/>
  <c r="P52" i="1" s="1"/>
  <c r="Q52" i="1" s="1"/>
  <c r="N99" i="1"/>
  <c r="O99" i="1" s="1"/>
  <c r="P99" i="1" s="1"/>
  <c r="Q99" i="1" s="1"/>
  <c r="N107" i="1"/>
  <c r="O107" i="1" s="1"/>
  <c r="P107" i="1" s="1"/>
  <c r="Q107" i="1" s="1"/>
  <c r="N160" i="1"/>
  <c r="O160" i="1" s="1"/>
  <c r="P160" i="1" s="1"/>
  <c r="Q160" i="1" s="1"/>
  <c r="N251" i="1"/>
  <c r="O251" i="1" s="1"/>
  <c r="P251" i="1" s="1"/>
  <c r="Q251" i="1" s="1"/>
  <c r="N266" i="1"/>
  <c r="O266" i="1" s="1"/>
  <c r="P266" i="1" s="1"/>
  <c r="Q266" i="1" s="1"/>
  <c r="N270" i="1"/>
  <c r="O270" i="1" s="1"/>
  <c r="P270" i="1" s="1"/>
  <c r="Q270" i="1" s="1"/>
  <c r="N274" i="1"/>
  <c r="O274" i="1" s="1"/>
  <c r="P274" i="1" s="1"/>
  <c r="Q274" i="1" s="1"/>
  <c r="N3" i="1"/>
  <c r="O3" i="1" s="1"/>
  <c r="P3" i="1" s="1"/>
  <c r="Q3" i="1" s="1"/>
  <c r="N60" i="1"/>
  <c r="O60" i="1" s="1"/>
  <c r="P60" i="1" s="1"/>
  <c r="Q60" i="1" s="1"/>
  <c r="N209" i="1"/>
  <c r="O209" i="1" s="1"/>
  <c r="P209" i="1" s="1"/>
  <c r="Q209" i="1" s="1"/>
  <c r="N225" i="1"/>
  <c r="O225" i="1" s="1"/>
  <c r="P225" i="1" s="1"/>
  <c r="Q225" i="1" s="1"/>
  <c r="N278" i="1"/>
  <c r="O278" i="1" s="1"/>
  <c r="P278" i="1" s="1"/>
  <c r="Q278" i="1" s="1"/>
  <c r="N282" i="1"/>
  <c r="O282" i="1" s="1"/>
  <c r="P282" i="1" s="1"/>
  <c r="Q282" i="1" s="1"/>
  <c r="N286" i="1"/>
  <c r="O286" i="1" s="1"/>
  <c r="P286" i="1" s="1"/>
  <c r="Q286" i="1" s="1"/>
  <c r="N138" i="1"/>
  <c r="O138" i="1" s="1"/>
  <c r="P138" i="1" s="1"/>
  <c r="Q138" i="1" s="1"/>
  <c r="N57" i="1"/>
  <c r="O57" i="1" s="1"/>
  <c r="P57" i="1" s="1"/>
  <c r="Q57" i="1" s="1"/>
  <c r="N108" i="1"/>
  <c r="O108" i="1" s="1"/>
  <c r="P108" i="1" s="1"/>
  <c r="Q108" i="1" s="1"/>
  <c r="N135" i="1"/>
  <c r="O135" i="1" s="1"/>
  <c r="P135" i="1" s="1"/>
  <c r="Q135" i="1" s="1"/>
  <c r="N165" i="1"/>
  <c r="O165" i="1" s="1"/>
  <c r="P165" i="1" s="1"/>
  <c r="Q165" i="1" s="1"/>
  <c r="N169" i="1"/>
  <c r="O169" i="1" s="1"/>
  <c r="P169" i="1" s="1"/>
  <c r="Q169" i="1" s="1"/>
  <c r="N195" i="1"/>
  <c r="O195" i="1" s="1"/>
  <c r="P195" i="1" s="1"/>
  <c r="Q195" i="1" s="1"/>
  <c r="N210" i="1"/>
  <c r="O210" i="1" s="1"/>
  <c r="P210" i="1" s="1"/>
  <c r="Q210" i="1" s="1"/>
  <c r="N252" i="1"/>
  <c r="O252" i="1" s="1"/>
  <c r="P252" i="1" s="1"/>
  <c r="Q252" i="1" s="1"/>
  <c r="N283" i="1"/>
  <c r="O283" i="1" s="1"/>
  <c r="P283" i="1" s="1"/>
  <c r="Q283" i="1" s="1"/>
  <c r="N287" i="1"/>
  <c r="O287" i="1" s="1"/>
  <c r="N11" i="1"/>
  <c r="O11" i="1" s="1"/>
  <c r="P11" i="1" s="1"/>
  <c r="Q11" i="1" s="1"/>
  <c r="N29" i="1"/>
  <c r="O29" i="1" s="1"/>
  <c r="P29" i="1" s="1"/>
  <c r="Q29" i="1" s="1"/>
  <c r="N26" i="1"/>
  <c r="O26" i="1" s="1"/>
  <c r="P26" i="1" s="1"/>
  <c r="Q26" i="1" s="1"/>
  <c r="N41" i="1"/>
  <c r="O41" i="1" s="1"/>
  <c r="P41" i="1" s="1"/>
  <c r="Q41" i="1" s="1"/>
  <c r="N65" i="1"/>
  <c r="O65" i="1" s="1"/>
  <c r="P65" i="1" s="1"/>
  <c r="Q65" i="1" s="1"/>
  <c r="N85" i="1"/>
  <c r="O85" i="1" s="1"/>
  <c r="P85" i="1" s="1"/>
  <c r="Q85" i="1" s="1"/>
  <c r="N89" i="1"/>
  <c r="O89" i="1" s="1"/>
  <c r="P89" i="1" s="1"/>
  <c r="Q89" i="1" s="1"/>
  <c r="N124" i="1"/>
  <c r="O124" i="1" s="1"/>
  <c r="P124" i="1" s="1"/>
  <c r="Q124" i="1" s="1"/>
  <c r="N188" i="1"/>
  <c r="O188" i="1" s="1"/>
  <c r="P188" i="1" s="1"/>
  <c r="Q188" i="1" s="1"/>
  <c r="N256" i="1"/>
  <c r="O256" i="1" s="1"/>
  <c r="P256" i="1"/>
  <c r="Q256" i="1" s="1"/>
  <c r="P287" i="1"/>
  <c r="Q287" i="1" s="1"/>
  <c r="P290" i="1"/>
  <c r="Q290" i="1" s="1"/>
  <c r="N130" i="1"/>
  <c r="O130" i="1" s="1"/>
  <c r="P130" i="1" s="1"/>
  <c r="Q130" i="1" s="1"/>
  <c r="N136" i="1"/>
  <c r="O136" i="1" s="1"/>
  <c r="P136" i="1" s="1"/>
  <c r="Q136" i="1" s="1"/>
  <c r="N142" i="1"/>
  <c r="O142" i="1" s="1"/>
  <c r="P142" i="1" s="1"/>
  <c r="Q142" i="1" s="1"/>
  <c r="N145" i="1"/>
  <c r="O145" i="1" s="1"/>
  <c r="P145" i="1" s="1"/>
  <c r="Q145" i="1" s="1"/>
  <c r="N151" i="1"/>
  <c r="O151" i="1" s="1"/>
  <c r="P151" i="1" s="1"/>
  <c r="Q151" i="1" s="1"/>
  <c r="N184" i="1"/>
  <c r="O184" i="1" s="1"/>
  <c r="P184" i="1" s="1"/>
  <c r="Q184" i="1" s="1"/>
  <c r="N187" i="1"/>
  <c r="O187" i="1" s="1"/>
  <c r="P187" i="1" s="1"/>
  <c r="Q187" i="1" s="1"/>
  <c r="N249" i="1"/>
  <c r="O249" i="1" s="1"/>
  <c r="P249" i="1" s="1"/>
  <c r="Q249" i="1" s="1"/>
  <c r="N66" i="1"/>
  <c r="O66" i="1" s="1"/>
  <c r="P66" i="1" s="1"/>
  <c r="Q66" i="1" s="1"/>
  <c r="N69" i="1"/>
  <c r="O69" i="1" s="1"/>
  <c r="P69" i="1" s="1"/>
  <c r="Q69" i="1" s="1"/>
  <c r="N98" i="1"/>
  <c r="O98" i="1" s="1"/>
  <c r="P98" i="1" s="1"/>
  <c r="Q98" i="1" s="1"/>
  <c r="N101" i="1"/>
  <c r="O101" i="1" s="1"/>
  <c r="P101" i="1" s="1"/>
  <c r="Q101" i="1" s="1"/>
  <c r="N139" i="1"/>
  <c r="O139" i="1" s="1"/>
  <c r="P139" i="1" s="1"/>
  <c r="Q139" i="1" s="1"/>
  <c r="N200" i="1"/>
  <c r="O200" i="1" s="1"/>
  <c r="P200" i="1" s="1"/>
  <c r="Q200" i="1" s="1"/>
  <c r="N72" i="1"/>
  <c r="O72" i="1" s="1"/>
  <c r="P72" i="1" s="1"/>
  <c r="Q72" i="1" s="1"/>
  <c r="N75" i="1"/>
  <c r="O75" i="1" s="1"/>
  <c r="P75" i="1" s="1"/>
  <c r="Q75" i="1" s="1"/>
  <c r="N47" i="1"/>
  <c r="O47" i="1" s="1"/>
  <c r="P47" i="1" s="1"/>
  <c r="Q47" i="1" s="1"/>
  <c r="N55" i="1"/>
  <c r="O55" i="1" s="1"/>
  <c r="P55" i="1" s="1"/>
  <c r="Q55" i="1" s="1"/>
  <c r="N78" i="1"/>
  <c r="O78" i="1" s="1"/>
  <c r="P78" i="1" s="1"/>
  <c r="Q78" i="1" s="1"/>
  <c r="N81" i="1"/>
  <c r="O81" i="1" s="1"/>
  <c r="P81" i="1" s="1"/>
  <c r="Q81" i="1" s="1"/>
  <c r="N110" i="1"/>
  <c r="O110" i="1" s="1"/>
  <c r="P110" i="1" s="1"/>
  <c r="Q110" i="1" s="1"/>
  <c r="N113" i="1"/>
  <c r="O113" i="1" s="1"/>
  <c r="P113" i="1" s="1"/>
  <c r="Q113" i="1" s="1"/>
  <c r="N84" i="1"/>
  <c r="O84" i="1" s="1"/>
  <c r="P84" i="1" s="1"/>
  <c r="Q84" i="1" s="1"/>
  <c r="N116" i="1"/>
  <c r="O116" i="1" s="1"/>
  <c r="P116" i="1" s="1"/>
  <c r="Q116" i="1" s="1"/>
  <c r="N42" i="1"/>
  <c r="O42" i="1" s="1"/>
  <c r="P42" i="1" s="1"/>
  <c r="Q42" i="1" s="1"/>
  <c r="N58" i="1"/>
  <c r="O58" i="1" s="1"/>
  <c r="P58" i="1" s="1"/>
  <c r="Q58" i="1" s="1"/>
  <c r="N61" i="1"/>
  <c r="O61" i="1" s="1"/>
  <c r="P61" i="1" s="1"/>
  <c r="Q61" i="1" s="1"/>
  <c r="N90" i="1"/>
  <c r="O90" i="1" s="1"/>
  <c r="P90" i="1" s="1"/>
  <c r="Q90" i="1" s="1"/>
  <c r="N93" i="1"/>
  <c r="O93" i="1" s="1"/>
  <c r="P93" i="1" s="1"/>
  <c r="Q93" i="1" s="1"/>
  <c r="N122" i="1"/>
  <c r="O122" i="1" s="1"/>
  <c r="P122" i="1" s="1"/>
  <c r="Q122" i="1" s="1"/>
  <c r="N125" i="1"/>
  <c r="O125" i="1" s="1"/>
  <c r="P125" i="1" s="1"/>
  <c r="Q125" i="1" s="1"/>
  <c r="N134" i="1"/>
  <c r="O134" i="1" s="1"/>
  <c r="P134" i="1" s="1"/>
  <c r="Q134" i="1" s="1"/>
  <c r="N143" i="1"/>
  <c r="O143" i="1" s="1"/>
  <c r="P143" i="1" s="1"/>
  <c r="Q143" i="1" s="1"/>
  <c r="N146" i="1"/>
  <c r="O146" i="1" s="1"/>
  <c r="P146" i="1" s="1"/>
  <c r="Q146" i="1" s="1"/>
  <c r="N152" i="1"/>
  <c r="O152" i="1" s="1"/>
  <c r="P152" i="1" s="1"/>
  <c r="Q152" i="1" s="1"/>
  <c r="N158" i="1"/>
  <c r="O158" i="1" s="1"/>
  <c r="P158" i="1" s="1"/>
  <c r="Q158" i="1" s="1"/>
  <c r="N161" i="1"/>
  <c r="O161" i="1" s="1"/>
  <c r="P161" i="1" s="1"/>
  <c r="Q161" i="1" s="1"/>
  <c r="N167" i="1"/>
  <c r="O167" i="1" s="1"/>
  <c r="P167" i="1" s="1"/>
  <c r="Q167" i="1" s="1"/>
  <c r="N260" i="1"/>
  <c r="O260" i="1" s="1"/>
  <c r="P260" i="1" s="1"/>
  <c r="Q260" i="1" s="1"/>
  <c r="N214" i="1"/>
  <c r="O214" i="1" s="1"/>
  <c r="P214" i="1" s="1"/>
  <c r="Q214" i="1" s="1"/>
  <c r="N217" i="1"/>
  <c r="O217" i="1" s="1"/>
  <c r="P217" i="1" s="1"/>
  <c r="Q217" i="1" s="1"/>
  <c r="N45" i="1"/>
  <c r="O45" i="1" s="1"/>
  <c r="P45" i="1" s="1"/>
  <c r="Q45" i="1" s="1"/>
  <c r="N53" i="1"/>
  <c r="O53" i="1" s="1"/>
  <c r="P53" i="1" s="1"/>
  <c r="Q53" i="1" s="1"/>
  <c r="N70" i="1"/>
  <c r="O70" i="1" s="1"/>
  <c r="P70" i="1" s="1"/>
  <c r="Q70" i="1" s="1"/>
  <c r="N73" i="1"/>
  <c r="O73" i="1" s="1"/>
  <c r="P73" i="1" s="1"/>
  <c r="Q73" i="1" s="1"/>
  <c r="N102" i="1"/>
  <c r="O102" i="1" s="1"/>
  <c r="P102" i="1" s="1"/>
  <c r="Q102" i="1" s="1"/>
  <c r="N105" i="1"/>
  <c r="O105" i="1" s="1"/>
  <c r="P105" i="1" s="1"/>
  <c r="Q105" i="1" s="1"/>
  <c r="N40" i="1"/>
  <c r="O40" i="1" s="1"/>
  <c r="P40" i="1" s="1"/>
  <c r="Q40" i="1" s="1"/>
  <c r="N82" i="1"/>
  <c r="O82" i="1" s="1"/>
  <c r="P82" i="1" s="1"/>
  <c r="Q82" i="1" s="1"/>
  <c r="N48" i="1"/>
  <c r="O48" i="1" s="1"/>
  <c r="P48" i="1" s="1"/>
  <c r="Q48" i="1" s="1"/>
  <c r="N56" i="1"/>
  <c r="O56" i="1" s="1"/>
  <c r="P56" i="1" s="1"/>
  <c r="Q56" i="1" s="1"/>
  <c r="N59" i="1"/>
  <c r="O59" i="1" s="1"/>
  <c r="P59" i="1" s="1"/>
  <c r="Q59" i="1" s="1"/>
  <c r="N88" i="1"/>
  <c r="O88" i="1" s="1"/>
  <c r="P88" i="1" s="1"/>
  <c r="Q88" i="1" s="1"/>
  <c r="N91" i="1"/>
  <c r="O91" i="1" s="1"/>
  <c r="P91" i="1" s="1"/>
  <c r="Q91" i="1" s="1"/>
  <c r="N120" i="1"/>
  <c r="O120" i="1" s="1"/>
  <c r="P120" i="1" s="1"/>
  <c r="Q120" i="1" s="1"/>
  <c r="N123" i="1"/>
  <c r="O123" i="1" s="1"/>
  <c r="P123" i="1" s="1"/>
  <c r="Q123" i="1" s="1"/>
  <c r="N150" i="1"/>
  <c r="O150" i="1" s="1"/>
  <c r="P150" i="1" s="1"/>
  <c r="Q150" i="1" s="1"/>
  <c r="N159" i="1"/>
  <c r="O159" i="1" s="1"/>
  <c r="P159" i="1" s="1"/>
  <c r="Q159" i="1" s="1"/>
  <c r="N162" i="1"/>
  <c r="O162" i="1" s="1"/>
  <c r="P162" i="1" s="1"/>
  <c r="Q162" i="1" s="1"/>
  <c r="N168" i="1"/>
  <c r="O168" i="1" s="1"/>
  <c r="P168" i="1" s="1"/>
  <c r="Q168" i="1" s="1"/>
  <c r="N174" i="1"/>
  <c r="O174" i="1" s="1"/>
  <c r="P174" i="1" s="1"/>
  <c r="Q174" i="1" s="1"/>
  <c r="N183" i="1"/>
  <c r="O183" i="1" s="1"/>
  <c r="P183" i="1" s="1"/>
  <c r="Q183" i="1" s="1"/>
  <c r="N218" i="1"/>
  <c r="O218" i="1" s="1"/>
  <c r="P218" i="1" s="1"/>
  <c r="Q218" i="1" s="1"/>
  <c r="N171" i="1"/>
  <c r="O171" i="1" s="1"/>
  <c r="P171" i="1" s="1"/>
  <c r="Q171" i="1" s="1"/>
  <c r="N177" i="1"/>
  <c r="O177" i="1" s="1"/>
  <c r="P177" i="1" s="1"/>
  <c r="Q177" i="1" s="1"/>
  <c r="N228" i="1"/>
  <c r="O228" i="1" s="1"/>
  <c r="P228" i="1" s="1"/>
  <c r="Q228" i="1" s="1"/>
  <c r="N68" i="1"/>
  <c r="O68" i="1" s="1"/>
  <c r="P68" i="1" s="1"/>
  <c r="Q68" i="1" s="1"/>
  <c r="N71" i="1"/>
  <c r="O71" i="1" s="1"/>
  <c r="P71" i="1" s="1"/>
  <c r="Q71" i="1" s="1"/>
  <c r="N100" i="1"/>
  <c r="O100" i="1" s="1"/>
  <c r="P100" i="1" s="1"/>
  <c r="Q100" i="1" s="1"/>
  <c r="N103" i="1"/>
  <c r="O103" i="1" s="1"/>
  <c r="P103" i="1" s="1"/>
  <c r="Q103" i="1" s="1"/>
  <c r="N255" i="1"/>
  <c r="O255" i="1" s="1"/>
  <c r="P255" i="1" s="1"/>
  <c r="Q255" i="1" s="1"/>
  <c r="N74" i="1"/>
  <c r="O74" i="1" s="1"/>
  <c r="P74" i="1" s="1"/>
  <c r="Q74" i="1" s="1"/>
  <c r="N77" i="1"/>
  <c r="O77" i="1" s="1"/>
  <c r="P77" i="1" s="1"/>
  <c r="Q77" i="1" s="1"/>
  <c r="N106" i="1"/>
  <c r="O106" i="1" s="1"/>
  <c r="P106" i="1" s="1"/>
  <c r="Q106" i="1" s="1"/>
  <c r="N196" i="1"/>
  <c r="O196" i="1" s="1"/>
  <c r="P196" i="1" s="1"/>
  <c r="Q196" i="1" s="1"/>
  <c r="N212" i="1"/>
  <c r="O212" i="1" s="1"/>
  <c r="P212" i="1" s="1"/>
  <c r="Q212" i="1" s="1"/>
  <c r="N276" i="1"/>
  <c r="O276" i="1" s="1"/>
  <c r="P276" i="1" s="1"/>
  <c r="Q276" i="1" s="1"/>
  <c r="N36" i="1"/>
  <c r="O36" i="1" s="1"/>
  <c r="P36" i="1" s="1"/>
  <c r="Q36" i="1" s="1"/>
  <c r="N46" i="1"/>
  <c r="O46" i="1" s="1"/>
  <c r="P46" i="1" s="1"/>
  <c r="Q46" i="1" s="1"/>
  <c r="N54" i="1"/>
  <c r="O54" i="1" s="1"/>
  <c r="P54" i="1" s="1"/>
  <c r="Q54" i="1" s="1"/>
  <c r="N80" i="1"/>
  <c r="O80" i="1" s="1"/>
  <c r="P80" i="1" s="1"/>
  <c r="Q80" i="1" s="1"/>
  <c r="N83" i="1"/>
  <c r="O83" i="1" s="1"/>
  <c r="P83" i="1" s="1"/>
  <c r="Q83" i="1" s="1"/>
  <c r="N112" i="1"/>
  <c r="O112" i="1" s="1"/>
  <c r="P112" i="1" s="1"/>
  <c r="Q112" i="1" s="1"/>
  <c r="N115" i="1"/>
  <c r="O115" i="1" s="1"/>
  <c r="P115" i="1" s="1"/>
  <c r="Q115" i="1" s="1"/>
  <c r="N206" i="1"/>
  <c r="O206" i="1" s="1"/>
  <c r="P206" i="1" s="1"/>
  <c r="Q206" i="1" s="1"/>
  <c r="N222" i="1"/>
  <c r="O222" i="1" s="1"/>
  <c r="P222" i="1" s="1"/>
  <c r="Q222" i="1" s="1"/>
  <c r="N232" i="1"/>
  <c r="O232" i="1" s="1"/>
  <c r="P232" i="1" s="1"/>
  <c r="Q232" i="1" s="1"/>
  <c r="N197" i="1"/>
  <c r="O197" i="1" s="1"/>
  <c r="P197" i="1" s="1"/>
  <c r="Q197" i="1" s="1"/>
  <c r="N229" i="1"/>
  <c r="O229" i="1" s="1"/>
  <c r="P229" i="1" s="1"/>
  <c r="Q229" i="1" s="1"/>
  <c r="N261" i="1"/>
  <c r="O261" i="1" s="1"/>
  <c r="P261" i="1" s="1"/>
  <c r="Q261" i="1" s="1"/>
  <c r="N207" i="1"/>
  <c r="O207" i="1" s="1"/>
  <c r="P207" i="1" s="1"/>
  <c r="Q207" i="1" s="1"/>
  <c r="N239" i="1"/>
  <c r="O239" i="1" s="1"/>
  <c r="P239" i="1" s="1"/>
  <c r="Q239" i="1" s="1"/>
  <c r="N271" i="1"/>
  <c r="O271" i="1" s="1"/>
  <c r="P271" i="1" s="1"/>
  <c r="Q271" i="1" s="1"/>
  <c r="N205" i="1"/>
  <c r="O205" i="1" s="1"/>
  <c r="P205" i="1" s="1"/>
  <c r="Q205" i="1" s="1"/>
  <c r="N237" i="1"/>
  <c r="O237" i="1" s="1"/>
  <c r="P237" i="1" s="1"/>
  <c r="Q237" i="1" s="1"/>
  <c r="N269" i="1"/>
  <c r="O269" i="1" s="1"/>
  <c r="P269" i="1" s="1"/>
  <c r="Q269" i="1" s="1"/>
  <c r="N215" i="1"/>
  <c r="O215" i="1" s="1"/>
  <c r="P215" i="1" s="1"/>
  <c r="Q215" i="1" s="1"/>
  <c r="N247" i="1"/>
  <c r="O247" i="1" s="1"/>
  <c r="P247" i="1" s="1"/>
  <c r="Q247" i="1" s="1"/>
  <c r="N279" i="1"/>
  <c r="O279" i="1" s="1"/>
  <c r="P279" i="1" s="1"/>
  <c r="Q279" i="1" s="1"/>
  <c r="N203" i="1"/>
  <c r="O203" i="1" s="1"/>
  <c r="P203" i="1" s="1"/>
  <c r="Q203" i="1" s="1"/>
  <c r="N235" i="1"/>
  <c r="O235" i="1" s="1"/>
  <c r="P235" i="1" s="1"/>
  <c r="Q235" i="1" s="1"/>
  <c r="N267" i="1"/>
  <c r="O267" i="1" s="1"/>
  <c r="P267" i="1" s="1"/>
  <c r="Q267" i="1" s="1"/>
  <c r="N213" i="1"/>
  <c r="O213" i="1" s="1"/>
  <c r="P213" i="1" s="1"/>
  <c r="Q213" i="1" s="1"/>
  <c r="N245" i="1"/>
  <c r="O245" i="1" s="1"/>
  <c r="P245" i="1" s="1"/>
  <c r="Q245" i="1" s="1"/>
  <c r="N277" i="1"/>
  <c r="O277" i="1" s="1"/>
  <c r="P277" i="1" s="1"/>
  <c r="Q277" i="1" s="1"/>
  <c r="N211" i="1"/>
  <c r="O211" i="1" s="1"/>
  <c r="P211" i="1" s="1"/>
  <c r="Q211" i="1" s="1"/>
  <c r="N243" i="1"/>
  <c r="O243" i="1" s="1"/>
  <c r="P243" i="1" s="1"/>
  <c r="Q243" i="1" s="1"/>
  <c r="N275" i="1"/>
  <c r="O275" i="1" s="1"/>
  <c r="P275" i="1" s="1"/>
  <c r="Q275" i="1" s="1"/>
  <c r="N221" i="1"/>
  <c r="O221" i="1" s="1"/>
  <c r="P221" i="1" s="1"/>
  <c r="Q221" i="1" s="1"/>
  <c r="N253" i="1"/>
  <c r="O253" i="1" s="1"/>
  <c r="P253" i="1" s="1"/>
  <c r="Q253" i="1" s="1"/>
  <c r="N285" i="1"/>
  <c r="O285" i="1" s="1"/>
  <c r="P285" i="1" s="1"/>
  <c r="Q285" i="1" s="1"/>
  <c r="N199" i="1"/>
  <c r="O199" i="1" s="1"/>
  <c r="P199" i="1" s="1"/>
  <c r="Q199" i="1" s="1"/>
  <c r="N231" i="1"/>
  <c r="O231" i="1" s="1"/>
  <c r="P231" i="1" s="1"/>
  <c r="Q231" i="1" s="1"/>
  <c r="N263" i="1"/>
  <c r="O263" i="1" s="1"/>
  <c r="P263" i="1" s="1"/>
  <c r="Q263" i="1" s="1"/>
  <c r="A15" i="2" l="1"/>
  <c r="B15" i="2" s="1"/>
  <c r="A24" i="2"/>
  <c r="D24" i="2" s="1"/>
  <c r="E24" i="2" s="1"/>
  <c r="A16" i="2"/>
  <c r="D16" i="2" s="1"/>
  <c r="E16" i="2" s="1"/>
  <c r="A17" i="2"/>
  <c r="D17" i="2" s="1"/>
  <c r="E17" i="2" s="1"/>
  <c r="A18" i="2"/>
  <c r="B18" i="2" s="1"/>
  <c r="A19" i="2"/>
  <c r="B19" i="2" s="1"/>
  <c r="A20" i="2"/>
  <c r="C20" i="2" s="1"/>
  <c r="A21" i="2"/>
  <c r="D21" i="2" s="1"/>
  <c r="E21" i="2" s="1"/>
  <c r="A22" i="2"/>
  <c r="D22" i="2" s="1"/>
  <c r="E22" i="2" s="1"/>
  <c r="A23" i="2"/>
  <c r="D23" i="2" s="1"/>
  <c r="E23" i="2" s="1"/>
  <c r="C15" i="2" l="1"/>
  <c r="B24" i="2"/>
  <c r="C24" i="2"/>
  <c r="D15" i="2"/>
  <c r="E15" i="2" s="1"/>
  <c r="C19" i="2"/>
  <c r="D18" i="2"/>
  <c r="E18" i="2" s="1"/>
  <c r="C18" i="2"/>
  <c r="D19" i="2"/>
  <c r="E19" i="2" s="1"/>
  <c r="B23" i="2"/>
  <c r="C23" i="2"/>
  <c r="B17" i="2"/>
  <c r="B22" i="2"/>
  <c r="C17" i="2"/>
  <c r="C22" i="2"/>
  <c r="B16" i="2"/>
  <c r="C21" i="2"/>
  <c r="C16" i="2"/>
  <c r="B21" i="2"/>
  <c r="D20" i="2"/>
  <c r="E20" i="2" s="1"/>
  <c r="B20" i="2"/>
</calcChain>
</file>

<file path=xl/sharedStrings.xml><?xml version="1.0" encoding="utf-8"?>
<sst xmlns="http://schemas.openxmlformats.org/spreadsheetml/2006/main" count="321" uniqueCount="320">
  <si>
    <t>Name</t>
  </si>
  <si>
    <t>Weight</t>
  </si>
  <si>
    <t>d</t>
  </si>
  <si>
    <t>Zx</t>
  </si>
  <si>
    <t>Sx</t>
  </si>
  <si>
    <t>ry</t>
  </si>
  <si>
    <t>rts</t>
  </si>
  <si>
    <t>J</t>
  </si>
  <si>
    <t>ho</t>
  </si>
  <si>
    <t>Lp</t>
  </si>
  <si>
    <t>Lr</t>
  </si>
  <si>
    <t>Mp</t>
  </si>
  <si>
    <t>Fcr</t>
  </si>
  <si>
    <t>Mn</t>
  </si>
  <si>
    <t>Mn_Omega</t>
  </si>
  <si>
    <t>Viability</t>
  </si>
  <si>
    <t>RankKey</t>
  </si>
  <si>
    <t>W6X8.5</t>
  </si>
  <si>
    <t>W6X9</t>
  </si>
  <si>
    <t>W8X10</t>
  </si>
  <si>
    <t>W10X12</t>
  </si>
  <si>
    <t>W6X12</t>
  </si>
  <si>
    <t>W8X13</t>
  </si>
  <si>
    <t>W4X13</t>
  </si>
  <si>
    <t>W12X14</t>
  </si>
  <si>
    <t>W10X15</t>
  </si>
  <si>
    <t>W8X15</t>
  </si>
  <si>
    <t>W6X15</t>
  </si>
  <si>
    <t>W12X16</t>
  </si>
  <si>
    <t>W6X16</t>
  </si>
  <si>
    <t>W5X16</t>
  </si>
  <si>
    <t>W10X17</t>
  </si>
  <si>
    <t>W8X18</t>
  </si>
  <si>
    <t>W12X19</t>
  </si>
  <si>
    <t>W10X19</t>
  </si>
  <si>
    <t>W5X19</t>
  </si>
  <si>
    <t>W6X20</t>
  </si>
  <si>
    <t>W8X21</t>
  </si>
  <si>
    <t>W14X22</t>
  </si>
  <si>
    <t>W12X22</t>
  </si>
  <si>
    <t>W10X22</t>
  </si>
  <si>
    <t>W8X24</t>
  </si>
  <si>
    <t>W6X25</t>
  </si>
  <si>
    <t>W16X26</t>
  </si>
  <si>
    <t>W14X26</t>
  </si>
  <si>
    <t>W12X26</t>
  </si>
  <si>
    <t>W10X26</t>
  </si>
  <si>
    <t>W8X28</t>
  </si>
  <si>
    <t>W14X30</t>
  </si>
  <si>
    <t>W12X30</t>
  </si>
  <si>
    <t>W10X30</t>
  </si>
  <si>
    <t>W16X31</t>
  </si>
  <si>
    <t>W8X31</t>
  </si>
  <si>
    <t>W10X33</t>
  </si>
  <si>
    <t>W14X34</t>
  </si>
  <si>
    <t>W18X35</t>
  </si>
  <si>
    <t>W12X35</t>
  </si>
  <si>
    <t>W8X35</t>
  </si>
  <si>
    <t>W16X36</t>
  </si>
  <si>
    <t>W14X38</t>
  </si>
  <si>
    <t>W10X39</t>
  </si>
  <si>
    <t>W18X40</t>
  </si>
  <si>
    <t>W16X40</t>
  </si>
  <si>
    <t>W12X40</t>
  </si>
  <si>
    <t>W8X40</t>
  </si>
  <si>
    <t>W14X43</t>
  </si>
  <si>
    <t>W21X44</t>
  </si>
  <si>
    <t>W16X45</t>
  </si>
  <si>
    <t>W12X45</t>
  </si>
  <si>
    <t>W10X45</t>
  </si>
  <si>
    <t>W18X46</t>
  </si>
  <si>
    <t>W21X48</t>
  </si>
  <si>
    <t>W14X48</t>
  </si>
  <si>
    <t>W8X48</t>
  </si>
  <si>
    <t>W10X49</t>
  </si>
  <si>
    <t>W21X50</t>
  </si>
  <si>
    <t>W18X50</t>
  </si>
  <si>
    <t>W16X50</t>
  </si>
  <si>
    <t>W12X50</t>
  </si>
  <si>
    <t>W14X53</t>
  </si>
  <si>
    <t>W12X53</t>
  </si>
  <si>
    <t>W10X54</t>
  </si>
  <si>
    <t>W24X55</t>
  </si>
  <si>
    <t>W21X55</t>
  </si>
  <si>
    <t>W18X55</t>
  </si>
  <si>
    <t>W21X57</t>
  </si>
  <si>
    <t>W16X57</t>
  </si>
  <si>
    <t>W12X58</t>
  </si>
  <si>
    <t>W8X58</t>
  </si>
  <si>
    <t>W18X60</t>
  </si>
  <si>
    <t>W10X60</t>
  </si>
  <si>
    <t>W14X61</t>
  </si>
  <si>
    <t>W24X62</t>
  </si>
  <si>
    <t>W21X62</t>
  </si>
  <si>
    <t>W18X65</t>
  </si>
  <si>
    <t>W12X65</t>
  </si>
  <si>
    <t>W16X67</t>
  </si>
  <si>
    <t>W8X67</t>
  </si>
  <si>
    <t>W24X68</t>
  </si>
  <si>
    <t>W21X68</t>
  </si>
  <si>
    <t>W14X68</t>
  </si>
  <si>
    <t>W10X68</t>
  </si>
  <si>
    <t>W18X71</t>
  </si>
  <si>
    <t>W12X72</t>
  </si>
  <si>
    <t>W21X73</t>
  </si>
  <si>
    <t>W14X74</t>
  </si>
  <si>
    <t>W24X76</t>
  </si>
  <si>
    <t>W18X76</t>
  </si>
  <si>
    <t>W16X77</t>
  </si>
  <si>
    <t>W10X77</t>
  </si>
  <si>
    <t>W12X79</t>
  </si>
  <si>
    <t>W14X82</t>
  </si>
  <si>
    <t>W21X83</t>
  </si>
  <si>
    <t>W27X84</t>
  </si>
  <si>
    <t>W24X84</t>
  </si>
  <si>
    <t>W18X86</t>
  </si>
  <si>
    <t>W12X87</t>
  </si>
  <si>
    <t>W10X88</t>
  </si>
  <si>
    <t>W16X89</t>
  </si>
  <si>
    <t>W30X90</t>
  </si>
  <si>
    <t>W14X90</t>
  </si>
  <si>
    <t>W21X93</t>
  </si>
  <si>
    <t>W27X94</t>
  </si>
  <si>
    <t>W24X94</t>
  </si>
  <si>
    <t>W12X96</t>
  </si>
  <si>
    <t>W18X97</t>
  </si>
  <si>
    <t>W30X99</t>
  </si>
  <si>
    <t>W14X99</t>
  </si>
  <si>
    <t>W16X100</t>
  </si>
  <si>
    <t>W10X100</t>
  </si>
  <si>
    <t>W21X101</t>
  </si>
  <si>
    <t>W27X102</t>
  </si>
  <si>
    <t>W24X103</t>
  </si>
  <si>
    <t>W24X104</t>
  </si>
  <si>
    <t>W18X106</t>
  </si>
  <si>
    <t>W12X106</t>
  </si>
  <si>
    <t>W30X108</t>
  </si>
  <si>
    <t>W14X109</t>
  </si>
  <si>
    <t>W21X111</t>
  </si>
  <si>
    <t>W10X112</t>
  </si>
  <si>
    <t>W27X114</t>
  </si>
  <si>
    <t>W30X116</t>
  </si>
  <si>
    <t>W24X117</t>
  </si>
  <si>
    <t>W33X118</t>
  </si>
  <si>
    <t>W18X119</t>
  </si>
  <si>
    <t>W14X120</t>
  </si>
  <si>
    <t>W12X120</t>
  </si>
  <si>
    <t>W21X122</t>
  </si>
  <si>
    <t>W30X124</t>
  </si>
  <si>
    <t>W27X129</t>
  </si>
  <si>
    <t>W33X130</t>
  </si>
  <si>
    <t>W18X130</t>
  </si>
  <si>
    <t>W24X131</t>
  </si>
  <si>
    <t>W30X132</t>
  </si>
  <si>
    <t>W21X132</t>
  </si>
  <si>
    <t>W14X132</t>
  </si>
  <si>
    <t>W36X135</t>
  </si>
  <si>
    <t>W12X136</t>
  </si>
  <si>
    <t>W33X141</t>
  </si>
  <si>
    <t>W18X143</t>
  </si>
  <si>
    <t>W14X145</t>
  </si>
  <si>
    <t>W27X146</t>
  </si>
  <si>
    <t>W24X146</t>
  </si>
  <si>
    <t>W21X147</t>
  </si>
  <si>
    <t>W30X148</t>
  </si>
  <si>
    <t>W40X149</t>
  </si>
  <si>
    <t>W36X150</t>
  </si>
  <si>
    <t>W33X152</t>
  </si>
  <si>
    <t>W12X152</t>
  </si>
  <si>
    <t>W18X158</t>
  </si>
  <si>
    <t>W14X159</t>
  </si>
  <si>
    <t>W36X160</t>
  </si>
  <si>
    <t>W27X161</t>
  </si>
  <si>
    <t>W24X162</t>
  </si>
  <si>
    <t>W21X166</t>
  </si>
  <si>
    <t>W40X167</t>
  </si>
  <si>
    <t>W33X169</t>
  </si>
  <si>
    <t>W36X170</t>
  </si>
  <si>
    <t>W12X170</t>
  </si>
  <si>
    <t>W30X173</t>
  </si>
  <si>
    <t>W18X175</t>
  </si>
  <si>
    <t>W24X176</t>
  </si>
  <si>
    <t>W14X176</t>
  </si>
  <si>
    <t>W27X178</t>
  </si>
  <si>
    <t>W36X182</t>
  </si>
  <si>
    <t>W21X182</t>
  </si>
  <si>
    <t>W40X183</t>
  </si>
  <si>
    <t>W12X190</t>
  </si>
  <si>
    <t>W30X191</t>
  </si>
  <si>
    <t>W24X192</t>
  </si>
  <si>
    <t>W18X192</t>
  </si>
  <si>
    <t>W14X193</t>
  </si>
  <si>
    <t>W36X194</t>
  </si>
  <si>
    <t>W27X194</t>
  </si>
  <si>
    <t>W40X199</t>
  </si>
  <si>
    <t>W33X201</t>
  </si>
  <si>
    <t>W21X201</t>
  </si>
  <si>
    <t>W24X207</t>
  </si>
  <si>
    <t>W36X210</t>
  </si>
  <si>
    <t>W12X210</t>
  </si>
  <si>
    <t>W40X211</t>
  </si>
  <si>
    <t>W30X211</t>
  </si>
  <si>
    <t>W18X211</t>
  </si>
  <si>
    <t>W14X211</t>
  </si>
  <si>
    <t>W40X215</t>
  </si>
  <si>
    <t>W27X217</t>
  </si>
  <si>
    <t>W33X221</t>
  </si>
  <si>
    <t>W21X223</t>
  </si>
  <si>
    <t>W24X229</t>
  </si>
  <si>
    <t>W44X230</t>
  </si>
  <si>
    <t>W12X230</t>
  </si>
  <si>
    <t>W36X231</t>
  </si>
  <si>
    <t>W36X232</t>
  </si>
  <si>
    <t>W14X233</t>
  </si>
  <si>
    <t>W18X234</t>
  </si>
  <si>
    <t>W40X235</t>
  </si>
  <si>
    <t>W30X235</t>
  </si>
  <si>
    <t>W27X235</t>
  </si>
  <si>
    <t>W33X241</t>
  </si>
  <si>
    <t>W36X247</t>
  </si>
  <si>
    <t>W21X248</t>
  </si>
  <si>
    <t>W40X249</t>
  </si>
  <si>
    <t>W24X250</t>
  </si>
  <si>
    <t>W12X252</t>
  </si>
  <si>
    <t>W36X256</t>
  </si>
  <si>
    <t>W14X257</t>
  </si>
  <si>
    <t>W27X258</t>
  </si>
  <si>
    <t>W18X258</t>
  </si>
  <si>
    <t>W30X261</t>
  </si>
  <si>
    <t>W44X262</t>
  </si>
  <si>
    <t>W36X262</t>
  </si>
  <si>
    <t>W33X263</t>
  </si>
  <si>
    <t>W40X264</t>
  </si>
  <si>
    <t>W21X275</t>
  </si>
  <si>
    <t>W40X277</t>
  </si>
  <si>
    <t>W40X278</t>
  </si>
  <si>
    <t>W24X279</t>
  </si>
  <si>
    <t>W12X279</t>
  </si>
  <si>
    <t>W27X281</t>
  </si>
  <si>
    <t>W36X282</t>
  </si>
  <si>
    <t>W18X283</t>
  </si>
  <si>
    <t>W14X283</t>
  </si>
  <si>
    <t>W36X286</t>
  </si>
  <si>
    <t>W44X290</t>
  </si>
  <si>
    <t>W33X291</t>
  </si>
  <si>
    <t>W30X292</t>
  </si>
  <si>
    <t>W40X294</t>
  </si>
  <si>
    <t>W40X297</t>
  </si>
  <si>
    <t>W36X302</t>
  </si>
  <si>
    <t>W12X305</t>
  </si>
  <si>
    <t>W24X306</t>
  </si>
  <si>
    <t>W27X307</t>
  </si>
  <si>
    <t>W18X311</t>
  </si>
  <si>
    <t>W14X311</t>
  </si>
  <si>
    <t>W36X318</t>
  </si>
  <si>
    <t>W33X318</t>
  </si>
  <si>
    <t>W40X324</t>
  </si>
  <si>
    <t>W30X326</t>
  </si>
  <si>
    <t>W40X327</t>
  </si>
  <si>
    <t>W36X330</t>
  </si>
  <si>
    <t>W40X331</t>
  </si>
  <si>
    <t>W44X335</t>
  </si>
  <si>
    <t>W24X335</t>
  </si>
  <si>
    <t>W27X336</t>
  </si>
  <si>
    <t>W12X336</t>
  </si>
  <si>
    <t>W14X342</t>
  </si>
  <si>
    <t>W36X350</t>
  </si>
  <si>
    <t>W33X354</t>
  </si>
  <si>
    <t>W30X357</t>
  </si>
  <si>
    <t>W36X361</t>
  </si>
  <si>
    <t>W40X362</t>
  </si>
  <si>
    <t>W44X368</t>
  </si>
  <si>
    <t>W27X368</t>
  </si>
  <si>
    <t>W24X370</t>
  </si>
  <si>
    <t>W14X370</t>
  </si>
  <si>
    <t>W40X372</t>
  </si>
  <si>
    <t>W36X387</t>
  </si>
  <si>
    <t>W33X387</t>
  </si>
  <si>
    <t>W30X391</t>
  </si>
  <si>
    <t>W40X392</t>
  </si>
  <si>
    <t>W36X395</t>
  </si>
  <si>
    <t>W40X397</t>
  </si>
  <si>
    <t>W14X398</t>
  </si>
  <si>
    <t>W44X408</t>
  </si>
  <si>
    <t>W14X426</t>
  </si>
  <si>
    <t>W40X431</t>
  </si>
  <si>
    <t>W36X441</t>
  </si>
  <si>
    <t>W14X455</t>
  </si>
  <si>
    <t>W36X487</t>
  </si>
  <si>
    <t>W14X500</t>
  </si>
  <si>
    <t>W40X503</t>
  </si>
  <si>
    <t>W36X529</t>
  </si>
  <si>
    <t>W27X539</t>
  </si>
  <si>
    <t>W14X550</t>
  </si>
  <si>
    <t>W40X593</t>
  </si>
  <si>
    <t>W14X605</t>
  </si>
  <si>
    <t>W36X652</t>
  </si>
  <si>
    <t>W40X655</t>
  </si>
  <si>
    <t>W14X665</t>
  </si>
  <si>
    <t>W36X723</t>
  </si>
  <si>
    <t>W14X730</t>
  </si>
  <si>
    <t>W36X802</t>
  </si>
  <si>
    <t>W14X808</t>
  </si>
  <si>
    <t>W36X853</t>
  </si>
  <si>
    <t>W14X873</t>
  </si>
  <si>
    <t>W36X925</t>
  </si>
  <si>
    <t>Span Length (ft)</t>
  </si>
  <si>
    <t>Cantilever Length (ft)</t>
  </si>
  <si>
    <t>Tributary Width (ft)</t>
  </si>
  <si>
    <t>Area Load (psf)</t>
  </si>
  <si>
    <t>Unbraced Length Lb (ft)</t>
  </si>
  <si>
    <t>Max allowable depth (inches)</t>
  </si>
  <si>
    <t>Fy (ksi)</t>
  </si>
  <si>
    <t>Cb</t>
  </si>
  <si>
    <t>Linear Load w (klf)</t>
  </si>
  <si>
    <t>Ma (kip-ft)</t>
  </si>
  <si>
    <t>Shape</t>
  </si>
  <si>
    <t>Depth</t>
  </si>
  <si>
    <t>Mn/Omega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</si>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</sst>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0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8.5</v>
      </c>
      <c r="C2">
        <v>5.83</v>
      </c>
      <c r="D2">
        <v>5.73</v>
      </c>
      <c r="E2">
        <v>5.0999999999999996</v>
      </c>
      <c r="F2">
        <v>0.89</v>
      </c>
      <c r="G2">
        <v>1.05</v>
      </c>
      <c r="H2">
        <v>3.3300000000000003E-2</v>
      </c>
      <c r="I2">
        <v>5.64</v>
      </c>
      <c r="J2">
        <f>1.76 * F2 * SQRT(29000 / Dashboard!$B$8) / 12</f>
        <v>3.1436589580367085</v>
      </c>
      <c r="K2">
        <f>1.95 * G2 * (29000 / (0.7 * Dashboard!$B$8)) / 12 * SQRT((H2*1)/(E2*I2) + SQRT(((H2*1)/(E2*I2))^2 + 6.76*((0.7*Dashboard!$B$8)/29000)^2))</f>
        <v>9.4862262098482049</v>
      </c>
      <c r="L2">
        <f>Dashboard!$B$8 * D2 / 12</f>
        <v>23.875</v>
      </c>
      <c r="M2">
        <f>(Dashboard!$B$9 * PI()^2 * 29000 / ((Dashboard!$B$5*12)/G2)^2) * SQRT(1 + 0.078 * (H2*1)/(E2*I2) * ((Dashboard!$B$5*12)/G2)^2)</f>
        <v>149.32471934173324</v>
      </c>
      <c r="N2">
        <f>MIN( IF(Dashboard!$B$5 &lt;= J2, L2, IF(Dashboard!$B$5 &lt;= K2, Dashboard!$B$9 * (L2 - (L2 - 0.7*Dashboard!$B$8*E2/12) * ((Dashboard!$B$5 - J2)/(K2 - J2))), M2 * E2 / 12) ), L2 )</f>
        <v>22.659865958580351</v>
      </c>
      <c r="O2">
        <f t="shared" ref="O2:O65" si="0">N2 / 1.67</f>
        <v>13.568782011125959</v>
      </c>
      <c r="P2" t="str">
        <f>IF(AND(O2 &gt;= Dashboard!$B$11, C2 &lt;= Dashboard!$B$6), "Pass", "Fail")</f>
        <v>Fail</v>
      </c>
      <c r="Q2">
        <f t="shared" ref="Q2:Q65" si="1">IF(P2="Pass", B2 + ROW()/100000, 9999999)</f>
        <v>9999999</v>
      </c>
    </row>
    <row r="3" spans="1:17" x14ac:dyDescent="0.25">
      <c r="A3" t="s">
        <v>18</v>
      </c>
      <c r="B3">
        <v>9</v>
      </c>
      <c r="C3">
        <v>5.9</v>
      </c>
      <c r="D3">
        <v>6.23</v>
      </c>
      <c r="E3">
        <v>5.56</v>
      </c>
      <c r="F3">
        <v>0.90500000000000003</v>
      </c>
      <c r="G3">
        <v>1.06</v>
      </c>
      <c r="H3">
        <v>4.0500000000000001E-2</v>
      </c>
      <c r="I3">
        <v>5.69</v>
      </c>
      <c r="J3">
        <f>1.76 * F3 * SQRT(29000 / Dashboard!$B$8) / 12</f>
        <v>3.1966419741833949</v>
      </c>
      <c r="K3">
        <f>1.95 * G3 * (29000 / (0.7 * Dashboard!$B$8)) / 12 * SQRT((H3*1)/(E3*I3) + SQRT(((H3*1)/(E3*I3))^2 + 6.76*((0.7*Dashboard!$B$8)/29000)^2))</f>
        <v>9.7523650229382319</v>
      </c>
      <c r="L3">
        <f>Dashboard!$B$8 * D3 / 12</f>
        <v>25.958333333333332</v>
      </c>
      <c r="M3">
        <f>(Dashboard!$B$9 * PI()^2 * 29000 / ((Dashboard!$B$5*12)/G3)^2) * SQRT(1 + 0.078 * (H3*1)/(E3*I3) * ((Dashboard!$B$5*12)/G3)^2)</f>
        <v>153.20617342006491</v>
      </c>
      <c r="N3">
        <f>MIN( IF(Dashboard!$B$5 &lt;= J3, L3, IF(Dashboard!$B$5 &lt;= K3, Dashboard!$B$9 * (L3 - (L3 - 0.7*Dashboard!$B$8*E3/12) * ((Dashboard!$B$5 - J3)/(K3 - J3))), M3 * E3 / 12) ), L3 )</f>
        <v>24.764560191409164</v>
      </c>
      <c r="O3">
        <f t="shared" si="0"/>
        <v>14.829077958927643</v>
      </c>
      <c r="P3" t="str">
        <f>IF(AND(O3 &gt;= Dashboard!$B$11, C3 &lt;= Dashboard!$B$6), "Pass", "Fail")</f>
        <v>Fail</v>
      </c>
      <c r="Q3">
        <f t="shared" si="1"/>
        <v>9999999</v>
      </c>
    </row>
    <row r="4" spans="1:17" x14ac:dyDescent="0.25">
      <c r="A4" t="s">
        <v>19</v>
      </c>
      <c r="B4">
        <v>10</v>
      </c>
      <c r="C4">
        <v>7.89</v>
      </c>
      <c r="D4">
        <v>8.8699999999999992</v>
      </c>
      <c r="E4">
        <v>7.81</v>
      </c>
      <c r="F4">
        <v>0.84099999999999997</v>
      </c>
      <c r="G4">
        <v>1.01</v>
      </c>
      <c r="H4">
        <v>4.2599999999999999E-2</v>
      </c>
      <c r="I4">
        <v>7.69</v>
      </c>
      <c r="J4">
        <f>1.76 * F4 * SQRT(29000 / Dashboard!$B$8) / 12</f>
        <v>2.9705811052908673</v>
      </c>
      <c r="K4">
        <f>1.95 * G4 * (29000 / (0.7 * Dashboard!$B$8)) / 12 * SQRT((H4*1)/(E4*I4) + SQRT(((H4*1)/(E4*I4))^2 + 6.76*((0.7*Dashboard!$B$8)/29000)^2))</f>
        <v>8.5212260468048129</v>
      </c>
      <c r="L4">
        <f>Dashboard!$B$8 * D4 / 12</f>
        <v>36.958333333333329</v>
      </c>
      <c r="M4">
        <f>(Dashboard!$B$9 * PI()^2 * 29000 / ((Dashboard!$B$5*12)/G4)^2) * SQRT(1 + 0.078 * (H4*1)/(E4*I4) * ((Dashboard!$B$5*12)/G4)^2)</f>
        <v>134.40836823044521</v>
      </c>
      <c r="N4">
        <f>MIN( IF(Dashboard!$B$5 &lt;= J4, L4, IF(Dashboard!$B$5 &lt;= K4, Dashboard!$B$9 * (L4 - (L4 - 0.7*Dashboard!$B$8*E4/12) * ((Dashboard!$B$5 - J4)/(K4 - J4))), M4 * E4 / 12) ), L4 )</f>
        <v>34.328674576252858</v>
      </c>
      <c r="O4">
        <f t="shared" si="0"/>
        <v>20.556092560630454</v>
      </c>
      <c r="P4" t="str">
        <f>IF(AND(O4 &gt;= Dashboard!$B$11, C4 &lt;= Dashboard!$B$6), "Pass", "Fail")</f>
        <v>Pass</v>
      </c>
      <c r="Q4">
        <f t="shared" si="1"/>
        <v>10.00004</v>
      </c>
    </row>
    <row r="5" spans="1:17" x14ac:dyDescent="0.25">
      <c r="A5" t="s">
        <v>20</v>
      </c>
      <c r="B5">
        <v>12</v>
      </c>
      <c r="C5">
        <v>9.8699999999999992</v>
      </c>
      <c r="D5">
        <v>12.6</v>
      </c>
      <c r="E5">
        <v>10.9</v>
      </c>
      <c r="F5">
        <v>0.78500000000000003</v>
      </c>
      <c r="G5">
        <v>0.98299999999999998</v>
      </c>
      <c r="H5">
        <v>5.4699999999999999E-2</v>
      </c>
      <c r="I5">
        <v>9.66</v>
      </c>
      <c r="J5">
        <f>1.76 * F5 * SQRT(29000 / Dashboard!$B$8) / 12</f>
        <v>2.7727778450099065</v>
      </c>
      <c r="K5">
        <f>1.95 * G5 * (29000 / (0.7 * Dashboard!$B$8)) / 12 * SQRT((H5*1)/(E5*I5) + SQRT(((H5*1)/(E5*I5))^2 + 6.76*((0.7*Dashboard!$B$8)/29000)^2))</f>
        <v>8.0509282104934208</v>
      </c>
      <c r="L5">
        <f>Dashboard!$B$8 * D5 / 12</f>
        <v>52.5</v>
      </c>
      <c r="M5">
        <f>(Dashboard!$B$9 * PI()^2 * 29000 / ((Dashboard!$B$5*12)/G5)^2) * SQRT(1 + 0.078 * (H5*1)/(E5*I5) * ((Dashboard!$B$5*12)/G5)^2)</f>
        <v>125.70420329896051</v>
      </c>
      <c r="N5">
        <f>MIN( IF(Dashboard!$B$5 &lt;= J5, L5, IF(Dashboard!$B$5 &lt;= K5, Dashboard!$B$9 * (L5 - (L5 - 0.7*Dashboard!$B$8*E5/12) * ((Dashboard!$B$5 - J5)/(K5 - J5))), M5 * E5 / 12) ), L5 )</f>
        <v>47.685107717699807</v>
      </c>
      <c r="O5">
        <f t="shared" si="0"/>
        <v>28.553956717185514</v>
      </c>
      <c r="P5" t="str">
        <f>IF(AND(O5 &gt;= Dashboard!$B$11, C5 &lt;= Dashboard!$B$6), "Pass", "Fail")</f>
        <v>Fail</v>
      </c>
      <c r="Q5">
        <f t="shared" si="1"/>
        <v>9999999</v>
      </c>
    </row>
    <row r="6" spans="1:17" x14ac:dyDescent="0.25">
      <c r="A6" t="s">
        <v>21</v>
      </c>
      <c r="B6">
        <v>12</v>
      </c>
      <c r="C6">
        <v>6.03</v>
      </c>
      <c r="D6">
        <v>8.3000000000000007</v>
      </c>
      <c r="E6">
        <v>7.31</v>
      </c>
      <c r="F6">
        <v>0.91800000000000004</v>
      </c>
      <c r="G6">
        <v>1.08</v>
      </c>
      <c r="H6">
        <v>9.0300000000000005E-2</v>
      </c>
      <c r="I6">
        <v>5.75</v>
      </c>
      <c r="J6">
        <f>1.76 * F6 * SQRT(29000 / Dashboard!$B$8) / 12</f>
        <v>3.2425605881771893</v>
      </c>
      <c r="K6">
        <f>1.95 * G6 * (29000 / (0.7 * Dashboard!$B$8)) / 12 * SQRT((H6*1)/(E6*I6) + SQRT(((H6*1)/(E6*I6))^2 + 6.76*((0.7*Dashboard!$B$8)/29000)^2))</f>
        <v>11.217867905830783</v>
      </c>
      <c r="L6">
        <f>Dashboard!$B$8 * D6 / 12</f>
        <v>34.583333333333336</v>
      </c>
      <c r="M6">
        <f>(Dashboard!$B$9 * PI()^2 * 29000 / ((Dashboard!$B$5*12)/G6)^2) * SQRT(1 + 0.078 * (H6*1)/(E6*I6) * ((Dashboard!$B$5*12)/G6)^2)</f>
        <v>167.16768076260294</v>
      </c>
      <c r="N6">
        <f>MIN( IF(Dashboard!$B$5 &lt;= J6, L6, IF(Dashboard!$B$5 &lt;= K6, Dashboard!$B$9 * (L6 - (L6 - 0.7*Dashboard!$B$8*E6/12) * ((Dashboard!$B$5 - J6)/(K6 - J6))), M6 * E6 / 12) ), L6 )</f>
        <v>33.323753006307705</v>
      </c>
      <c r="O6">
        <f t="shared" si="0"/>
        <v>19.954343117549524</v>
      </c>
      <c r="P6" t="str">
        <f>IF(AND(O6 &gt;= Dashboard!$B$11, C6 &lt;= Dashboard!$B$6), "Pass", "Fail")</f>
        <v>Pass</v>
      </c>
      <c r="Q6">
        <f t="shared" si="1"/>
        <v>12.00006</v>
      </c>
    </row>
    <row r="7" spans="1:17" x14ac:dyDescent="0.25">
      <c r="A7" t="s">
        <v>22</v>
      </c>
      <c r="B7">
        <v>13</v>
      </c>
      <c r="C7">
        <v>7.99</v>
      </c>
      <c r="D7">
        <v>11.4</v>
      </c>
      <c r="E7">
        <v>9.91</v>
      </c>
      <c r="F7">
        <v>0.84299999999999997</v>
      </c>
      <c r="G7">
        <v>1.03</v>
      </c>
      <c r="H7">
        <v>8.7099999999999997E-2</v>
      </c>
      <c r="I7">
        <v>7.74</v>
      </c>
      <c r="J7">
        <f>1.76 * F7 * SQRT(29000 / Dashboard!$B$8) / 12</f>
        <v>2.9776455074437589</v>
      </c>
      <c r="K7">
        <f>1.95 * G7 * (29000 / (0.7 * Dashboard!$B$8)) / 12 * SQRT((H7*1)/(E7*I7) + SQRT(((H7*1)/(E7*I7))^2 + 6.76*((0.7*Dashboard!$B$8)/29000)^2))</f>
        <v>9.2747334298417936</v>
      </c>
      <c r="L7">
        <f>Dashboard!$B$8 * D7 / 12</f>
        <v>47.5</v>
      </c>
      <c r="M7">
        <f>(Dashboard!$B$9 * PI()^2 * 29000 / ((Dashboard!$B$5*12)/G7)^2) * SQRT(1 + 0.078 * (H7*1)/(E7*I7) * ((Dashboard!$B$5*12)/G7)^2)</f>
        <v>143.91057995607417</v>
      </c>
      <c r="N7">
        <f>MIN( IF(Dashboard!$B$5 &lt;= J7, L7, IF(Dashboard!$B$5 &lt;= K7, Dashboard!$B$9 * (L7 - (L7 - 0.7*Dashboard!$B$8*E7/12) * ((Dashboard!$B$5 - J7)/(K7 - J7))), M7 * E7 / 12) ), L7 )</f>
        <v>44.480900697997477</v>
      </c>
      <c r="O7">
        <f t="shared" si="0"/>
        <v>26.635269879040408</v>
      </c>
      <c r="P7" t="str">
        <f>IF(AND(O7 &gt;= Dashboard!$B$11, C7 &lt;= Dashboard!$B$6), "Pass", "Fail")</f>
        <v>Pass</v>
      </c>
      <c r="Q7">
        <f t="shared" si="1"/>
        <v>13.000069999999999</v>
      </c>
    </row>
    <row r="8" spans="1:17" x14ac:dyDescent="0.25">
      <c r="A8" t="s">
        <v>23</v>
      </c>
      <c r="B8">
        <v>13</v>
      </c>
      <c r="C8">
        <v>4.16</v>
      </c>
      <c r="D8">
        <v>6.28</v>
      </c>
      <c r="E8">
        <v>5.46</v>
      </c>
      <c r="F8">
        <v>1</v>
      </c>
      <c r="G8">
        <v>1.1599999999999999</v>
      </c>
      <c r="H8">
        <v>0.151</v>
      </c>
      <c r="I8">
        <v>3.82</v>
      </c>
      <c r="J8">
        <f>1.76 * F8 * SQRT(29000 / Dashboard!$B$8) / 12</f>
        <v>3.5322010764457406</v>
      </c>
      <c r="K8">
        <f>1.95 * G8 * (29000 / (0.7 * Dashboard!$B$8)) / 12 * SQRT((H8*1)/(E8*I8) + SQRT(((H8*1)/(E8*I8))^2 + 6.76*((0.7*Dashboard!$B$8)/29000)^2))</f>
        <v>19.211607314701826</v>
      </c>
      <c r="L8">
        <f>Dashboard!$B$8 * D8 / 12</f>
        <v>26.166666666666668</v>
      </c>
      <c r="M8">
        <f>(Dashboard!$B$9 * PI()^2 * 29000 / ((Dashboard!$B$5*12)/G8)^2) * SQRT(1 + 0.078 * (H8*1)/(E8*I8) * ((Dashboard!$B$5*12)/G8)^2)</f>
        <v>234.4350296954062</v>
      </c>
      <c r="N8">
        <f>MIN( IF(Dashboard!$B$5 &lt;= J8, L8, IF(Dashboard!$B$5 &lt;= K8, Dashboard!$B$9 * (L8 - (L8 - 0.7*Dashboard!$B$8*E8/12) * ((Dashboard!$B$5 - J8)/(K8 - J8))), M8 * E8 / 12) ), L8 )</f>
        <v>25.861104034430085</v>
      </c>
      <c r="O8">
        <f t="shared" si="0"/>
        <v>15.485691038580889</v>
      </c>
      <c r="P8" t="str">
        <f>IF(AND(O8 &gt;= Dashboard!$B$11, C8 &lt;= Dashboard!$B$6), "Pass", "Fail")</f>
        <v>Fail</v>
      </c>
      <c r="Q8">
        <f t="shared" si="1"/>
        <v>9999999</v>
      </c>
    </row>
    <row r="9" spans="1:17" x14ac:dyDescent="0.25">
      <c r="A9" t="s">
        <v>24</v>
      </c>
      <c r="B9">
        <v>14</v>
      </c>
      <c r="C9">
        <v>11.9</v>
      </c>
      <c r="D9">
        <v>17.399999999999999</v>
      </c>
      <c r="E9">
        <v>14.9</v>
      </c>
      <c r="F9">
        <v>0.753</v>
      </c>
      <c r="G9">
        <v>0.96099999999999997</v>
      </c>
      <c r="H9">
        <v>7.0400000000000004E-2</v>
      </c>
      <c r="I9">
        <v>11.7</v>
      </c>
      <c r="J9">
        <f>1.76 * F9 * SQRT(29000 / Dashboard!$B$8) / 12</f>
        <v>2.6597474105636425</v>
      </c>
      <c r="K9">
        <f>1.95 * G9 * (29000 / (0.7 * Dashboard!$B$8)) / 12 * SQRT((H9*1)/(E9*I9) + SQRT(((H9*1)/(E9*I9))^2 + 6.76*((0.7*Dashboard!$B$8)/29000)^2))</f>
        <v>7.7285372775693499</v>
      </c>
      <c r="L9">
        <f>Dashboard!$B$8 * D9 / 12</f>
        <v>72.499999999999986</v>
      </c>
      <c r="M9">
        <f>(Dashboard!$B$9 * PI()^2 * 29000 / ((Dashboard!$B$5*12)/G9)^2) * SQRT(1 + 0.078 * (H9*1)/(E9*I9) * ((Dashboard!$B$5*12)/G9)^2)</f>
        <v>119.14859086453411</v>
      </c>
      <c r="N9">
        <f>MIN( IF(Dashboard!$B$5 &lt;= J9, L9, IF(Dashboard!$B$5 &lt;= K9, Dashboard!$B$9 * (L9 - (L9 - 0.7*Dashboard!$B$8*E9/12) * ((Dashboard!$B$5 - J9)/(K9 - J9))), M9 * E9 / 12) ), L9 )</f>
        <v>64.82101350168206</v>
      </c>
      <c r="O9">
        <f t="shared" si="0"/>
        <v>38.814978144719795</v>
      </c>
      <c r="P9" t="str">
        <f>IF(AND(O9 &gt;= Dashboard!$B$11, C9 &lt;= Dashboard!$B$6), "Pass", "Fail")</f>
        <v>Fail</v>
      </c>
      <c r="Q9">
        <f t="shared" si="1"/>
        <v>9999999</v>
      </c>
    </row>
    <row r="10" spans="1:17" x14ac:dyDescent="0.25">
      <c r="A10" t="s">
        <v>25</v>
      </c>
      <c r="B10">
        <v>15</v>
      </c>
      <c r="C10">
        <v>9.99</v>
      </c>
      <c r="D10">
        <v>16</v>
      </c>
      <c r="E10">
        <v>13.8</v>
      </c>
      <c r="F10">
        <v>0.81</v>
      </c>
      <c r="G10">
        <v>1.01</v>
      </c>
      <c r="H10">
        <v>0.104</v>
      </c>
      <c r="I10">
        <v>9.7200000000000006</v>
      </c>
      <c r="J10">
        <f>1.76 * F10 * SQRT(29000 / Dashboard!$B$8) / 12</f>
        <v>2.8610828719210502</v>
      </c>
      <c r="K10">
        <f>1.95 * G10 * (29000 / (0.7 * Dashboard!$B$8)) / 12 * SQRT((H10*1)/(E10*I10) + SQRT(((H10*1)/(E10*I10))^2 + 6.76*((0.7*Dashboard!$B$8)/29000)^2))</f>
        <v>8.6089173822560738</v>
      </c>
      <c r="L10">
        <f>Dashboard!$B$8 * D10 / 12</f>
        <v>66.666666666666671</v>
      </c>
      <c r="M10">
        <f>(Dashboard!$B$9 * PI()^2 * 29000 / ((Dashboard!$B$5*12)/G10)^2) * SQRT(1 + 0.078 * (H10*1)/(E10*I10) * ((Dashboard!$B$5*12)/G10)^2)</f>
        <v>135.10148929881817</v>
      </c>
      <c r="N10">
        <f>MIN( IF(Dashboard!$B$5 &lt;= J10, L10, IF(Dashboard!$B$5 &lt;= K10, Dashboard!$B$9 * (L10 - (L10 - 0.7*Dashboard!$B$8*E10/12) * ((Dashboard!$B$5 - J10)/(K10 - J10))), M10 * E10 / 12) ), L10 )</f>
        <v>61.432278989129784</v>
      </c>
      <c r="O10">
        <f t="shared" si="0"/>
        <v>36.785795801874123</v>
      </c>
      <c r="P10" t="str">
        <f>IF(AND(O10 &gt;= Dashboard!$B$11, C10 &lt;= Dashboard!$B$6), "Pass", "Fail")</f>
        <v>Fail</v>
      </c>
      <c r="Q10">
        <f t="shared" si="1"/>
        <v>9999999</v>
      </c>
    </row>
    <row r="11" spans="1:17" x14ac:dyDescent="0.25">
      <c r="A11" t="s">
        <v>26</v>
      </c>
      <c r="B11">
        <v>15</v>
      </c>
      <c r="C11">
        <v>8.11</v>
      </c>
      <c r="D11">
        <v>13.6</v>
      </c>
      <c r="E11">
        <v>11.8</v>
      </c>
      <c r="F11">
        <v>0.876</v>
      </c>
      <c r="G11">
        <v>1.06</v>
      </c>
      <c r="H11">
        <v>0.13700000000000001</v>
      </c>
      <c r="I11">
        <v>7.8</v>
      </c>
      <c r="J11">
        <f>1.76 * F11 * SQRT(29000 / Dashboard!$B$8) / 12</f>
        <v>3.0942081429664685</v>
      </c>
      <c r="K11">
        <f>1.95 * G11 * (29000 / (0.7 * Dashboard!$B$8)) / 12 * SQRT((H11*1)/(E11*I11) + SQRT(((H11*1)/(E11*I11))^2 + 6.76*((0.7*Dashboard!$B$8)/29000)^2))</f>
        <v>10.053050800854972</v>
      </c>
      <c r="L11">
        <f>Dashboard!$B$8 * D11 / 12</f>
        <v>56.666666666666664</v>
      </c>
      <c r="M11">
        <f>(Dashboard!$B$9 * PI()^2 * 29000 / ((Dashboard!$B$5*12)/G11)^2) * SQRT(1 + 0.078 * (H11*1)/(E11*I11) * ((Dashboard!$B$5*12)/G11)^2)</f>
        <v>155.31022345014995</v>
      </c>
      <c r="N11">
        <f>MIN( IF(Dashboard!$B$5 &lt;= J11, L11, IF(Dashboard!$B$5 &lt;= K11, Dashboard!$B$9 * (L11 - (L11 - 0.7*Dashboard!$B$8*E11/12) * ((Dashboard!$B$5 - J11)/(K11 - J11))), M11 * E11 / 12) ), L11 )</f>
        <v>53.770514273258293</v>
      </c>
      <c r="O11">
        <f t="shared" si="0"/>
        <v>32.197912738478024</v>
      </c>
      <c r="P11" t="str">
        <f>IF(AND(O11 &gt;= Dashboard!$B$11, C11 &lt;= Dashboard!$B$6), "Pass", "Fail")</f>
        <v>Fail</v>
      </c>
      <c r="Q11">
        <f t="shared" si="1"/>
        <v>9999999</v>
      </c>
    </row>
    <row r="12" spans="1:17" x14ac:dyDescent="0.25">
      <c r="A12" t="s">
        <v>27</v>
      </c>
      <c r="B12">
        <v>15</v>
      </c>
      <c r="C12">
        <v>5.99</v>
      </c>
      <c r="D12">
        <v>10.8</v>
      </c>
      <c r="E12">
        <v>9.7200000000000006</v>
      </c>
      <c r="F12">
        <v>1.45</v>
      </c>
      <c r="G12">
        <v>1.66</v>
      </c>
      <c r="H12">
        <v>0.10100000000000001</v>
      </c>
      <c r="I12">
        <v>5.73</v>
      </c>
      <c r="J12">
        <f>1.76 * F12 * SQRT(29000 / Dashboard!$B$8) / 12</f>
        <v>5.1216915608463234</v>
      </c>
      <c r="K12">
        <f>1.95 * G12 * (29000 / (0.7 * Dashboard!$B$8)) / 12 * SQRT((H12*1)/(E12*I12) + SQRT(((H12*1)/(E12*I12))^2 + 6.76*((0.7*Dashboard!$B$8)/29000)^2))</f>
        <v>16.481543666453664</v>
      </c>
      <c r="L12">
        <f>Dashboard!$B$8 * D12 / 12</f>
        <v>45</v>
      </c>
      <c r="M12">
        <f>(Dashboard!$B$9 * PI()^2 * 29000 / ((Dashboard!$B$5*12)/G12)^2) * SQRT(1 + 0.078 * (H12*1)/(E12*I12) * ((Dashboard!$B$5*12)/G12)^2)</f>
        <v>361.99625969293595</v>
      </c>
      <c r="N12">
        <f>MIN( IF(Dashboard!$B$5 &lt;= J12, L12, IF(Dashboard!$B$5 &lt;= K12, Dashboard!$B$9 * (L12 - (L12 - 0.7*Dashboard!$B$8*E12/12) * ((Dashboard!$B$5 - J12)/(K12 - J12))), M12 * E12 / 12) ), L12 )</f>
        <v>45</v>
      </c>
      <c r="O12">
        <f t="shared" si="0"/>
        <v>26.946107784431138</v>
      </c>
      <c r="P12" t="str">
        <f>IF(AND(O12 &gt;= Dashboard!$B$11, C12 &lt;= Dashboard!$B$6), "Pass", "Fail")</f>
        <v>Pass</v>
      </c>
      <c r="Q12">
        <f t="shared" si="1"/>
        <v>15.000120000000001</v>
      </c>
    </row>
    <row r="13" spans="1:17" x14ac:dyDescent="0.25">
      <c r="A13" t="s">
        <v>28</v>
      </c>
      <c r="B13">
        <v>16</v>
      </c>
      <c r="C13">
        <v>12</v>
      </c>
      <c r="D13">
        <v>20.100000000000001</v>
      </c>
      <c r="E13">
        <v>17.100000000000001</v>
      </c>
      <c r="F13">
        <v>0.77300000000000002</v>
      </c>
      <c r="G13">
        <v>0.98299999999999998</v>
      </c>
      <c r="H13">
        <v>0.10299999999999999</v>
      </c>
      <c r="I13">
        <v>11.7</v>
      </c>
      <c r="J13">
        <f>1.76 * F13 * SQRT(29000 / Dashboard!$B$8) / 12</f>
        <v>2.7303914320925577</v>
      </c>
      <c r="K13">
        <f>1.95 * G13 * (29000 / (0.7 * Dashboard!$B$8)) / 12 * SQRT((H13*1)/(E13*I13) + SQRT(((H13*1)/(E13*I13))^2 + 6.76*((0.7*Dashboard!$B$8)/29000)^2))</f>
        <v>8.0450091717737156</v>
      </c>
      <c r="L13">
        <f>Dashboard!$B$8 * D13 / 12</f>
        <v>83.750000000000014</v>
      </c>
      <c r="M13">
        <f>(Dashboard!$B$9 * PI()^2 * 29000 / ((Dashboard!$B$5*12)/G13)^2) * SQRT(1 + 0.078 * (H13*1)/(E13*I13) * ((Dashboard!$B$5*12)/G13)^2)</f>
        <v>125.65432876734516</v>
      </c>
      <c r="N13">
        <f>MIN( IF(Dashboard!$B$5 &lt;= J13, L13, IF(Dashboard!$B$5 &lt;= K13, Dashboard!$B$9 * (L13 - (L13 - 0.7*Dashboard!$B$8*E13/12) * ((Dashboard!$B$5 - J13)/(K13 - J13))), M13 * E13 / 12) ), L13 )</f>
        <v>75.657604207025287</v>
      </c>
      <c r="O13">
        <f t="shared" si="0"/>
        <v>45.303954614985201</v>
      </c>
      <c r="P13" t="str">
        <f>IF(AND(O13 &gt;= Dashboard!$B$11, C13 &lt;= Dashboard!$B$6), "Pass", "Fail")</f>
        <v>Fail</v>
      </c>
      <c r="Q13">
        <f t="shared" si="1"/>
        <v>9999999</v>
      </c>
    </row>
    <row r="14" spans="1:17" x14ac:dyDescent="0.25">
      <c r="A14" t="s">
        <v>29</v>
      </c>
      <c r="B14">
        <v>16</v>
      </c>
      <c r="C14">
        <v>6.28</v>
      </c>
      <c r="D14">
        <v>11.7</v>
      </c>
      <c r="E14">
        <v>10.199999999999999</v>
      </c>
      <c r="F14">
        <v>0.96699999999999997</v>
      </c>
      <c r="G14">
        <v>1.1299999999999999</v>
      </c>
      <c r="H14">
        <v>0.223</v>
      </c>
      <c r="I14">
        <v>5.88</v>
      </c>
      <c r="J14">
        <f>1.76 * F14 * SQRT(29000 / Dashboard!$B$8) / 12</f>
        <v>3.4156384409230305</v>
      </c>
      <c r="K14">
        <f>1.95 * G14 * (29000 / (0.7 * Dashboard!$B$8)) / 12 * SQRT((H14*1)/(E14*I14) + SQRT(((H14*1)/(E14*I14))^2 + 6.76*((0.7*Dashboard!$B$8)/29000)^2))</f>
        <v>14.0959112082817</v>
      </c>
      <c r="L14">
        <f>Dashboard!$B$8 * D14 / 12</f>
        <v>48.75</v>
      </c>
      <c r="M14">
        <f>(Dashboard!$B$9 * PI()^2 * 29000 / ((Dashboard!$B$5*12)/G14)^2) * SQRT(1 + 0.078 * (H14*1)/(E14*I14) * ((Dashboard!$B$5*12)/G14)^2)</f>
        <v>195.77819965865544</v>
      </c>
      <c r="N14">
        <f>MIN( IF(Dashboard!$B$5 &lt;= J14, L14, IF(Dashboard!$B$5 &lt;= K14, Dashboard!$B$9 * (L14 - (L14 - 0.7*Dashboard!$B$8*E14/12) * ((Dashboard!$B$5 - J14)/(K14 - J14))), M14 * E14 / 12) ), L14 )</f>
        <v>47.71043201664331</v>
      </c>
      <c r="O14">
        <f t="shared" si="0"/>
        <v>28.569120968049887</v>
      </c>
      <c r="P14" t="str">
        <f>IF(AND(O14 &gt;= Dashboard!$B$11, C14 &lt;= Dashboard!$B$6), "Pass", "Fail")</f>
        <v>Pass</v>
      </c>
      <c r="Q14">
        <f t="shared" si="1"/>
        <v>16.000139999999998</v>
      </c>
    </row>
    <row r="15" spans="1:17" x14ac:dyDescent="0.25">
      <c r="A15" t="s">
        <v>30</v>
      </c>
      <c r="B15">
        <v>16</v>
      </c>
      <c r="C15">
        <v>5.01</v>
      </c>
      <c r="D15">
        <v>9.6300000000000008</v>
      </c>
      <c r="E15">
        <v>8.5500000000000007</v>
      </c>
      <c r="F15">
        <v>1.26</v>
      </c>
      <c r="G15">
        <v>1.43</v>
      </c>
      <c r="H15">
        <v>0.192</v>
      </c>
      <c r="I15">
        <v>4.6500000000000004</v>
      </c>
      <c r="J15">
        <f>1.76 * F15 * SQRT(29000 / Dashboard!$B$8) / 12</f>
        <v>4.450573356321633</v>
      </c>
      <c r="K15">
        <f>1.95 * G15 * (29000 / (0.7 * Dashboard!$B$8)) / 12 * SQRT((H15*1)/(E15*I15) + SQRT(((H15*1)/(E15*I15))^2 + 6.76*((0.7*Dashboard!$B$8)/29000)^2))</f>
        <v>19.812367639021204</v>
      </c>
      <c r="L15">
        <f>Dashboard!$B$8 * D15 / 12</f>
        <v>40.125000000000007</v>
      </c>
      <c r="M15">
        <f>(Dashboard!$B$9 * PI()^2 * 29000 / ((Dashboard!$B$5*12)/G15)^2) * SQRT(1 + 0.078 * (H15*1)/(E15*I15) * ((Dashboard!$B$5*12)/G15)^2)</f>
        <v>303.18316486660177</v>
      </c>
      <c r="N15">
        <f>MIN( IF(Dashboard!$B$5 &lt;= J15, L15, IF(Dashboard!$B$5 &lt;= K15, Dashboard!$B$9 * (L15 - (L15 - 0.7*Dashboard!$B$8*E15/12) * ((Dashboard!$B$5 - J15)/(K15 - J15))), M15 * E15 / 12) ), L15 )</f>
        <v>40.125000000000007</v>
      </c>
      <c r="O15">
        <f t="shared" si="0"/>
        <v>24.026946107784436</v>
      </c>
      <c r="P15" t="str">
        <f>IF(AND(O15 &gt;= Dashboard!$B$11, C15 &lt;= Dashboard!$B$6), "Pass", "Fail")</f>
        <v>Pass</v>
      </c>
      <c r="Q15">
        <f t="shared" si="1"/>
        <v>16.000150000000001</v>
      </c>
    </row>
    <row r="16" spans="1:17" x14ac:dyDescent="0.25">
      <c r="A16" t="s">
        <v>31</v>
      </c>
      <c r="B16">
        <v>17</v>
      </c>
      <c r="C16">
        <v>10.1</v>
      </c>
      <c r="D16">
        <v>18.7</v>
      </c>
      <c r="E16">
        <v>16.2</v>
      </c>
      <c r="F16">
        <v>0.84499999999999997</v>
      </c>
      <c r="G16">
        <v>1.04</v>
      </c>
      <c r="H16">
        <v>0.156</v>
      </c>
      <c r="I16">
        <v>9.77</v>
      </c>
      <c r="J16">
        <f>1.76 * F16 * SQRT(29000 / Dashboard!$B$8) / 12</f>
        <v>2.9847099095966505</v>
      </c>
      <c r="K16">
        <f>1.95 * G16 * (29000 / (0.7 * Dashboard!$B$8)) / 12 * SQRT((H16*1)/(E16*I16) + SQRT(((H16*1)/(E16*I16))^2 + 6.76*((0.7*Dashboard!$B$8)/29000)^2))</f>
        <v>9.155253784034425</v>
      </c>
      <c r="L16">
        <f>Dashboard!$B$8 * D16 / 12</f>
        <v>77.916666666666671</v>
      </c>
      <c r="M16">
        <f>(Dashboard!$B$9 * PI()^2 * 29000 / ((Dashboard!$B$5*12)/G16)^2) * SQRT(1 + 0.078 * (H16*1)/(E16*I16) * ((Dashboard!$B$5*12)/G16)^2)</f>
        <v>144.94889123014707</v>
      </c>
      <c r="N16">
        <f>MIN( IF(Dashboard!$B$5 &lt;= J16, L16, IF(Dashboard!$B$5 &lt;= K16, Dashboard!$B$9 * (L16 - (L16 - 0.7*Dashboard!$B$8*E16/12) * ((Dashboard!$B$5 - J16)/(K16 - J16))), M16 * E16 / 12) ), L16 )</f>
        <v>72.870828989156223</v>
      </c>
      <c r="O16">
        <f t="shared" si="0"/>
        <v>43.635226939614505</v>
      </c>
      <c r="P16" t="str">
        <f>IF(AND(O16 &gt;= Dashboard!$B$11, C16 &lt;= Dashboard!$B$6), "Pass", "Fail")</f>
        <v>Fail</v>
      </c>
      <c r="Q16">
        <f t="shared" si="1"/>
        <v>9999999</v>
      </c>
    </row>
    <row r="17" spans="1:17" x14ac:dyDescent="0.25">
      <c r="A17" t="s">
        <v>32</v>
      </c>
      <c r="B17">
        <v>18</v>
      </c>
      <c r="C17">
        <v>8.14</v>
      </c>
      <c r="D17">
        <v>17</v>
      </c>
      <c r="E17">
        <v>15.2</v>
      </c>
      <c r="F17">
        <v>1.23</v>
      </c>
      <c r="G17">
        <v>1.43</v>
      </c>
      <c r="H17">
        <v>0.17199999999999999</v>
      </c>
      <c r="I17">
        <v>7.81</v>
      </c>
      <c r="J17">
        <f>1.76 * F17 * SQRT(29000 / Dashboard!$B$8) / 12</f>
        <v>4.344607324028261</v>
      </c>
      <c r="K17">
        <f>1.95 * G17 * (29000 / (0.7 * Dashboard!$B$8)) / 12 * SQRT((H17*1)/(E17*I17) + SQRT(((H17*1)/(E17*I17))^2 + 6.76*((0.7*Dashboard!$B$8)/29000)^2))</f>
        <v>13.484852347710836</v>
      </c>
      <c r="L17">
        <f>Dashboard!$B$8 * D17 / 12</f>
        <v>70.833333333333329</v>
      </c>
      <c r="M17">
        <f>(Dashboard!$B$9 * PI()^2 * 29000 / ((Dashboard!$B$5*12)/G17)^2) * SQRT(1 + 0.078 * (H17*1)/(E17*I17) * ((Dashboard!$B$5*12)/G17)^2)</f>
        <v>269.72011269641678</v>
      </c>
      <c r="N17">
        <f>MIN( IF(Dashboard!$B$5 &lt;= J17, L17, IF(Dashboard!$B$5 &lt;= K17, Dashboard!$B$9 * (L17 - (L17 - 0.7*Dashboard!$B$8*E17/12) * ((Dashboard!$B$5 - J17)/(K17 - J17))), M17 * E17 / 12) ), L17 )</f>
        <v>70.833333333333329</v>
      </c>
      <c r="O17">
        <f t="shared" si="0"/>
        <v>42.415169660678643</v>
      </c>
      <c r="P17" t="str">
        <f>IF(AND(O17 &gt;= Dashboard!$B$11, C17 &lt;= Dashboard!$B$6), "Pass", "Fail")</f>
        <v>Fail</v>
      </c>
      <c r="Q17">
        <f t="shared" si="1"/>
        <v>9999999</v>
      </c>
    </row>
    <row r="18" spans="1:17" x14ac:dyDescent="0.25">
      <c r="A18" t="s">
        <v>33</v>
      </c>
      <c r="B18">
        <v>19</v>
      </c>
      <c r="C18">
        <v>12.2</v>
      </c>
      <c r="D18">
        <v>24.7</v>
      </c>
      <c r="E18">
        <v>21.3</v>
      </c>
      <c r="F18">
        <v>0.82199999999999995</v>
      </c>
      <c r="G18">
        <v>1.02</v>
      </c>
      <c r="H18">
        <v>0.18</v>
      </c>
      <c r="I18">
        <v>11.9</v>
      </c>
      <c r="J18">
        <f>1.76 * F18 * SQRT(29000 / Dashboard!$B$8) / 12</f>
        <v>2.9034692848383981</v>
      </c>
      <c r="K18">
        <f>1.95 * G18 * (29000 / (0.7 * Dashboard!$B$8)) / 12 * SQRT((H18*1)/(E18*I18) + SQRT(((H18*1)/(E18*I18))^2 + 6.76*((0.7*Dashboard!$B$8)/29000)^2))</f>
        <v>8.6067174910026658</v>
      </c>
      <c r="L18">
        <f>Dashboard!$B$8 * D18 / 12</f>
        <v>102.91666666666667</v>
      </c>
      <c r="M18">
        <f>(Dashboard!$B$9 * PI()^2 * 29000 / ((Dashboard!$B$5*12)/G18)^2) * SQRT(1 + 0.078 * (H18*1)/(E18*I18) * ((Dashboard!$B$5*12)/G18)^2)</f>
        <v>136.94330772956314</v>
      </c>
      <c r="N18">
        <f>MIN( IF(Dashboard!$B$5 &lt;= J18, L18, IF(Dashboard!$B$5 &lt;= K18, Dashboard!$B$9 * (L18 - (L18 - 0.7*Dashboard!$B$8*E18/12) * ((Dashboard!$B$5 - J18)/(K18 - J18))), M18 * E18 / 12) ), L18 )</f>
        <v>95.07388763869298</v>
      </c>
      <c r="O18">
        <f t="shared" si="0"/>
        <v>56.930471639935917</v>
      </c>
      <c r="P18" t="str">
        <f>IF(AND(O18 &gt;= Dashboard!$B$11, C18 &lt;= Dashboard!$B$6), "Pass", "Fail")</f>
        <v>Fail</v>
      </c>
      <c r="Q18">
        <f t="shared" si="1"/>
        <v>9999999</v>
      </c>
    </row>
    <row r="19" spans="1:17" x14ac:dyDescent="0.25">
      <c r="A19" t="s">
        <v>34</v>
      </c>
      <c r="B19">
        <v>19</v>
      </c>
      <c r="C19">
        <v>10.199999999999999</v>
      </c>
      <c r="D19">
        <v>21.6</v>
      </c>
      <c r="E19">
        <v>18.8</v>
      </c>
      <c r="F19">
        <v>0.874</v>
      </c>
      <c r="G19">
        <v>1.06</v>
      </c>
      <c r="H19">
        <v>0.23300000000000001</v>
      </c>
      <c r="I19">
        <v>9.81</v>
      </c>
      <c r="J19">
        <f>1.76 * F19 * SQRT(29000 / Dashboard!$B$8) / 12</f>
        <v>3.0871437408135769</v>
      </c>
      <c r="K19">
        <f>1.95 * G19 * (29000 / (0.7 * Dashboard!$B$8)) / 12 * SQRT((H19*1)/(E19*I19) + SQRT(((H19*1)/(E19*I19))^2 + 6.76*((0.7*Dashboard!$B$8)/29000)^2))</f>
        <v>9.7281926769523466</v>
      </c>
      <c r="L19">
        <f>Dashboard!$B$8 * D19 / 12</f>
        <v>90</v>
      </c>
      <c r="M19">
        <f>(Dashboard!$B$9 * PI()^2 * 29000 / ((Dashboard!$B$5*12)/G19)^2) * SQRT(1 + 0.078 * (H19*1)/(E19*I19) * ((Dashboard!$B$5*12)/G19)^2)</f>
        <v>153.03517125569141</v>
      </c>
      <c r="N19">
        <f>MIN( IF(Dashboard!$B$5 &lt;= J19, L19, IF(Dashboard!$B$5 &lt;= K19, Dashboard!$B$9 * (L19 - (L19 - 0.7*Dashboard!$B$8*E19/12) * ((Dashboard!$B$5 - J19)/(K19 - J19))), M19 * E19 / 12) ), L19 )</f>
        <v>85.166108232285666</v>
      </c>
      <c r="O19">
        <f t="shared" si="0"/>
        <v>50.997669600171058</v>
      </c>
      <c r="P19" t="str">
        <f>IF(AND(O19 &gt;= Dashboard!$B$11, C19 &lt;= Dashboard!$B$6), "Pass", "Fail")</f>
        <v>Fail</v>
      </c>
      <c r="Q19">
        <f t="shared" si="1"/>
        <v>9999999</v>
      </c>
    </row>
    <row r="20" spans="1:17" x14ac:dyDescent="0.25">
      <c r="A20" t="s">
        <v>35</v>
      </c>
      <c r="B20">
        <v>19</v>
      </c>
      <c r="C20">
        <v>5.15</v>
      </c>
      <c r="D20">
        <v>11.6</v>
      </c>
      <c r="E20">
        <v>10.199999999999999</v>
      </c>
      <c r="F20">
        <v>1.28</v>
      </c>
      <c r="G20">
        <v>1.45</v>
      </c>
      <c r="H20">
        <v>0.316</v>
      </c>
      <c r="I20">
        <v>4.72</v>
      </c>
      <c r="J20">
        <f>1.76 * F20 * SQRT(29000 / Dashboard!$B$8) / 12</f>
        <v>4.5212173778505473</v>
      </c>
      <c r="K20">
        <f>1.95 * G20 * (29000 / (0.7 * Dashboard!$B$8)) / 12 * SQRT((H20*1)/(E20*I20) + SQRT(((H20*1)/(E20*I20))^2 + 6.76*((0.7*Dashboard!$B$8)/29000)^2))</f>
        <v>22.966808000819995</v>
      </c>
      <c r="L20">
        <f>Dashboard!$B$8 * D20 / 12</f>
        <v>48.333333333333336</v>
      </c>
      <c r="M20">
        <f>(Dashboard!$B$9 * PI()^2 * 29000 / ((Dashboard!$B$5*12)/G20)^2) * SQRT(1 + 0.078 * (H20*1)/(E20*I20) * ((Dashboard!$B$5*12)/G20)^2)</f>
        <v>326.3299089665112</v>
      </c>
      <c r="N20">
        <f>MIN( IF(Dashboard!$B$5 &lt;= J20, L20, IF(Dashboard!$B$5 &lt;= K20, Dashboard!$B$9 * (L20 - (L20 - 0.7*Dashboard!$B$8*E20/12) * ((Dashboard!$B$5 - J20)/(K20 - J20))), M20 * E20 / 12) ), L20 )</f>
        <v>48.333333333333336</v>
      </c>
      <c r="O20">
        <f t="shared" si="0"/>
        <v>28.942115768463076</v>
      </c>
      <c r="P20" t="str">
        <f>IF(AND(O20 &gt;= Dashboard!$B$11, C20 &lt;= Dashboard!$B$6), "Pass", "Fail")</f>
        <v>Pass</v>
      </c>
      <c r="Q20">
        <f t="shared" si="1"/>
        <v>19.0002</v>
      </c>
    </row>
    <row r="21" spans="1:17" x14ac:dyDescent="0.25">
      <c r="A21" t="s">
        <v>36</v>
      </c>
      <c r="B21">
        <v>20</v>
      </c>
      <c r="C21">
        <v>6.2</v>
      </c>
      <c r="D21">
        <v>14.9</v>
      </c>
      <c r="E21">
        <v>13.4</v>
      </c>
      <c r="F21">
        <v>1.5</v>
      </c>
      <c r="G21">
        <v>1.7</v>
      </c>
      <c r="H21">
        <v>0.24</v>
      </c>
      <c r="I21">
        <v>5.84</v>
      </c>
      <c r="J21">
        <f>1.76 * F21 * SQRT(29000 / Dashboard!$B$8) / 12</f>
        <v>5.2983016146686106</v>
      </c>
      <c r="K21">
        <f>1.95 * G21 * (29000 / (0.7 * Dashboard!$B$8)) / 12 * SQRT((H21*1)/(E21*I21) + SQRT(((H21*1)/(E21*I21))^2 + 6.76*((0.7*Dashboard!$B$8)/29000)^2))</f>
        <v>19.762606320491614</v>
      </c>
      <c r="L21">
        <f>Dashboard!$B$8 * D21 / 12</f>
        <v>62.083333333333336</v>
      </c>
      <c r="M21">
        <f>(Dashboard!$B$9 * PI()^2 * 29000 / ((Dashboard!$B$5*12)/G21)^2) * SQRT(1 + 0.078 * (H21*1)/(E21*I21) * ((Dashboard!$B$5*12)/G21)^2)</f>
        <v>391.75636463213675</v>
      </c>
      <c r="N21">
        <f>MIN( IF(Dashboard!$B$5 &lt;= J21, L21, IF(Dashboard!$B$5 &lt;= K21, Dashboard!$B$9 * (L21 - (L21 - 0.7*Dashboard!$B$8*E21/12) * ((Dashboard!$B$5 - J21)/(K21 - J21))), M21 * E21 / 12) ), L21 )</f>
        <v>62.083333333333336</v>
      </c>
      <c r="O21">
        <f t="shared" si="0"/>
        <v>37.175648702594813</v>
      </c>
      <c r="P21" t="str">
        <f>IF(AND(O21 &gt;= Dashboard!$B$11, C21 &lt;= Dashboard!$B$6), "Pass", "Fail")</f>
        <v>Pass</v>
      </c>
      <c r="Q21">
        <f t="shared" si="1"/>
        <v>20.000209999999999</v>
      </c>
    </row>
    <row r="22" spans="1:17" x14ac:dyDescent="0.25">
      <c r="A22" t="s">
        <v>37</v>
      </c>
      <c r="B22">
        <v>21</v>
      </c>
      <c r="C22">
        <v>8.2799999999999994</v>
      </c>
      <c r="D22">
        <v>20.399999999999999</v>
      </c>
      <c r="E22">
        <v>18.2</v>
      </c>
      <c r="F22">
        <v>1.26</v>
      </c>
      <c r="G22">
        <v>1.46</v>
      </c>
      <c r="H22">
        <v>0.28199999999999997</v>
      </c>
      <c r="I22">
        <v>7.88</v>
      </c>
      <c r="J22">
        <f>1.76 * F22 * SQRT(29000 / Dashboard!$B$8) / 12</f>
        <v>4.450573356321633</v>
      </c>
      <c r="K22">
        <f>1.95 * G22 * (29000 / (0.7 * Dashboard!$B$8)) / 12 * SQRT((H22*1)/(E22*I22) + SQRT(((H22*1)/(E22*I22))^2 + 6.76*((0.7*Dashboard!$B$8)/29000)^2))</f>
        <v>14.801480855159131</v>
      </c>
      <c r="L22">
        <f>Dashboard!$B$8 * D22 / 12</f>
        <v>84.999999999999986</v>
      </c>
      <c r="M22">
        <f>(Dashboard!$B$9 * PI()^2 * 29000 / ((Dashboard!$B$5*12)/G22)^2) * SQRT(1 + 0.078 * (H22*1)/(E22*I22) * ((Dashboard!$B$5*12)/G22)^2)</f>
        <v>285.90952328605397</v>
      </c>
      <c r="N22">
        <f>MIN( IF(Dashboard!$B$5 &lt;= J22, L22, IF(Dashboard!$B$5 &lt;= K22, Dashboard!$B$9 * (L22 - (L22 - 0.7*Dashboard!$B$8*E22/12) * ((Dashboard!$B$5 - J22)/(K22 - J22))), M22 * E22 / 12) ), L22 )</f>
        <v>84.999999999999986</v>
      </c>
      <c r="O22">
        <f t="shared" si="0"/>
        <v>50.898203592814362</v>
      </c>
      <c r="P22" t="str">
        <f>IF(AND(O22 &gt;= Dashboard!$B$11, C22 &lt;= Dashboard!$B$6), "Pass", "Fail")</f>
        <v>Fail</v>
      </c>
      <c r="Q22">
        <f t="shared" si="1"/>
        <v>9999999</v>
      </c>
    </row>
    <row r="23" spans="1:17" x14ac:dyDescent="0.25">
      <c r="A23" t="s">
        <v>38</v>
      </c>
      <c r="B23">
        <v>22</v>
      </c>
      <c r="C23">
        <v>13.7</v>
      </c>
      <c r="D23">
        <v>33.200000000000003</v>
      </c>
      <c r="E23">
        <v>29</v>
      </c>
      <c r="F23">
        <v>1.04</v>
      </c>
      <c r="G23">
        <v>1.27</v>
      </c>
      <c r="H23">
        <v>0.20799999999999999</v>
      </c>
      <c r="I23">
        <v>13.4</v>
      </c>
      <c r="J23">
        <f>1.76 * F23 * SQRT(29000 / Dashboard!$B$8) / 12</f>
        <v>3.6734891195035697</v>
      </c>
      <c r="K23">
        <f>1.95 * G23 * (29000 / (0.7 * Dashboard!$B$8)) / 12 * SQRT((H23*1)/(E23*I23) + SQRT(((H23*1)/(E23*I23))^2 + 6.76*((0.7*Dashboard!$B$8)/29000)^2))</f>
        <v>10.427290430389018</v>
      </c>
      <c r="L23">
        <f>Dashboard!$B$8 * D23 / 12</f>
        <v>138.33333333333334</v>
      </c>
      <c r="M23">
        <f>(Dashboard!$B$9 * PI()^2 * 29000 / ((Dashboard!$B$5*12)/G23)^2) * SQRT(1 + 0.078 * (H23*1)/(E23*I23) * ((Dashboard!$B$5*12)/G23)^2)</f>
        <v>206.25366407368543</v>
      </c>
      <c r="N23">
        <f>MIN( IF(Dashboard!$B$5 &lt;= J23, L23, IF(Dashboard!$B$5 &lt;= K23, Dashboard!$B$9 * (L23 - (L23 - 0.7*Dashboard!$B$8*E23/12) * ((Dashboard!$B$5 - J23)/(K23 - J23))), M23 * E23 / 12) ), L23 )</f>
        <v>135.73480266610792</v>
      </c>
      <c r="O23">
        <f t="shared" si="0"/>
        <v>81.278324949765221</v>
      </c>
      <c r="P23" t="str">
        <f>IF(AND(O23 &gt;= Dashboard!$B$11, C23 &lt;= Dashboard!$B$6), "Pass", "Fail")</f>
        <v>Fail</v>
      </c>
      <c r="Q23">
        <f t="shared" si="1"/>
        <v>9999999</v>
      </c>
    </row>
    <row r="24" spans="1:17" x14ac:dyDescent="0.25">
      <c r="A24" t="s">
        <v>39</v>
      </c>
      <c r="B24">
        <v>22</v>
      </c>
      <c r="C24">
        <v>12.3</v>
      </c>
      <c r="D24">
        <v>29.3</v>
      </c>
      <c r="E24">
        <v>25.4</v>
      </c>
      <c r="F24">
        <v>0.84799999999999998</v>
      </c>
      <c r="G24">
        <v>1.04</v>
      </c>
      <c r="H24">
        <v>0.29299999999999998</v>
      </c>
      <c r="I24">
        <v>11.9</v>
      </c>
      <c r="J24">
        <f>1.76 * F24 * SQRT(29000 / Dashboard!$B$8) / 12</f>
        <v>2.9953065128259877</v>
      </c>
      <c r="K24">
        <f>1.95 * G24 * (29000 / (0.7 * Dashboard!$B$8)) / 12 * SQRT((H24*1)/(E24*I24) + SQRT(((H24*1)/(E24*I24))^2 + 6.76*((0.7*Dashboard!$B$8)/29000)^2))</f>
        <v>9.132623350514768</v>
      </c>
      <c r="L24">
        <f>Dashboard!$B$8 * D24 / 12</f>
        <v>122.08333333333333</v>
      </c>
      <c r="M24">
        <f>(Dashboard!$B$9 * PI()^2 * 29000 / ((Dashboard!$B$5*12)/G24)^2) * SQRT(1 + 0.078 * (H24*1)/(E24*I24) * ((Dashboard!$B$5*12)/G24)^2)</f>
        <v>144.78045857330264</v>
      </c>
      <c r="N24">
        <f>MIN( IF(Dashboard!$B$5 &lt;= J24, L24, IF(Dashboard!$B$5 &lt;= K24, Dashboard!$B$9 * (L24 - (L24 - 0.7*Dashboard!$B$8*E24/12) * ((Dashboard!$B$5 - J24)/(K24 - J24))), M24 * E24 / 12) ), L24 )</f>
        <v>114.22561820150163</v>
      </c>
      <c r="O24">
        <f t="shared" si="0"/>
        <v>68.398573773354272</v>
      </c>
      <c r="P24" t="str">
        <f>IF(AND(O24 &gt;= Dashboard!$B$11, C24 &lt;= Dashboard!$B$6), "Pass", "Fail")</f>
        <v>Fail</v>
      </c>
      <c r="Q24">
        <f t="shared" si="1"/>
        <v>9999999</v>
      </c>
    </row>
    <row r="25" spans="1:17" x14ac:dyDescent="0.25">
      <c r="A25" t="s">
        <v>40</v>
      </c>
      <c r="B25">
        <v>22</v>
      </c>
      <c r="C25">
        <v>10.199999999999999</v>
      </c>
      <c r="D25">
        <v>26</v>
      </c>
      <c r="E25">
        <v>23.2</v>
      </c>
      <c r="F25">
        <v>1.33</v>
      </c>
      <c r="G25">
        <v>1.55</v>
      </c>
      <c r="H25">
        <v>0.23899999999999999</v>
      </c>
      <c r="I25">
        <v>9.84</v>
      </c>
      <c r="J25">
        <f>1.76 * F25 * SQRT(29000 / Dashboard!$B$8) / 12</f>
        <v>4.6978274316728346</v>
      </c>
      <c r="K25">
        <f>1.95 * G25 * (29000 / (0.7 * Dashboard!$B$8)) / 12 * SQRT((H25*1)/(E25*I25) + SQRT(((H25*1)/(E25*I25))^2 + 6.76*((0.7*Dashboard!$B$8)/29000)^2))</f>
        <v>13.772212783310286</v>
      </c>
      <c r="L25">
        <f>Dashboard!$B$8 * D25 / 12</f>
        <v>108.33333333333333</v>
      </c>
      <c r="M25">
        <f>(Dashboard!$B$9 * PI()^2 * 29000 / ((Dashboard!$B$5*12)/G25)^2) * SQRT(1 + 0.078 * (H25*1)/(E25*I25) * ((Dashboard!$B$5*12)/G25)^2)</f>
        <v>309.92091863879432</v>
      </c>
      <c r="N25">
        <f>MIN( IF(Dashboard!$B$5 &lt;= J25, L25, IF(Dashboard!$B$5 &lt;= K25, Dashboard!$B$9 * (L25 - (L25 - 0.7*Dashboard!$B$8*E25/12) * ((Dashboard!$B$5 - J25)/(K25 - J25))), M25 * E25 / 12) ), L25 )</f>
        <v>108.33333333333333</v>
      </c>
      <c r="O25">
        <f t="shared" si="0"/>
        <v>64.87025948103792</v>
      </c>
      <c r="P25" t="str">
        <f>IF(AND(O25 &gt;= Dashboard!$B$11, C25 &lt;= Dashboard!$B$6), "Pass", "Fail")</f>
        <v>Fail</v>
      </c>
      <c r="Q25">
        <f t="shared" si="1"/>
        <v>9999999</v>
      </c>
    </row>
    <row r="26" spans="1:17" x14ac:dyDescent="0.25">
      <c r="A26" t="s">
        <v>41</v>
      </c>
      <c r="B26">
        <v>24</v>
      </c>
      <c r="C26">
        <v>7.93</v>
      </c>
      <c r="D26">
        <v>23.1</v>
      </c>
      <c r="E26">
        <v>20.9</v>
      </c>
      <c r="F26">
        <v>1.61</v>
      </c>
      <c r="G26">
        <v>1.81</v>
      </c>
      <c r="H26">
        <v>0.34599999999999997</v>
      </c>
      <c r="I26">
        <v>7.53</v>
      </c>
      <c r="J26">
        <f>1.76 * F26 * SQRT(29000 / Dashboard!$B$8) / 12</f>
        <v>5.6868437330776418</v>
      </c>
      <c r="K26">
        <f>1.95 * G26 * (29000 / (0.7 * Dashboard!$B$8)) / 12 * SQRT((H26*1)/(E26*I26) + SQRT(((H26*1)/(E26*I26))^2 + 6.76*((0.7*Dashboard!$B$8)/29000)^2))</f>
        <v>18.924358643307272</v>
      </c>
      <c r="L26">
        <f>Dashboard!$B$8 * D26 / 12</f>
        <v>96.25</v>
      </c>
      <c r="M26">
        <f>(Dashboard!$B$9 * PI()^2 * 29000 / ((Dashboard!$B$5*12)/G26)^2) * SQRT(1 + 0.078 * (H26*1)/(E26*I26) * ((Dashboard!$B$5*12)/G26)^2)</f>
        <v>430.82225401211156</v>
      </c>
      <c r="N26">
        <f>MIN( IF(Dashboard!$B$5 &lt;= J26, L26, IF(Dashboard!$B$5 &lt;= K26, Dashboard!$B$9 * (L26 - (L26 - 0.7*Dashboard!$B$8*E26/12) * ((Dashboard!$B$5 - J26)/(K26 - J26))), M26 * E26 / 12) ), L26 )</f>
        <v>96.25</v>
      </c>
      <c r="O26">
        <f t="shared" si="0"/>
        <v>57.634730538922156</v>
      </c>
      <c r="P26" t="str">
        <f>IF(AND(O26 &gt;= Dashboard!$B$11, C26 &lt;= Dashboard!$B$6), "Pass", "Fail")</f>
        <v>Pass</v>
      </c>
      <c r="Q26">
        <f t="shared" si="1"/>
        <v>24.000260000000001</v>
      </c>
    </row>
    <row r="27" spans="1:17" x14ac:dyDescent="0.25">
      <c r="A27" t="s">
        <v>42</v>
      </c>
      <c r="B27">
        <v>25</v>
      </c>
      <c r="C27">
        <v>6.38</v>
      </c>
      <c r="D27">
        <v>18.899999999999999</v>
      </c>
      <c r="E27">
        <v>16.7</v>
      </c>
      <c r="F27">
        <v>1.52</v>
      </c>
      <c r="G27">
        <v>1.74</v>
      </c>
      <c r="H27">
        <v>0.46100000000000002</v>
      </c>
      <c r="I27">
        <v>5.93</v>
      </c>
      <c r="J27">
        <f>1.76 * F27 * SQRT(29000 / Dashboard!$B$8) / 12</f>
        <v>5.3689456361975259</v>
      </c>
      <c r="K27">
        <f>1.95 * G27 * (29000 / (0.7 * Dashboard!$B$8)) / 12 * SQRT((H27*1)/(E27*I27) + SQRT(((H27*1)/(E27*I27))^2 + 6.76*((0.7*Dashboard!$B$8)/29000)^2))</f>
        <v>23.740959129270259</v>
      </c>
      <c r="L27">
        <f>Dashboard!$B$8 * D27 / 12</f>
        <v>78.749999999999986</v>
      </c>
      <c r="M27">
        <f>(Dashboard!$B$9 * PI()^2 * 29000 / ((Dashboard!$B$5*12)/G27)^2) * SQRT(1 + 0.078 * (H27*1)/(E27*I27) * ((Dashboard!$B$5*12)/G27)^2)</f>
        <v>424.90625250760354</v>
      </c>
      <c r="N27">
        <f>MIN( IF(Dashboard!$B$5 &lt;= J27, L27, IF(Dashboard!$B$5 &lt;= K27, Dashboard!$B$9 * (L27 - (L27 - 0.7*Dashboard!$B$8*E27/12) * ((Dashboard!$B$5 - J27)/(K27 - J27))), M27 * E27 / 12) ), L27 )</f>
        <v>78.749999999999986</v>
      </c>
      <c r="O27">
        <f t="shared" si="0"/>
        <v>47.155688622754482</v>
      </c>
      <c r="P27" t="str">
        <f>IF(AND(O27 &gt;= Dashboard!$B$11, C27 &lt;= Dashboard!$B$6), "Pass", "Fail")</f>
        <v>Pass</v>
      </c>
      <c r="Q27">
        <f t="shared" si="1"/>
        <v>25.00027</v>
      </c>
    </row>
    <row r="28" spans="1:17" x14ac:dyDescent="0.25">
      <c r="A28" t="s">
        <v>43</v>
      </c>
      <c r="B28">
        <v>26</v>
      </c>
      <c r="C28">
        <v>15.7</v>
      </c>
      <c r="D28">
        <v>44.2</v>
      </c>
      <c r="E28">
        <v>38.4</v>
      </c>
      <c r="F28">
        <v>1.1200000000000001</v>
      </c>
      <c r="G28">
        <v>1.38</v>
      </c>
      <c r="H28">
        <v>0.26200000000000001</v>
      </c>
      <c r="I28">
        <v>15.4</v>
      </c>
      <c r="J28">
        <f>1.76 * F28 * SQRT(29000 / Dashboard!$B$8) / 12</f>
        <v>3.9560652056192294</v>
      </c>
      <c r="K28">
        <f>1.95 * G28 * (29000 / (0.7 * Dashboard!$B$8)) / 12 * SQRT((H28*1)/(E28*I28) + SQRT(((H28*1)/(E28*I28))^2 + 6.76*((0.7*Dashboard!$B$8)/29000)^2))</f>
        <v>11.167148788384122</v>
      </c>
      <c r="L28">
        <f>Dashboard!$B$8 * D28 / 12</f>
        <v>184.16666666666666</v>
      </c>
      <c r="M28">
        <f>(Dashboard!$B$9 * PI()^2 * 29000 / ((Dashboard!$B$5*12)/G28)^2) * SQRT(1 + 0.078 * (H28*1)/(E28*I28) * ((Dashboard!$B$5*12)/G28)^2)</f>
        <v>241.4723802659619</v>
      </c>
      <c r="N28">
        <f>MIN( IF(Dashboard!$B$5 &lt;= J28, L28, IF(Dashboard!$B$5 &lt;= K28, Dashboard!$B$9 * (L28 - (L28 - 0.7*Dashboard!$B$8*E28/12) * ((Dashboard!$B$5 - J28)/(K28 - J28))), M28 * E28 / 12) ), L28 )</f>
        <v>183.72697856365761</v>
      </c>
      <c r="O28">
        <f t="shared" si="0"/>
        <v>110.01615482853749</v>
      </c>
      <c r="P28" t="str">
        <f>IF(AND(O28 &gt;= Dashboard!$B$11, C28 &lt;= Dashboard!$B$6), "Pass", "Fail")</f>
        <v>Fail</v>
      </c>
      <c r="Q28">
        <f t="shared" si="1"/>
        <v>9999999</v>
      </c>
    </row>
    <row r="29" spans="1:17" x14ac:dyDescent="0.25">
      <c r="A29" t="s">
        <v>44</v>
      </c>
      <c r="B29">
        <v>26</v>
      </c>
      <c r="C29">
        <v>13.9</v>
      </c>
      <c r="D29">
        <v>40.200000000000003</v>
      </c>
      <c r="E29">
        <v>35.299999999999997</v>
      </c>
      <c r="F29">
        <v>1.08</v>
      </c>
      <c r="G29">
        <v>1.3</v>
      </c>
      <c r="H29">
        <v>0.35799999999999998</v>
      </c>
      <c r="I29">
        <v>13.5</v>
      </c>
      <c r="J29">
        <f>1.76 * F29 * SQRT(29000 / Dashboard!$B$8) / 12</f>
        <v>3.8147771625613998</v>
      </c>
      <c r="K29">
        <f>1.95 * G29 * (29000 / (0.7 * Dashboard!$B$8)) / 12 * SQRT((H29*1)/(E29*I29) + SQRT(((H29*1)/(E29*I29))^2 + 6.76*((0.7*Dashboard!$B$8)/29000)^2))</f>
        <v>11.039516578028792</v>
      </c>
      <c r="L29">
        <f>Dashboard!$B$8 * D29 / 12</f>
        <v>167.50000000000003</v>
      </c>
      <c r="M29">
        <f>(Dashboard!$B$9 * PI()^2 * 29000 / ((Dashboard!$B$5*12)/G29)^2) * SQRT(1 + 0.078 * (H29*1)/(E29*I29) * ((Dashboard!$B$5*12)/G29)^2)</f>
        <v>218.16783197645097</v>
      </c>
      <c r="N29">
        <f>MIN( IF(Dashboard!$B$5 &lt;= J29, L29, IF(Dashboard!$B$5 &lt;= K29, Dashboard!$B$9 * (L29 - (L29 - 0.7*Dashboard!$B$8*E29/12) * ((Dashboard!$B$5 - J29)/(K29 - J29))), M29 * E29 / 12) ), L29 )</f>
        <v>165.84532570027056</v>
      </c>
      <c r="O29">
        <f t="shared" si="0"/>
        <v>99.30857826363507</v>
      </c>
      <c r="P29" t="str">
        <f>IF(AND(O29 &gt;= Dashboard!$B$11, C29 &lt;= Dashboard!$B$6), "Pass", "Fail")</f>
        <v>Fail</v>
      </c>
      <c r="Q29">
        <f t="shared" si="1"/>
        <v>9999999</v>
      </c>
    </row>
    <row r="30" spans="1:17" x14ac:dyDescent="0.25">
      <c r="A30" t="s">
        <v>45</v>
      </c>
      <c r="B30">
        <v>26</v>
      </c>
      <c r="C30">
        <v>12.2</v>
      </c>
      <c r="D30">
        <v>37.200000000000003</v>
      </c>
      <c r="E30">
        <v>33.4</v>
      </c>
      <c r="F30">
        <v>1.51</v>
      </c>
      <c r="G30">
        <v>1.75</v>
      </c>
      <c r="H30">
        <v>0.3</v>
      </c>
      <c r="I30">
        <v>11.8</v>
      </c>
      <c r="J30">
        <f>1.76 * F30 * SQRT(29000 / Dashboard!$B$8) / 12</f>
        <v>5.3336236254330673</v>
      </c>
      <c r="K30">
        <f>1.95 * G30 * (29000 / (0.7 * Dashboard!$B$8)) / 12 * SQRT((H30*1)/(E30*I30) + SQRT(((H30*1)/(E30*I30))^2 + 6.76*((0.7*Dashboard!$B$8)/29000)^2))</f>
        <v>14.883826021921919</v>
      </c>
      <c r="L30">
        <f>Dashboard!$B$8 * D30 / 12</f>
        <v>155.00000000000003</v>
      </c>
      <c r="M30">
        <f>(Dashboard!$B$9 * PI()^2 * 29000 / ((Dashboard!$B$5*12)/G30)^2) * SQRT(1 + 0.078 * (H30*1)/(E30*I30) * ((Dashboard!$B$5*12)/G30)^2)</f>
        <v>388.84852243495794</v>
      </c>
      <c r="N30">
        <f>MIN( IF(Dashboard!$B$5 &lt;= J30, L30, IF(Dashboard!$B$5 &lt;= K30, Dashboard!$B$9 * (L30 - (L30 - 0.7*Dashboard!$B$8*E30/12) * ((Dashboard!$B$5 - J30)/(K30 - J30))), M30 * E30 / 12) ), L30 )</f>
        <v>155.00000000000003</v>
      </c>
      <c r="O30">
        <f t="shared" si="0"/>
        <v>92.81437125748505</v>
      </c>
      <c r="P30" t="str">
        <f>IF(AND(O30 &gt;= Dashboard!$B$11, C30 &lt;= Dashboard!$B$6), "Pass", "Fail")</f>
        <v>Fail</v>
      </c>
      <c r="Q30">
        <f t="shared" si="1"/>
        <v>9999999</v>
      </c>
    </row>
    <row r="31" spans="1:17" x14ac:dyDescent="0.25">
      <c r="A31" t="s">
        <v>46</v>
      </c>
      <c r="B31">
        <v>26</v>
      </c>
      <c r="C31">
        <v>10.3</v>
      </c>
      <c r="D31">
        <v>31.3</v>
      </c>
      <c r="E31">
        <v>27.9</v>
      </c>
      <c r="F31">
        <v>1.36</v>
      </c>
      <c r="G31">
        <v>1.58</v>
      </c>
      <c r="H31">
        <v>0.40200000000000002</v>
      </c>
      <c r="I31">
        <v>9.86</v>
      </c>
      <c r="J31">
        <f>1.76 * F31 * SQRT(29000 / Dashboard!$B$8) / 12</f>
        <v>4.8037934639662074</v>
      </c>
      <c r="K31">
        <f>1.95 * G31 * (29000 / (0.7 * Dashboard!$B$8)) / 12 * SQRT((H31*1)/(E31*I31) + SQRT(((H31*1)/(E31*I31))^2 + 6.76*((0.7*Dashboard!$B$8)/29000)^2))</f>
        <v>14.926151417742245</v>
      </c>
      <c r="L31">
        <f>Dashboard!$B$8 * D31 / 12</f>
        <v>130.41666666666666</v>
      </c>
      <c r="M31">
        <f>(Dashboard!$B$9 * PI()^2 * 29000 / ((Dashboard!$B$5*12)/G31)^2) * SQRT(1 + 0.078 * (H31*1)/(E31*I31) * ((Dashboard!$B$5*12)/G31)^2)</f>
        <v>326.02394972248391</v>
      </c>
      <c r="N31">
        <f>MIN( IF(Dashboard!$B$5 &lt;= J31, L31, IF(Dashboard!$B$5 &lt;= K31, Dashboard!$B$9 * (L31 - (L31 - 0.7*Dashboard!$B$8*E31/12) * ((Dashboard!$B$5 - J31)/(K31 - J31))), M31 * E31 / 12) ), L31 )</f>
        <v>130.41666666666666</v>
      </c>
      <c r="O31">
        <f t="shared" si="0"/>
        <v>78.093812375249499</v>
      </c>
      <c r="P31" t="str">
        <f>IF(AND(O31 &gt;= Dashboard!$B$11, C31 &lt;= Dashboard!$B$6), "Pass", "Fail")</f>
        <v>Fail</v>
      </c>
      <c r="Q31">
        <f t="shared" si="1"/>
        <v>9999999</v>
      </c>
    </row>
    <row r="32" spans="1:17" x14ac:dyDescent="0.25">
      <c r="A32" t="s">
        <v>47</v>
      </c>
      <c r="B32">
        <v>28</v>
      </c>
      <c r="C32">
        <v>8.06</v>
      </c>
      <c r="D32">
        <v>27.2</v>
      </c>
      <c r="E32">
        <v>24.3</v>
      </c>
      <c r="F32">
        <v>1.62</v>
      </c>
      <c r="G32">
        <v>1.84</v>
      </c>
      <c r="H32">
        <v>0.53700000000000003</v>
      </c>
      <c r="I32">
        <v>7.6</v>
      </c>
      <c r="J32">
        <f>1.76 * F32 * SQRT(29000 / Dashboard!$B$8) / 12</f>
        <v>5.7221657438421003</v>
      </c>
      <c r="K32">
        <f>1.95 * G32 * (29000 / (0.7 * Dashboard!$B$8)) / 12 * SQRT((H32*1)/(E32*I32) + SQRT(((H32*1)/(E32*I32))^2 + 6.76*((0.7*Dashboard!$B$8)/29000)^2))</f>
        <v>21.000879644126421</v>
      </c>
      <c r="L32">
        <f>Dashboard!$B$8 * D32 / 12</f>
        <v>113.33333333333333</v>
      </c>
      <c r="M32">
        <f>(Dashboard!$B$9 * PI()^2 * 29000 / ((Dashboard!$B$5*12)/G32)^2) * SQRT(1 + 0.078 * (H32*1)/(E32*I32) * ((Dashboard!$B$5*12)/G32)^2)</f>
        <v>451.87565829829401</v>
      </c>
      <c r="N32">
        <f>MIN( IF(Dashboard!$B$5 &lt;= J32, L32, IF(Dashboard!$B$5 &lt;= K32, Dashboard!$B$9 * (L32 - (L32 - 0.7*Dashboard!$B$8*E32/12) * ((Dashboard!$B$5 - J32)/(K32 - J32))), M32 * E32 / 12) ), L32 )</f>
        <v>113.33333333333333</v>
      </c>
      <c r="O32">
        <f t="shared" si="0"/>
        <v>67.864271457085835</v>
      </c>
      <c r="P32" t="str">
        <f>IF(AND(O32 &gt;= Dashboard!$B$11, C32 &lt;= Dashboard!$B$6), "Pass", "Fail")</f>
        <v>Fail</v>
      </c>
      <c r="Q32">
        <f t="shared" si="1"/>
        <v>9999999</v>
      </c>
    </row>
    <row r="33" spans="1:17" x14ac:dyDescent="0.25">
      <c r="A33" t="s">
        <v>48</v>
      </c>
      <c r="B33">
        <v>30</v>
      </c>
      <c r="C33">
        <v>13.8</v>
      </c>
      <c r="D33">
        <v>47.3</v>
      </c>
      <c r="E33">
        <v>42</v>
      </c>
      <c r="F33">
        <v>1.49</v>
      </c>
      <c r="G33">
        <v>1.77</v>
      </c>
      <c r="H33">
        <v>0.38</v>
      </c>
      <c r="I33">
        <v>13.4</v>
      </c>
      <c r="J33">
        <f>1.76 * F33 * SQRT(29000 / Dashboard!$B$8) / 12</f>
        <v>5.2629796039041521</v>
      </c>
      <c r="K33">
        <f>1.95 * G33 * (29000 / (0.7 * Dashboard!$B$8)) / 12 * SQRT((H33*1)/(E33*I33) + SQRT(((H33*1)/(E33*I33))^2 + 6.76*((0.7*Dashboard!$B$8)/29000)^2))</f>
        <v>14.854193995080013</v>
      </c>
      <c r="L33">
        <f>Dashboard!$B$8 * D33 / 12</f>
        <v>197.08333333333334</v>
      </c>
      <c r="M33">
        <f>(Dashboard!$B$9 * PI()^2 * 29000 / ((Dashboard!$B$5*12)/G33)^2) * SQRT(1 + 0.078 * (H33*1)/(E33*I33) * ((Dashboard!$B$5*12)/G33)^2)</f>
        <v>396.65540153786776</v>
      </c>
      <c r="N33">
        <f>MIN( IF(Dashboard!$B$5 &lt;= J33, L33, IF(Dashboard!$B$5 &lt;= K33, Dashboard!$B$9 * (L33 - (L33 - 0.7*Dashboard!$B$8*E33/12) * ((Dashboard!$B$5 - J33)/(K33 - J33))), M33 * E33 / 12) ), L33 )</f>
        <v>197.08333333333334</v>
      </c>
      <c r="O33">
        <f t="shared" si="0"/>
        <v>118.01397205588823</v>
      </c>
      <c r="P33" t="str">
        <f>IF(AND(O33 &gt;= Dashboard!$B$11, C33 &lt;= Dashboard!$B$6), "Pass", "Fail")</f>
        <v>Fail</v>
      </c>
      <c r="Q33">
        <f t="shared" si="1"/>
        <v>9999999</v>
      </c>
    </row>
    <row r="34" spans="1:17" x14ac:dyDescent="0.25">
      <c r="A34" t="s">
        <v>49</v>
      </c>
      <c r="B34">
        <v>30</v>
      </c>
      <c r="C34">
        <v>12.3</v>
      </c>
      <c r="D34">
        <v>43.1</v>
      </c>
      <c r="E34">
        <v>38.6</v>
      </c>
      <c r="F34">
        <v>1.52</v>
      </c>
      <c r="G34">
        <v>1.77</v>
      </c>
      <c r="H34">
        <v>0.45700000000000002</v>
      </c>
      <c r="I34">
        <v>11.9</v>
      </c>
      <c r="J34">
        <f>1.76 * F34 * SQRT(29000 / Dashboard!$B$8) / 12</f>
        <v>5.3689456361975259</v>
      </c>
      <c r="K34">
        <f>1.95 * G34 * (29000 / (0.7 * Dashboard!$B$8)) / 12 * SQRT((H34*1)/(E34*I34) + SQRT(((H34*1)/(E34*I34))^2 + 6.76*((0.7*Dashboard!$B$8)/29000)^2))</f>
        <v>15.603509103758713</v>
      </c>
      <c r="L34">
        <f>Dashboard!$B$8 * D34 / 12</f>
        <v>179.58333333333334</v>
      </c>
      <c r="M34">
        <f>(Dashboard!$B$9 * PI()^2 * 29000 / ((Dashboard!$B$5*12)/G34)^2) * SQRT(1 + 0.078 * (H34*1)/(E34*I34) * ((Dashboard!$B$5*12)/G34)^2)</f>
        <v>400.14168754941551</v>
      </c>
      <c r="N34">
        <f>MIN( IF(Dashboard!$B$5 &lt;= J34, L34, IF(Dashboard!$B$5 &lt;= K34, Dashboard!$B$9 * (L34 - (L34 - 0.7*Dashboard!$B$8*E34/12) * ((Dashboard!$B$5 - J34)/(K34 - J34))), M34 * E34 / 12) ), L34 )</f>
        <v>179.58333333333334</v>
      </c>
      <c r="O34">
        <f t="shared" si="0"/>
        <v>107.53493013972057</v>
      </c>
      <c r="P34" t="str">
        <f>IF(AND(O34 &gt;= Dashboard!$B$11, C34 &lt;= Dashboard!$B$6), "Pass", "Fail")</f>
        <v>Fail</v>
      </c>
      <c r="Q34">
        <f t="shared" si="1"/>
        <v>9999999</v>
      </c>
    </row>
    <row r="35" spans="1:17" x14ac:dyDescent="0.25">
      <c r="A35" t="s">
        <v>50</v>
      </c>
      <c r="B35">
        <v>30</v>
      </c>
      <c r="C35">
        <v>10.5</v>
      </c>
      <c r="D35">
        <v>36.6</v>
      </c>
      <c r="E35">
        <v>32.4</v>
      </c>
      <c r="F35">
        <v>1.37</v>
      </c>
      <c r="G35">
        <v>1.6</v>
      </c>
      <c r="H35">
        <v>0.622</v>
      </c>
      <c r="I35">
        <v>9.99</v>
      </c>
      <c r="J35">
        <f>1.76 * F35 * SQRT(29000 / Dashboard!$B$8) / 12</f>
        <v>4.8391154747306642</v>
      </c>
      <c r="K35">
        <f>1.95 * G35 * (29000 / (0.7 * Dashboard!$B$8)) / 12 * SQRT((H35*1)/(E35*I35) + SQRT(((H35*1)/(E35*I35))^2 + 6.76*((0.7*Dashboard!$B$8)/29000)^2))</f>
        <v>16.123030719822989</v>
      </c>
      <c r="L35">
        <f>Dashboard!$B$8 * D35 / 12</f>
        <v>152.5</v>
      </c>
      <c r="M35">
        <f>(Dashboard!$B$9 * PI()^2 * 29000 / ((Dashboard!$B$5*12)/G35)^2) * SQRT(1 + 0.078 * (H35*1)/(E35*I35) * ((Dashboard!$B$5*12)/G35)^2)</f>
        <v>338.79292462226692</v>
      </c>
      <c r="N35">
        <f>MIN( IF(Dashboard!$B$5 &lt;= J35, L35, IF(Dashboard!$B$5 &lt;= K35, Dashboard!$B$9 * (L35 - (L35 - 0.7*Dashboard!$B$8*E35/12) * ((Dashboard!$B$5 - J35)/(K35 - J35))), M35 * E35 / 12) ), L35 )</f>
        <v>152.5</v>
      </c>
      <c r="O35">
        <f t="shared" si="0"/>
        <v>91.317365269461078</v>
      </c>
      <c r="P35" t="str">
        <f>IF(AND(O35 &gt;= Dashboard!$B$11, C35 &lt;= Dashboard!$B$6), "Pass", "Fail")</f>
        <v>Fail</v>
      </c>
      <c r="Q35">
        <f t="shared" si="1"/>
        <v>9999999</v>
      </c>
    </row>
    <row r="36" spans="1:17" x14ac:dyDescent="0.25">
      <c r="A36" t="s">
        <v>51</v>
      </c>
      <c r="B36">
        <v>31</v>
      </c>
      <c r="C36">
        <v>15.9</v>
      </c>
      <c r="D36">
        <v>54</v>
      </c>
      <c r="E36">
        <v>47.2</v>
      </c>
      <c r="F36">
        <v>1.17</v>
      </c>
      <c r="G36">
        <v>1.42</v>
      </c>
      <c r="H36">
        <v>0.46100000000000002</v>
      </c>
      <c r="I36">
        <v>15.5</v>
      </c>
      <c r="J36">
        <f>1.76 * F36 * SQRT(29000 / Dashboard!$B$8) / 12</f>
        <v>4.1326752594415153</v>
      </c>
      <c r="K36">
        <f>1.95 * G36 * (29000 / (0.7 * Dashboard!$B$8)) / 12 * SQRT((H36*1)/(E36*I36) + SQRT(((H36*1)/(E36*I36))^2 + 6.76*((0.7*Dashboard!$B$8)/29000)^2))</f>
        <v>11.833430979723072</v>
      </c>
      <c r="L36">
        <f>Dashboard!$B$8 * D36 / 12</f>
        <v>225</v>
      </c>
      <c r="M36">
        <f>(Dashboard!$B$9 * PI()^2 * 29000 / ((Dashboard!$B$5*12)/G36)^2) * SQRT(1 + 0.078 * (H36*1)/(E36*I36) * ((Dashboard!$B$5*12)/G36)^2)</f>
        <v>257.42862012476928</v>
      </c>
      <c r="N36">
        <f>MIN( IF(Dashboard!$B$5 &lt;= J36, L36, IF(Dashboard!$B$5 &lt;= K36, Dashboard!$B$9 * (L36 - (L36 - 0.7*Dashboard!$B$8*E36/12) * ((Dashboard!$B$5 - J36)/(K36 - J36))), M36 * E36 / 12) ), L36 )</f>
        <v>225</v>
      </c>
      <c r="O36">
        <f t="shared" si="0"/>
        <v>134.73053892215569</v>
      </c>
      <c r="P36" t="str">
        <f>IF(AND(O36 &gt;= Dashboard!$B$11, C36 &lt;= Dashboard!$B$6), "Pass", "Fail")</f>
        <v>Fail</v>
      </c>
      <c r="Q36">
        <f t="shared" si="1"/>
        <v>9999999</v>
      </c>
    </row>
    <row r="37" spans="1:17" x14ac:dyDescent="0.25">
      <c r="A37" t="s">
        <v>52</v>
      </c>
      <c r="B37">
        <v>31</v>
      </c>
      <c r="C37">
        <v>8</v>
      </c>
      <c r="D37">
        <v>30.4</v>
      </c>
      <c r="E37">
        <v>27.5</v>
      </c>
      <c r="F37">
        <v>2.02</v>
      </c>
      <c r="G37">
        <v>2.2599999999999998</v>
      </c>
      <c r="H37">
        <v>0.53600000000000003</v>
      </c>
      <c r="I37">
        <v>7.57</v>
      </c>
      <c r="J37">
        <f>1.76 * F37 * SQRT(29000 / Dashboard!$B$8) / 12</f>
        <v>7.1350461744203955</v>
      </c>
      <c r="K37">
        <f>1.95 * G37 * (29000 / (0.7 * Dashboard!$B$8)) / 12 * SQRT((H37*1)/(E37*I37) + SQRT(((H37*1)/(E37*I37))^2 + 6.76*((0.7*Dashboard!$B$8)/29000)^2))</f>
        <v>24.78412318125547</v>
      </c>
      <c r="L37">
        <f>Dashboard!$B$8 * D37 / 12</f>
        <v>126.66666666666667</v>
      </c>
      <c r="M37">
        <f>(Dashboard!$B$9 * PI()^2 * 29000 / ((Dashboard!$B$5*12)/G37)^2) * SQRT(1 + 0.078 * (H37*1)/(E37*I37) * ((Dashboard!$B$5*12)/G37)^2)</f>
        <v>662.61852503284206</v>
      </c>
      <c r="N37">
        <f>MIN( IF(Dashboard!$B$5 &lt;= J37, L37, IF(Dashboard!$B$5 &lt;= K37, Dashboard!$B$9 * (L37 - (L37 - 0.7*Dashboard!$B$8*E37/12) * ((Dashboard!$B$5 - J37)/(K37 - J37))), M37 * E37 / 12) ), L37 )</f>
        <v>126.66666666666667</v>
      </c>
      <c r="O37">
        <f t="shared" si="0"/>
        <v>75.848303393213584</v>
      </c>
      <c r="P37" t="str">
        <f>IF(AND(O37 &gt;= Dashboard!$B$11, C37 &lt;= Dashboard!$B$6), "Pass", "Fail")</f>
        <v>Pass</v>
      </c>
      <c r="Q37">
        <f t="shared" si="1"/>
        <v>31.00037</v>
      </c>
    </row>
    <row r="38" spans="1:17" x14ac:dyDescent="0.25">
      <c r="A38" t="s">
        <v>53</v>
      </c>
      <c r="B38">
        <v>33</v>
      </c>
      <c r="C38">
        <v>9.73</v>
      </c>
      <c r="D38">
        <v>38.799999999999997</v>
      </c>
      <c r="E38">
        <v>35</v>
      </c>
      <c r="F38">
        <v>1.94</v>
      </c>
      <c r="G38">
        <v>2.2000000000000002</v>
      </c>
      <c r="H38">
        <v>0.58299999999999996</v>
      </c>
      <c r="I38">
        <v>9.3000000000000007</v>
      </c>
      <c r="J38">
        <f>1.76 * F38 * SQRT(29000 / Dashboard!$B$8) / 12</f>
        <v>6.8524700883047354</v>
      </c>
      <c r="K38">
        <f>1.95 * G38 * (29000 / (0.7 * Dashboard!$B$8)) / 12 * SQRT((H38*1)/(E38*I38) + SQRT(((H38*1)/(E38*I38))^2 + 6.76*((0.7*Dashboard!$B$8)/29000)^2))</f>
        <v>21.775695049952745</v>
      </c>
      <c r="L38">
        <f>Dashboard!$B$8 * D38 / 12</f>
        <v>161.66666666666666</v>
      </c>
      <c r="M38">
        <f>(Dashboard!$B$9 * PI()^2 * 29000 / ((Dashboard!$B$5*12)/G38)^2) * SQRT(1 + 0.078 * (H38*1)/(E38*I38) * ((Dashboard!$B$5*12)/G38)^2)</f>
        <v>620.92896838006493</v>
      </c>
      <c r="N38">
        <f>MIN( IF(Dashboard!$B$5 &lt;= J38, L38, IF(Dashboard!$B$5 &lt;= K38, Dashboard!$B$9 * (L38 - (L38 - 0.7*Dashboard!$B$8*E38/12) * ((Dashboard!$B$5 - J38)/(K38 - J38))), M38 * E38 / 12) ), L38 )</f>
        <v>161.66666666666666</v>
      </c>
      <c r="O38">
        <f t="shared" si="0"/>
        <v>96.806387225548903</v>
      </c>
      <c r="P38" t="str">
        <f>IF(AND(O38 &gt;= Dashboard!$B$11, C38 &lt;= Dashboard!$B$6), "Pass", "Fail")</f>
        <v>Fail</v>
      </c>
      <c r="Q38">
        <f t="shared" si="1"/>
        <v>9999999</v>
      </c>
    </row>
    <row r="39" spans="1:17" x14ac:dyDescent="0.25">
      <c r="A39" t="s">
        <v>54</v>
      </c>
      <c r="B39">
        <v>34</v>
      </c>
      <c r="C39">
        <v>14</v>
      </c>
      <c r="D39">
        <v>54.6</v>
      </c>
      <c r="E39">
        <v>48.6</v>
      </c>
      <c r="F39">
        <v>1.53</v>
      </c>
      <c r="G39">
        <v>1.8</v>
      </c>
      <c r="H39">
        <v>0.56899999999999995</v>
      </c>
      <c r="I39">
        <v>13.5</v>
      </c>
      <c r="J39">
        <f>1.76 * F39 * SQRT(29000 / Dashboard!$B$8) / 12</f>
        <v>5.4042676469619826</v>
      </c>
      <c r="K39">
        <f>1.95 * G39 * (29000 / (0.7 * Dashboard!$B$8)) / 12 * SQRT((H39*1)/(E39*I39) + SQRT(((H39*1)/(E39*I39))^2 + 6.76*((0.7*Dashboard!$B$8)/29000)^2))</f>
        <v>15.561545092944977</v>
      </c>
      <c r="L39">
        <f>Dashboard!$B$8 * D39 / 12</f>
        <v>227.5</v>
      </c>
      <c r="M39">
        <f>(Dashboard!$B$9 * PI()^2 * 29000 / ((Dashboard!$B$5*12)/G39)^2) * SQRT(1 + 0.078 * (H39*1)/(E39*I39) * ((Dashboard!$B$5*12)/G39)^2)</f>
        <v>412.06175674856195</v>
      </c>
      <c r="N39">
        <f>MIN( IF(Dashboard!$B$5 &lt;= J39, L39, IF(Dashboard!$B$5 &lt;= K39, Dashboard!$B$9 * (L39 - (L39 - 0.7*Dashboard!$B$8*E39/12) * ((Dashboard!$B$5 - J39)/(K39 - J39))), M39 * E39 / 12) ), L39 )</f>
        <v>227.5</v>
      </c>
      <c r="O39">
        <f t="shared" si="0"/>
        <v>136.22754491017966</v>
      </c>
      <c r="P39" t="str">
        <f>IF(AND(O39 &gt;= Dashboard!$B$11, C39 &lt;= Dashboard!$B$6), "Pass", "Fail")</f>
        <v>Fail</v>
      </c>
      <c r="Q39">
        <f t="shared" si="1"/>
        <v>9999999</v>
      </c>
    </row>
    <row r="40" spans="1:17" x14ac:dyDescent="0.25">
      <c r="A40" t="s">
        <v>55</v>
      </c>
      <c r="B40">
        <v>35</v>
      </c>
      <c r="C40">
        <v>17.7</v>
      </c>
      <c r="D40">
        <v>66.5</v>
      </c>
      <c r="E40">
        <v>57.6</v>
      </c>
      <c r="F40">
        <v>1.22</v>
      </c>
      <c r="G40">
        <v>1.51</v>
      </c>
      <c r="H40">
        <v>0.50600000000000001</v>
      </c>
      <c r="I40">
        <v>17.3</v>
      </c>
      <c r="J40">
        <f>1.76 * F40 * SQRT(29000 / Dashboard!$B$8) / 12</f>
        <v>4.3092853132638025</v>
      </c>
      <c r="K40">
        <f>1.95 * G40 * (29000 / (0.7 * Dashboard!$B$8)) / 12 * SQRT((H40*1)/(E40*I40) + SQRT(((H40*1)/(E40*I40))^2 + 6.76*((0.7*Dashboard!$B$8)/29000)^2))</f>
        <v>12.344390737225105</v>
      </c>
      <c r="L40">
        <f>Dashboard!$B$8 * D40 / 12</f>
        <v>277.08333333333331</v>
      </c>
      <c r="M40">
        <f>(Dashboard!$B$9 * PI()^2 * 29000 / ((Dashboard!$B$5*12)/G40)^2) * SQRT(1 + 0.078 * (H40*1)/(E40*I40) * ((Dashboard!$B$5*12)/G40)^2)</f>
        <v>288.86208917796705</v>
      </c>
      <c r="N40">
        <f>MIN( IF(Dashboard!$B$5 &lt;= J40, L40, IF(Dashboard!$B$5 &lt;= K40, Dashboard!$B$9 * (L40 - (L40 - 0.7*Dashboard!$B$8*E40/12) * ((Dashboard!$B$5 - J40)/(K40 - J40))), M40 * E40 / 12) ), L40 )</f>
        <v>277.08333333333331</v>
      </c>
      <c r="O40">
        <f t="shared" si="0"/>
        <v>165.91816367265469</v>
      </c>
      <c r="P40" t="str">
        <f>IF(AND(O40 &gt;= Dashboard!$B$11, C40 &lt;= Dashboard!$B$6), "Pass", "Fail")</f>
        <v>Fail</v>
      </c>
      <c r="Q40">
        <f t="shared" si="1"/>
        <v>9999999</v>
      </c>
    </row>
    <row r="41" spans="1:17" x14ac:dyDescent="0.25">
      <c r="A41" t="s">
        <v>56</v>
      </c>
      <c r="B41">
        <v>35</v>
      </c>
      <c r="C41">
        <v>12.5</v>
      </c>
      <c r="D41">
        <v>51.2</v>
      </c>
      <c r="E41">
        <v>45.6</v>
      </c>
      <c r="F41">
        <v>1.54</v>
      </c>
      <c r="G41">
        <v>1.79</v>
      </c>
      <c r="H41">
        <v>0.74099999999999999</v>
      </c>
      <c r="I41">
        <v>12</v>
      </c>
      <c r="J41">
        <f>1.76 * F41 * SQRT(29000 / Dashboard!$B$8) / 12</f>
        <v>5.4395896577264393</v>
      </c>
      <c r="K41">
        <f>1.95 * G41 * (29000 / (0.7 * Dashboard!$B$8)) / 12 * SQRT((H41*1)/(E41*I41) + SQRT(((H41*1)/(E41*I41))^2 + 6.76*((0.7*Dashboard!$B$8)/29000)^2))</f>
        <v>16.648631383009292</v>
      </c>
      <c r="L41">
        <f>Dashboard!$B$8 * D41 / 12</f>
        <v>213.33333333333334</v>
      </c>
      <c r="M41">
        <f>(Dashboard!$B$9 * PI()^2 * 29000 / ((Dashboard!$B$5*12)/G41)^2) * SQRT(1 + 0.078 * (H41*1)/(E41*I41) * ((Dashboard!$B$5*12)/G41)^2)</f>
        <v>412.87436375889729</v>
      </c>
      <c r="N41">
        <f>MIN( IF(Dashboard!$B$5 &lt;= J41, L41, IF(Dashboard!$B$5 &lt;= K41, Dashboard!$B$9 * (L41 - (L41 - 0.7*Dashboard!$B$8*E41/12) * ((Dashboard!$B$5 - J41)/(K41 - J41))), M41 * E41 / 12) ), L41 )</f>
        <v>213.33333333333334</v>
      </c>
      <c r="O41">
        <f t="shared" si="0"/>
        <v>127.74451097804392</v>
      </c>
      <c r="P41" t="str">
        <f>IF(AND(O41 &gt;= Dashboard!$B$11, C41 &lt;= Dashboard!$B$6), "Pass", "Fail")</f>
        <v>Fail</v>
      </c>
      <c r="Q41">
        <f t="shared" si="1"/>
        <v>9999999</v>
      </c>
    </row>
    <row r="42" spans="1:17" x14ac:dyDescent="0.25">
      <c r="A42" t="s">
        <v>57</v>
      </c>
      <c r="B42">
        <v>35</v>
      </c>
      <c r="C42">
        <v>8.1199999999999992</v>
      </c>
      <c r="D42">
        <v>34.700000000000003</v>
      </c>
      <c r="E42">
        <v>31.2</v>
      </c>
      <c r="F42">
        <v>2.0299999999999998</v>
      </c>
      <c r="G42">
        <v>2.2799999999999998</v>
      </c>
      <c r="H42">
        <v>0.76900000000000002</v>
      </c>
      <c r="I42">
        <v>7.63</v>
      </c>
      <c r="J42">
        <f>1.76 * F42 * SQRT(29000 / Dashboard!$B$8) / 12</f>
        <v>7.1703681851848513</v>
      </c>
      <c r="K42">
        <f>1.95 * G42 * (29000 / (0.7 * Dashboard!$B$8)) / 12 * SQRT((H42*1)/(E42*I42) + SQRT(((H42*1)/(E42*I42))^2 + 6.76*((0.7*Dashboard!$B$8)/29000)^2))</f>
        <v>26.997030562362649</v>
      </c>
      <c r="L42">
        <f>Dashboard!$B$8 * D42 / 12</f>
        <v>144.58333333333334</v>
      </c>
      <c r="M42">
        <f>(Dashboard!$B$9 * PI()^2 * 29000 / ((Dashboard!$B$5*12)/G42)^2) * SQRT(1 + 0.078 * (H42*1)/(E42*I42) * ((Dashboard!$B$5*12)/G42)^2)</f>
        <v>680.88507301392804</v>
      </c>
      <c r="N42">
        <f>MIN( IF(Dashboard!$B$5 &lt;= J42, L42, IF(Dashboard!$B$5 &lt;= K42, Dashboard!$B$9 * (L42 - (L42 - 0.7*Dashboard!$B$8*E42/12) * ((Dashboard!$B$5 - J42)/(K42 - J42))), M42 * E42 / 12) ), L42 )</f>
        <v>144.58333333333334</v>
      </c>
      <c r="O42">
        <f t="shared" si="0"/>
        <v>86.576846307385239</v>
      </c>
      <c r="P42" t="str">
        <f>IF(AND(O42 &gt;= Dashboard!$B$11, C42 &lt;= Dashboard!$B$6), "Pass", "Fail")</f>
        <v>Fail</v>
      </c>
      <c r="Q42">
        <f t="shared" si="1"/>
        <v>9999999</v>
      </c>
    </row>
    <row r="43" spans="1:17" x14ac:dyDescent="0.25">
      <c r="A43" t="s">
        <v>58</v>
      </c>
      <c r="B43">
        <v>36</v>
      </c>
      <c r="C43">
        <v>15.9</v>
      </c>
      <c r="D43">
        <v>64</v>
      </c>
      <c r="E43">
        <v>56.5</v>
      </c>
      <c r="F43">
        <v>1.52</v>
      </c>
      <c r="G43">
        <v>1.83</v>
      </c>
      <c r="H43">
        <v>0.54500000000000004</v>
      </c>
      <c r="I43">
        <v>15.5</v>
      </c>
      <c r="J43">
        <f>1.76 * F43 * SQRT(29000 / Dashboard!$B$8) / 12</f>
        <v>5.3689456361975259</v>
      </c>
      <c r="K43">
        <f>1.95 * G43 * (29000 / (0.7 * Dashboard!$B$8)) / 12 * SQRT((H43*1)/(E43*I43) + SQRT(((H43*1)/(E43*I43))^2 + 6.76*((0.7*Dashboard!$B$8)/29000)^2))</f>
        <v>15.231545128533099</v>
      </c>
      <c r="L43">
        <f>Dashboard!$B$8 * D43 / 12</f>
        <v>266.66666666666669</v>
      </c>
      <c r="M43">
        <f>(Dashboard!$B$9 * PI()^2 * 29000 / ((Dashboard!$B$5*12)/G43)^2) * SQRT(1 + 0.078 * (H43*1)/(E43*I43) * ((Dashboard!$B$5*12)/G43)^2)</f>
        <v>422.91275577146382</v>
      </c>
      <c r="N43">
        <f>MIN( IF(Dashboard!$B$5 &lt;= J43, L43, IF(Dashboard!$B$5 &lt;= K43, Dashboard!$B$9 * (L43 - (L43 - 0.7*Dashboard!$B$8*E43/12) * ((Dashboard!$B$5 - J43)/(K43 - J43))), M43 * E43 / 12) ), L43 )</f>
        <v>266.66666666666669</v>
      </c>
      <c r="O43">
        <f t="shared" si="0"/>
        <v>159.6806387225549</v>
      </c>
      <c r="P43" t="str">
        <f>IF(AND(O43 &gt;= Dashboard!$B$11, C43 &lt;= Dashboard!$B$6), "Pass", "Fail")</f>
        <v>Fail</v>
      </c>
      <c r="Q43">
        <f t="shared" si="1"/>
        <v>9999999</v>
      </c>
    </row>
    <row r="44" spans="1:17" x14ac:dyDescent="0.25">
      <c r="A44" t="s">
        <v>59</v>
      </c>
      <c r="B44">
        <v>38</v>
      </c>
      <c r="C44">
        <v>14.1</v>
      </c>
      <c r="D44">
        <v>61.5</v>
      </c>
      <c r="E44">
        <v>54.6</v>
      </c>
      <c r="F44">
        <v>1.55</v>
      </c>
      <c r="G44">
        <v>1.82</v>
      </c>
      <c r="H44">
        <v>0.79800000000000004</v>
      </c>
      <c r="I44">
        <v>13.6</v>
      </c>
      <c r="J44">
        <f>1.76 * F44 * SQRT(29000 / Dashboard!$B$8) / 12</f>
        <v>5.4749116684908978</v>
      </c>
      <c r="K44">
        <f>1.95 * G44 * (29000 / (0.7 * Dashboard!$B$8)) / 12 * SQRT((H44*1)/(E44*I44) + SQRT(((H44*1)/(E44*I44))^2 + 6.76*((0.7*Dashboard!$B$8)/29000)^2))</f>
        <v>16.239093078589104</v>
      </c>
      <c r="L44">
        <f>Dashboard!$B$8 * D44 / 12</f>
        <v>256.25</v>
      </c>
      <c r="M44">
        <f>(Dashboard!$B$9 * PI()^2 * 29000 / ((Dashboard!$B$5*12)/G44)^2) * SQRT(1 + 0.078 * (H44*1)/(E44*I44) * ((Dashboard!$B$5*12)/G44)^2)</f>
        <v>423.31481123687092</v>
      </c>
      <c r="N44">
        <f>MIN( IF(Dashboard!$B$5 &lt;= J44, L44, IF(Dashboard!$B$5 &lt;= K44, Dashboard!$B$9 * (L44 - (L44 - 0.7*Dashboard!$B$8*E44/12) * ((Dashboard!$B$5 - J44)/(K44 - J44))), M44 * E44 / 12) ), L44 )</f>
        <v>256.25</v>
      </c>
      <c r="O44">
        <f t="shared" si="0"/>
        <v>153.44311377245509</v>
      </c>
      <c r="P44" t="str">
        <f>IF(AND(O44 &gt;= Dashboard!$B$11, C44 &lt;= Dashboard!$B$6), "Pass", "Fail")</f>
        <v>Fail</v>
      </c>
      <c r="Q44">
        <f t="shared" si="1"/>
        <v>9999999</v>
      </c>
    </row>
    <row r="45" spans="1:17" x14ac:dyDescent="0.25">
      <c r="A45" t="s">
        <v>60</v>
      </c>
      <c r="B45">
        <v>39</v>
      </c>
      <c r="C45">
        <v>9.92</v>
      </c>
      <c r="D45">
        <v>46.8</v>
      </c>
      <c r="E45">
        <v>42.1</v>
      </c>
      <c r="F45">
        <v>1.98</v>
      </c>
      <c r="G45">
        <v>2.2400000000000002</v>
      </c>
      <c r="H45">
        <v>0.97599999999999998</v>
      </c>
      <c r="I45">
        <v>9.39</v>
      </c>
      <c r="J45">
        <f>1.76 * F45 * SQRT(29000 / Dashboard!$B$8) / 12</f>
        <v>6.993758131362565</v>
      </c>
      <c r="K45">
        <f>1.95 * G45 * (29000 / (0.7 * Dashboard!$B$8)) / 12 * SQRT((H45*1)/(E45*I45) + SQRT(((H45*1)/(E45*I45))^2 + 6.76*((0.7*Dashboard!$B$8)/29000)^2))</f>
        <v>24.243914151751078</v>
      </c>
      <c r="L45">
        <f>Dashboard!$B$8 * D45 / 12</f>
        <v>195</v>
      </c>
      <c r="M45">
        <f>(Dashboard!$B$9 * PI()^2 * 29000 / ((Dashboard!$B$5*12)/G45)^2) * SQRT(1 + 0.078 * (H45*1)/(E45*I45) * ((Dashboard!$B$5*12)/G45)^2)</f>
        <v>650.29570938851111</v>
      </c>
      <c r="N45">
        <f>MIN( IF(Dashboard!$B$5 &lt;= J45, L45, IF(Dashboard!$B$5 &lt;= K45, Dashboard!$B$9 * (L45 - (L45 - 0.7*Dashboard!$B$8*E45/12) * ((Dashboard!$B$5 - J45)/(K45 - J45))), M45 * E45 / 12) ), L45 )</f>
        <v>195</v>
      </c>
      <c r="O45">
        <f t="shared" si="0"/>
        <v>116.76646706586827</v>
      </c>
      <c r="P45" t="str">
        <f>IF(AND(O45 &gt;= Dashboard!$B$11, C45 &lt;= Dashboard!$B$6), "Pass", "Fail")</f>
        <v>Fail</v>
      </c>
      <c r="Q45">
        <f t="shared" si="1"/>
        <v>9999999</v>
      </c>
    </row>
    <row r="46" spans="1:17" x14ac:dyDescent="0.25">
      <c r="A46" t="s">
        <v>61</v>
      </c>
      <c r="B46">
        <v>40</v>
      </c>
      <c r="C46">
        <v>17.899999999999999</v>
      </c>
      <c r="D46">
        <v>78.400000000000006</v>
      </c>
      <c r="E46">
        <v>68.400000000000006</v>
      </c>
      <c r="F46">
        <v>1.27</v>
      </c>
      <c r="G46">
        <v>1.56</v>
      </c>
      <c r="H46">
        <v>0.81</v>
      </c>
      <c r="I46">
        <v>17.399999999999999</v>
      </c>
      <c r="J46">
        <f>1.76 * F46 * SQRT(29000 / Dashboard!$B$8) / 12</f>
        <v>4.4858953670860897</v>
      </c>
      <c r="K46">
        <f>1.95 * G46 * (29000 / (0.7 * Dashboard!$B$8)) / 12 * SQRT((H46*1)/(E46*I46) + SQRT(((H46*1)/(E46*I46))^2 + 6.76*((0.7*Dashboard!$B$8)/29000)^2))</f>
        <v>13.102817379105998</v>
      </c>
      <c r="L46">
        <f>Dashboard!$B$8 * D46 / 12</f>
        <v>326.66666666666669</v>
      </c>
      <c r="M46">
        <f>(Dashboard!$B$9 * PI()^2 * 29000 / ((Dashboard!$B$5*12)/G46)^2) * SQRT(1 + 0.078 * (H46*1)/(E46*I46) * ((Dashboard!$B$5*12)/G46)^2)</f>
        <v>309.822190797384</v>
      </c>
      <c r="N46">
        <f>MIN( IF(Dashboard!$B$5 &lt;= J46, L46, IF(Dashboard!$B$5 &lt;= K46, Dashboard!$B$9 * (L46 - (L46 - 0.7*Dashboard!$B$8*E46/12) * ((Dashboard!$B$5 - J46)/(K46 - J46))), M46 * E46 / 12) ), L46 )</f>
        <v>326.66666666666669</v>
      </c>
      <c r="O46">
        <f t="shared" si="0"/>
        <v>195.60878243512977</v>
      </c>
      <c r="P46" t="str">
        <f>IF(AND(O46 &gt;= Dashboard!$B$11, C46 &lt;= Dashboard!$B$6), "Pass", "Fail")</f>
        <v>Fail</v>
      </c>
      <c r="Q46">
        <f t="shared" si="1"/>
        <v>9999999</v>
      </c>
    </row>
    <row r="47" spans="1:17" x14ac:dyDescent="0.25">
      <c r="A47" t="s">
        <v>62</v>
      </c>
      <c r="B47">
        <v>40</v>
      </c>
      <c r="C47">
        <v>16</v>
      </c>
      <c r="D47">
        <v>73</v>
      </c>
      <c r="E47">
        <v>64.7</v>
      </c>
      <c r="F47">
        <v>1.57</v>
      </c>
      <c r="G47">
        <v>1.86</v>
      </c>
      <c r="H47">
        <v>0.79400000000000004</v>
      </c>
      <c r="I47">
        <v>15.5</v>
      </c>
      <c r="J47">
        <f>1.76 * F47 * SQRT(29000 / Dashboard!$B$8) / 12</f>
        <v>5.5455556900198131</v>
      </c>
      <c r="K47">
        <f>1.95 * G47 * (29000 / (0.7 * Dashboard!$B$8)) / 12 * SQRT((H47*1)/(E47*I47) + SQRT(((H47*1)/(E47*I47))^2 + 6.76*((0.7*Dashboard!$B$8)/29000)^2))</f>
        <v>15.894319388889532</v>
      </c>
      <c r="L47">
        <f>Dashboard!$B$8 * D47 / 12</f>
        <v>304.16666666666669</v>
      </c>
      <c r="M47">
        <f>(Dashboard!$B$9 * PI()^2 * 29000 / ((Dashboard!$B$5*12)/G47)^2) * SQRT(1 + 0.078 * (H47*1)/(E47*I47) * ((Dashboard!$B$5*12)/G47)^2)</f>
        <v>438.52381446362295</v>
      </c>
      <c r="N47">
        <f>MIN( IF(Dashboard!$B$5 &lt;= J47, L47, IF(Dashboard!$B$5 &lt;= K47, Dashboard!$B$9 * (L47 - (L47 - 0.7*Dashboard!$B$8*E47/12) * ((Dashboard!$B$5 - J47)/(K47 - J47))), M47 * E47 / 12) ), L47 )</f>
        <v>304.16666666666669</v>
      </c>
      <c r="O47">
        <f t="shared" si="0"/>
        <v>182.13572854291419</v>
      </c>
      <c r="P47" t="str">
        <f>IF(AND(O47 &gt;= Dashboard!$B$11, C47 &lt;= Dashboard!$B$6), "Pass", "Fail")</f>
        <v>Fail</v>
      </c>
      <c r="Q47">
        <f t="shared" si="1"/>
        <v>9999999</v>
      </c>
    </row>
    <row r="48" spans="1:17" x14ac:dyDescent="0.25">
      <c r="A48" t="s">
        <v>63</v>
      </c>
      <c r="B48">
        <v>40</v>
      </c>
      <c r="C48">
        <v>11.9</v>
      </c>
      <c r="D48">
        <v>57</v>
      </c>
      <c r="E48">
        <v>51.5</v>
      </c>
      <c r="F48">
        <v>1.94</v>
      </c>
      <c r="G48">
        <v>2.21</v>
      </c>
      <c r="H48">
        <v>0.90600000000000003</v>
      </c>
      <c r="I48">
        <v>11.4</v>
      </c>
      <c r="J48">
        <f>1.76 * F48 * SQRT(29000 / Dashboard!$B$8) / 12</f>
        <v>6.8524700883047354</v>
      </c>
      <c r="K48">
        <f>1.95 * G48 * (29000 / (0.7 * Dashboard!$B$8)) / 12 * SQRT((H48*1)/(E48*I48) + SQRT(((H48*1)/(E48*I48))^2 + 6.76*((0.7*Dashboard!$B$8)/29000)^2))</f>
        <v>21.124789662662522</v>
      </c>
      <c r="L48">
        <f>Dashboard!$B$8 * D48 / 12</f>
        <v>237.5</v>
      </c>
      <c r="M48">
        <f>(Dashboard!$B$9 * PI()^2 * 29000 / ((Dashboard!$B$5*12)/G48)^2) * SQRT(1 + 0.078 * (H48*1)/(E48*I48) * ((Dashboard!$B$5*12)/G48)^2)</f>
        <v>623.72401358172613</v>
      </c>
      <c r="N48">
        <f>MIN( IF(Dashboard!$B$5 &lt;= J48, L48, IF(Dashboard!$B$5 &lt;= K48, Dashboard!$B$9 * (L48 - (L48 - 0.7*Dashboard!$B$8*E48/12) * ((Dashboard!$B$5 - J48)/(K48 - J48))), M48 * E48 / 12) ), L48 )</f>
        <v>237.5</v>
      </c>
      <c r="O48">
        <f t="shared" si="0"/>
        <v>142.21556886227546</v>
      </c>
      <c r="P48" t="str">
        <f>IF(AND(O48 &gt;= Dashboard!$B$11, C48 &lt;= Dashboard!$B$6), "Pass", "Fail")</f>
        <v>Fail</v>
      </c>
      <c r="Q48">
        <f t="shared" si="1"/>
        <v>9999999</v>
      </c>
    </row>
    <row r="49" spans="1:17" x14ac:dyDescent="0.25">
      <c r="A49" t="s">
        <v>64</v>
      </c>
      <c r="B49">
        <v>40</v>
      </c>
      <c r="C49">
        <v>8.25</v>
      </c>
      <c r="D49">
        <v>39.799999999999997</v>
      </c>
      <c r="E49">
        <v>35.5</v>
      </c>
      <c r="F49">
        <v>2.04</v>
      </c>
      <c r="G49">
        <v>2.31</v>
      </c>
      <c r="H49">
        <v>1.1200000000000001</v>
      </c>
      <c r="I49">
        <v>7.69</v>
      </c>
      <c r="J49">
        <f>1.76 * F49 * SQRT(29000 / Dashboard!$B$8) / 12</f>
        <v>7.2056901959493098</v>
      </c>
      <c r="K49">
        <f>1.95 * G49 * (29000 / (0.7 * Dashboard!$B$8)) / 12 * SQRT((H49*1)/(E49*I49) + SQRT(((H49*1)/(E49*I49))^2 + 6.76*((0.7*Dashboard!$B$8)/29000)^2))</f>
        <v>29.942096526446374</v>
      </c>
      <c r="L49">
        <f>Dashboard!$B$8 * D49 / 12</f>
        <v>165.83333333333331</v>
      </c>
      <c r="M49">
        <f>(Dashboard!$B$9 * PI()^2 * 29000 / ((Dashboard!$B$5*12)/G49)^2) * SQRT(1 + 0.078 * (H49*1)/(E49*I49) * ((Dashboard!$B$5*12)/G49)^2)</f>
        <v>707.20115079846516</v>
      </c>
      <c r="N49">
        <f>MIN( IF(Dashboard!$B$5 &lt;= J49, L49, IF(Dashboard!$B$5 &lt;= K49, Dashboard!$B$9 * (L49 - (L49 - 0.7*Dashboard!$B$8*E49/12) * ((Dashboard!$B$5 - J49)/(K49 - J49))), M49 * E49 / 12) ), L49 )</f>
        <v>165.83333333333331</v>
      </c>
      <c r="O49">
        <f t="shared" si="0"/>
        <v>99.301397205588813</v>
      </c>
      <c r="P49" t="str">
        <f>IF(AND(O49 &gt;= Dashboard!$B$11, C49 &lt;= Dashboard!$B$6), "Pass", "Fail")</f>
        <v>Fail</v>
      </c>
      <c r="Q49">
        <f t="shared" si="1"/>
        <v>9999999</v>
      </c>
    </row>
    <row r="50" spans="1:17" x14ac:dyDescent="0.25">
      <c r="A50" t="s">
        <v>65</v>
      </c>
      <c r="B50">
        <v>43</v>
      </c>
      <c r="C50">
        <v>13.7</v>
      </c>
      <c r="D50">
        <v>69.599999999999994</v>
      </c>
      <c r="E50">
        <v>62.6</v>
      </c>
      <c r="F50">
        <v>1.89</v>
      </c>
      <c r="G50">
        <v>2.1800000000000002</v>
      </c>
      <c r="H50">
        <v>1.05</v>
      </c>
      <c r="I50">
        <v>13.2</v>
      </c>
      <c r="J50">
        <f>1.76 * F50 * SQRT(29000 / Dashboard!$B$8) / 12</f>
        <v>6.6758600344824481</v>
      </c>
      <c r="K50">
        <f>1.95 * G50 * (29000 / (0.7 * Dashboard!$B$8)) / 12 * SQRT((H50*1)/(E50*I50) + SQRT(((H50*1)/(E50*I50))^2 + 6.76*((0.7*Dashboard!$B$8)/29000)^2))</f>
        <v>20.028712989823671</v>
      </c>
      <c r="L50">
        <f>Dashboard!$B$8 * D50 / 12</f>
        <v>289.99999999999994</v>
      </c>
      <c r="M50">
        <f>(Dashboard!$B$9 * PI()^2 * 29000 / ((Dashboard!$B$5*12)/G50)^2) * SQRT(1 + 0.078 * (H50*1)/(E50*I50) * ((Dashboard!$B$5*12)/G50)^2)</f>
        <v>604.39313931697848</v>
      </c>
      <c r="N50">
        <f>MIN( IF(Dashboard!$B$5 &lt;= J50, L50, IF(Dashboard!$B$5 &lt;= K50, Dashboard!$B$9 * (L50 - (L50 - 0.7*Dashboard!$B$8*E50/12) * ((Dashboard!$B$5 - J50)/(K50 - J50))), M50 * E50 / 12) ), L50 )</f>
        <v>289.99999999999994</v>
      </c>
      <c r="O50">
        <f t="shared" si="0"/>
        <v>173.65269461077841</v>
      </c>
      <c r="P50" t="str">
        <f>IF(AND(O50 &gt;= Dashboard!$B$11, C50 &lt;= Dashboard!$B$6), "Pass", "Fail")</f>
        <v>Fail</v>
      </c>
      <c r="Q50">
        <f t="shared" si="1"/>
        <v>9999999</v>
      </c>
    </row>
    <row r="51" spans="1:17" x14ac:dyDescent="0.25">
      <c r="A51" t="s">
        <v>66</v>
      </c>
      <c r="B51">
        <v>44</v>
      </c>
      <c r="C51">
        <v>20.7</v>
      </c>
      <c r="D51">
        <v>95.4</v>
      </c>
      <c r="E51">
        <v>81.599999999999994</v>
      </c>
      <c r="F51">
        <v>1.26</v>
      </c>
      <c r="G51">
        <v>1.6</v>
      </c>
      <c r="H51">
        <v>0.77</v>
      </c>
      <c r="I51">
        <v>20.3</v>
      </c>
      <c r="J51">
        <f>1.76 * F51 * SQRT(29000 / Dashboard!$B$8) / 12</f>
        <v>4.450573356321633</v>
      </c>
      <c r="K51">
        <f>1.95 * G51 * (29000 / (0.7 * Dashboard!$B$8)) / 12 * SQRT((H51*1)/(E51*I51) + SQRT(((H51*1)/(E51*I51))^2 + 6.76*((0.7*Dashboard!$B$8)/29000)^2))</f>
        <v>12.991995434167695</v>
      </c>
      <c r="L51">
        <f>Dashboard!$B$8 * D51 / 12</f>
        <v>397.5</v>
      </c>
      <c r="M51">
        <f>(Dashboard!$B$9 * PI()^2 * 29000 / ((Dashboard!$B$5*12)/G51)^2) * SQRT(1 + 0.078 * (H51*1)/(E51*I51) * ((Dashboard!$B$5*12)/G51)^2)</f>
        <v>323.16773248634172</v>
      </c>
      <c r="N51">
        <f>MIN( IF(Dashboard!$B$5 &lt;= J51, L51, IF(Dashboard!$B$5 &lt;= K51, Dashboard!$B$9 * (L51 - (L51 - 0.7*Dashboard!$B$8*E51/12) * ((Dashboard!$B$5 - J51)/(K51 - J51))), M51 * E51 / 12) ), L51 )</f>
        <v>397.5</v>
      </c>
      <c r="O51">
        <f t="shared" si="0"/>
        <v>238.0239520958084</v>
      </c>
      <c r="P51" t="str">
        <f>IF(AND(O51 &gt;= Dashboard!$B$11, C51 &lt;= Dashboard!$B$6), "Pass", "Fail")</f>
        <v>Fail</v>
      </c>
      <c r="Q51">
        <f t="shared" si="1"/>
        <v>9999999</v>
      </c>
    </row>
    <row r="52" spans="1:17" x14ac:dyDescent="0.25">
      <c r="A52" t="s">
        <v>67</v>
      </c>
      <c r="B52">
        <v>45</v>
      </c>
      <c r="C52">
        <v>16.100000000000001</v>
      </c>
      <c r="D52">
        <v>82.3</v>
      </c>
      <c r="E52">
        <v>72.7</v>
      </c>
      <c r="F52">
        <v>1.57</v>
      </c>
      <c r="G52">
        <v>1.87</v>
      </c>
      <c r="H52">
        <v>1.1100000000000001</v>
      </c>
      <c r="I52">
        <v>15.5</v>
      </c>
      <c r="J52">
        <f>1.76 * F52 * SQRT(29000 / Dashboard!$B$8) / 12</f>
        <v>5.5455556900198131</v>
      </c>
      <c r="K52">
        <f>1.95 * G52 * (29000 / (0.7 * Dashboard!$B$8)) / 12 * SQRT((H52*1)/(E52*I52) + SQRT(((H52*1)/(E52*I52))^2 + 6.76*((0.7*Dashboard!$B$8)/29000)^2))</f>
        <v>16.46038487082668</v>
      </c>
      <c r="L52">
        <f>Dashboard!$B$8 * D52 / 12</f>
        <v>342.91666666666669</v>
      </c>
      <c r="M52">
        <f>(Dashboard!$B$9 * PI()^2 * 29000 / ((Dashboard!$B$5*12)/G52)^2) * SQRT(1 + 0.078 * (H52*1)/(E52*I52) * ((Dashboard!$B$5*12)/G52)^2)</f>
        <v>445.26853062130624</v>
      </c>
      <c r="N52">
        <f>MIN( IF(Dashboard!$B$5 &lt;= J52, L52, IF(Dashboard!$B$5 &lt;= K52, Dashboard!$B$9 * (L52 - (L52 - 0.7*Dashboard!$B$8*E52/12) * ((Dashboard!$B$5 - J52)/(K52 - J52))), M52 * E52 / 12) ), L52 )</f>
        <v>342.91666666666669</v>
      </c>
      <c r="O52">
        <f t="shared" si="0"/>
        <v>205.33932135728546</v>
      </c>
      <c r="P52" t="str">
        <f>IF(AND(O52 &gt;= Dashboard!$B$11, C52 &lt;= Dashboard!$B$6), "Pass", "Fail")</f>
        <v>Fail</v>
      </c>
      <c r="Q52">
        <f t="shared" si="1"/>
        <v>9999999</v>
      </c>
    </row>
    <row r="53" spans="1:17" x14ac:dyDescent="0.25">
      <c r="A53" t="s">
        <v>68</v>
      </c>
      <c r="B53">
        <v>45</v>
      </c>
      <c r="C53">
        <v>12.1</v>
      </c>
      <c r="D53">
        <v>64.2</v>
      </c>
      <c r="E53">
        <v>57.7</v>
      </c>
      <c r="F53">
        <v>1.95</v>
      </c>
      <c r="G53">
        <v>2.23</v>
      </c>
      <c r="H53">
        <v>1.26</v>
      </c>
      <c r="I53">
        <v>11.5</v>
      </c>
      <c r="J53">
        <f>1.76 * F53 * SQRT(29000 / Dashboard!$B$8) / 12</f>
        <v>6.8877920990691939</v>
      </c>
      <c r="K53">
        <f>1.95 * G53 * (29000 / (0.7 * Dashboard!$B$8)) / 12 * SQRT((H53*1)/(E53*I53) + SQRT(((H53*1)/(E53*I53))^2 + 6.76*((0.7*Dashboard!$B$8)/29000)^2))</f>
        <v>22.401856875816534</v>
      </c>
      <c r="L53">
        <f>Dashboard!$B$8 * D53 / 12</f>
        <v>267.5</v>
      </c>
      <c r="M53">
        <f>(Dashboard!$B$9 * PI()^2 * 29000 / ((Dashboard!$B$5*12)/G53)^2) * SQRT(1 + 0.078 * (H53*1)/(E53*I53) * ((Dashboard!$B$5*12)/G53)^2)</f>
        <v>638.61200448373745</v>
      </c>
      <c r="N53">
        <f>MIN( IF(Dashboard!$B$5 &lt;= J53, L53, IF(Dashboard!$B$5 &lt;= K53, Dashboard!$B$9 * (L53 - (L53 - 0.7*Dashboard!$B$8*E53/12) * ((Dashboard!$B$5 - J53)/(K53 - J53))), M53 * E53 / 12) ), L53 )</f>
        <v>267.5</v>
      </c>
      <c r="O53">
        <f t="shared" si="0"/>
        <v>160.17964071856289</v>
      </c>
      <c r="P53" t="str">
        <f>IF(AND(O53 &gt;= Dashboard!$B$11, C53 &lt;= Dashboard!$B$6), "Pass", "Fail")</f>
        <v>Fail</v>
      </c>
      <c r="Q53">
        <f t="shared" si="1"/>
        <v>9999999</v>
      </c>
    </row>
    <row r="54" spans="1:17" x14ac:dyDescent="0.25">
      <c r="A54" t="s">
        <v>69</v>
      </c>
      <c r="B54">
        <v>45</v>
      </c>
      <c r="C54">
        <v>10.1</v>
      </c>
      <c r="D54">
        <v>54.9</v>
      </c>
      <c r="E54">
        <v>49.1</v>
      </c>
      <c r="F54">
        <v>2.0099999999999998</v>
      </c>
      <c r="G54">
        <v>2.27</v>
      </c>
      <c r="H54">
        <v>1.51</v>
      </c>
      <c r="I54">
        <v>9.48</v>
      </c>
      <c r="J54">
        <f>1.76 * F54 * SQRT(29000 / Dashboard!$B$8) / 12</f>
        <v>7.0997241636559378</v>
      </c>
      <c r="K54">
        <f>1.95 * G54 * (29000 / (0.7 * Dashboard!$B$8)) / 12 * SQRT((H54*1)/(E54*I54) + SQRT(((H54*1)/(E54*I54))^2 + 6.76*((0.7*Dashboard!$B$8)/29000)^2))</f>
        <v>26.919535515784755</v>
      </c>
      <c r="L54">
        <f>Dashboard!$B$8 * D54 / 12</f>
        <v>228.75</v>
      </c>
      <c r="M54">
        <f>(Dashboard!$B$9 * PI()^2 * 29000 / ((Dashboard!$B$5*12)/G54)^2) * SQRT(1 + 0.078 * (H54*1)/(E54*I54) * ((Dashboard!$B$5*12)/G54)^2)</f>
        <v>675.36988252847311</v>
      </c>
      <c r="N54">
        <f>MIN( IF(Dashboard!$B$5 &lt;= J54, L54, IF(Dashboard!$B$5 &lt;= K54, Dashboard!$B$9 * (L54 - (L54 - 0.7*Dashboard!$B$8*E54/12) * ((Dashboard!$B$5 - J54)/(K54 - J54))), M54 * E54 / 12) ), L54 )</f>
        <v>228.75</v>
      </c>
      <c r="O54">
        <f t="shared" si="0"/>
        <v>136.97604790419163</v>
      </c>
      <c r="P54" t="str">
        <f>IF(AND(O54 &gt;= Dashboard!$B$11, C54 &lt;= Dashboard!$B$6), "Pass", "Fail")</f>
        <v>Fail</v>
      </c>
      <c r="Q54">
        <f t="shared" si="1"/>
        <v>9999999</v>
      </c>
    </row>
    <row r="55" spans="1:17" x14ac:dyDescent="0.25">
      <c r="A55" t="s">
        <v>70</v>
      </c>
      <c r="B55">
        <v>46</v>
      </c>
      <c r="C55">
        <v>18.100000000000001</v>
      </c>
      <c r="D55">
        <v>90.7</v>
      </c>
      <c r="E55">
        <v>78.8</v>
      </c>
      <c r="F55">
        <v>1.29</v>
      </c>
      <c r="G55">
        <v>1.58</v>
      </c>
      <c r="H55">
        <v>1.22</v>
      </c>
      <c r="I55">
        <v>17.5</v>
      </c>
      <c r="J55">
        <f>1.76 * F55 * SQRT(29000 / Dashboard!$B$8) / 12</f>
        <v>4.556539388615005</v>
      </c>
      <c r="K55">
        <f>1.95 * G55 * (29000 / (0.7 * Dashboard!$B$8)) / 12 * SQRT((H55*1)/(E55*I55) + SQRT(((H55*1)/(E55*I55))^2 + 6.76*((0.7*Dashboard!$B$8)/29000)^2))</f>
        <v>13.696215960355712</v>
      </c>
      <c r="L55">
        <f>Dashboard!$B$8 * D55 / 12</f>
        <v>377.91666666666669</v>
      </c>
      <c r="M55">
        <f>(Dashboard!$B$9 * PI()^2 * 29000 / ((Dashboard!$B$5*12)/G55)^2) * SQRT(1 + 0.078 * (H55*1)/(E55*I55) * ((Dashboard!$B$5*12)/G55)^2)</f>
        <v>319.8428141819536</v>
      </c>
      <c r="N55">
        <f>MIN( IF(Dashboard!$B$5 &lt;= J55, L55, IF(Dashboard!$B$5 &lt;= K55, Dashboard!$B$9 * (L55 - (L55 - 0.7*Dashboard!$B$8*E55/12) * ((Dashboard!$B$5 - J55)/(K55 - J55))), M55 * E55 / 12) ), L55 )</f>
        <v>377.91666666666669</v>
      </c>
      <c r="O55">
        <f t="shared" si="0"/>
        <v>226.29740518962078</v>
      </c>
      <c r="P55" t="str">
        <f>IF(AND(O55 &gt;= Dashboard!$B$11, C55 &lt;= Dashboard!$B$6), "Pass", "Fail")</f>
        <v>Fail</v>
      </c>
      <c r="Q55">
        <f t="shared" si="1"/>
        <v>9999999</v>
      </c>
    </row>
    <row r="56" spans="1:17" x14ac:dyDescent="0.25">
      <c r="A56" t="s">
        <v>71</v>
      </c>
      <c r="B56">
        <v>48</v>
      </c>
      <c r="C56">
        <v>20.6</v>
      </c>
      <c r="D56">
        <v>107</v>
      </c>
      <c r="E56">
        <v>93</v>
      </c>
      <c r="F56">
        <v>1.66</v>
      </c>
      <c r="G56">
        <v>2.0499999999999998</v>
      </c>
      <c r="H56">
        <v>0.80300000000000005</v>
      </c>
      <c r="I56">
        <v>20.2</v>
      </c>
      <c r="J56">
        <f>1.76 * F56 * SQRT(29000 / Dashboard!$B$8) / 12</f>
        <v>5.8634537868999281</v>
      </c>
      <c r="K56">
        <f>1.95 * G56 * (29000 / (0.7 * Dashboard!$B$8)) / 12 * SQRT((H56*1)/(E56*I56) + SQRT(((H56*1)/(E56*I56))^2 + 6.76*((0.7*Dashboard!$B$8)/29000)^2))</f>
        <v>16.548085059398741</v>
      </c>
      <c r="L56">
        <f>Dashboard!$B$8 * D56 / 12</f>
        <v>445.83333333333331</v>
      </c>
      <c r="M56">
        <f>(Dashboard!$B$9 * PI()^2 * 29000 / ((Dashboard!$B$5*12)/G56)^2) * SQRT(1 + 0.078 * (H56*1)/(E56*I56) * ((Dashboard!$B$5*12)/G56)^2)</f>
        <v>526.81285973120373</v>
      </c>
      <c r="N56">
        <f>MIN( IF(Dashboard!$B$5 &lt;= J56, L56, IF(Dashboard!$B$5 &lt;= K56, Dashboard!$B$9 * (L56 - (L56 - 0.7*Dashboard!$B$8*E56/12) * ((Dashboard!$B$5 - J56)/(K56 - J56))), M56 * E56 / 12) ), L56 )</f>
        <v>445.83333333333331</v>
      </c>
      <c r="O56">
        <f t="shared" si="0"/>
        <v>266.96606786427145</v>
      </c>
      <c r="P56" t="str">
        <f>IF(AND(O56 &gt;= Dashboard!$B$11, C56 &lt;= Dashboard!$B$6), "Pass", "Fail")</f>
        <v>Fail</v>
      </c>
      <c r="Q56">
        <f t="shared" si="1"/>
        <v>9999999</v>
      </c>
    </row>
    <row r="57" spans="1:17" x14ac:dyDescent="0.25">
      <c r="A57" t="s">
        <v>72</v>
      </c>
      <c r="B57">
        <v>48</v>
      </c>
      <c r="C57">
        <v>13.8</v>
      </c>
      <c r="D57">
        <v>78.400000000000006</v>
      </c>
      <c r="E57">
        <v>70.2</v>
      </c>
      <c r="F57">
        <v>1.91</v>
      </c>
      <c r="G57">
        <v>2.2000000000000002</v>
      </c>
      <c r="H57">
        <v>1.45</v>
      </c>
      <c r="I57">
        <v>13.2</v>
      </c>
      <c r="J57">
        <f>1.76 * F57 * SQRT(29000 / Dashboard!$B$8) / 12</f>
        <v>6.7465040560113634</v>
      </c>
      <c r="K57">
        <f>1.95 * G57 * (29000 / (0.7 * Dashboard!$B$8)) / 12 * SQRT((H57*1)/(E57*I57) + SQRT(((H57*1)/(E57*I57))^2 + 6.76*((0.7*Dashboard!$B$8)/29000)^2))</f>
        <v>21.094207051383403</v>
      </c>
      <c r="L57">
        <f>Dashboard!$B$8 * D57 / 12</f>
        <v>326.66666666666669</v>
      </c>
      <c r="M57">
        <f>(Dashboard!$B$9 * PI()^2 * 29000 / ((Dashboard!$B$5*12)/G57)^2) * SQRT(1 + 0.078 * (H57*1)/(E57*I57) * ((Dashboard!$B$5*12)/G57)^2)</f>
        <v>618.47810803050299</v>
      </c>
      <c r="N57">
        <f>MIN( IF(Dashboard!$B$5 &lt;= J57, L57, IF(Dashboard!$B$5 &lt;= K57, Dashboard!$B$9 * (L57 - (L57 - 0.7*Dashboard!$B$8*E57/12) * ((Dashboard!$B$5 - J57)/(K57 - J57))), M57 * E57 / 12) ), L57 )</f>
        <v>326.66666666666669</v>
      </c>
      <c r="O57">
        <f t="shared" si="0"/>
        <v>195.60878243512977</v>
      </c>
      <c r="P57" t="str">
        <f>IF(AND(O57 &gt;= Dashboard!$B$11, C57 &lt;= Dashboard!$B$6), "Pass", "Fail")</f>
        <v>Fail</v>
      </c>
      <c r="Q57">
        <f t="shared" si="1"/>
        <v>9999999</v>
      </c>
    </row>
    <row r="58" spans="1:17" x14ac:dyDescent="0.25">
      <c r="A58" t="s">
        <v>73</v>
      </c>
      <c r="B58">
        <v>48</v>
      </c>
      <c r="C58">
        <v>8.5</v>
      </c>
      <c r="D58">
        <v>49</v>
      </c>
      <c r="E58">
        <v>43.2</v>
      </c>
      <c r="F58">
        <v>2.08</v>
      </c>
      <c r="G58">
        <v>2.35</v>
      </c>
      <c r="H58">
        <v>1.96</v>
      </c>
      <c r="I58">
        <v>7.82</v>
      </c>
      <c r="J58">
        <f>1.76 * F58 * SQRT(29000 / Dashboard!$B$8) / 12</f>
        <v>7.3469782390071394</v>
      </c>
      <c r="K58">
        <f>1.95 * G58 * (29000 / (0.7 * Dashboard!$B$8)) / 12 * SQRT((H58*1)/(E58*I58) + SQRT(((H58*1)/(E58*I58))^2 + 6.76*((0.7*Dashboard!$B$8)/29000)^2))</f>
        <v>35.231010762122345</v>
      </c>
      <c r="L58">
        <f>Dashboard!$B$8 * D58 / 12</f>
        <v>204.16666666666666</v>
      </c>
      <c r="M58">
        <f>(Dashboard!$B$9 * PI()^2 * 29000 / ((Dashboard!$B$5*12)/G58)^2) * SQRT(1 + 0.078 * (H58*1)/(E58*I58) * ((Dashboard!$B$5*12)/G58)^2)</f>
        <v>748.00720844279965</v>
      </c>
      <c r="N58">
        <f>MIN( IF(Dashboard!$B$5 &lt;= J58, L58, IF(Dashboard!$B$5 &lt;= K58, Dashboard!$B$9 * (L58 - (L58 - 0.7*Dashboard!$B$8*E58/12) * ((Dashboard!$B$5 - J58)/(K58 - J58))), M58 * E58 / 12) ), L58 )</f>
        <v>204.16666666666666</v>
      </c>
      <c r="O58">
        <f t="shared" si="0"/>
        <v>122.25548902195608</v>
      </c>
      <c r="P58" t="str">
        <f>IF(AND(O58 &gt;= Dashboard!$B$11, C58 &lt;= Dashboard!$B$6), "Pass", "Fail")</f>
        <v>Fail</v>
      </c>
      <c r="Q58">
        <f t="shared" si="1"/>
        <v>9999999</v>
      </c>
    </row>
    <row r="59" spans="1:17" x14ac:dyDescent="0.25">
      <c r="A59" t="s">
        <v>74</v>
      </c>
      <c r="B59">
        <v>49</v>
      </c>
      <c r="C59">
        <v>10</v>
      </c>
      <c r="D59">
        <v>60.4</v>
      </c>
      <c r="E59">
        <v>54.6</v>
      </c>
      <c r="F59">
        <v>2.54</v>
      </c>
      <c r="G59">
        <v>2.84</v>
      </c>
      <c r="H59">
        <v>1.39</v>
      </c>
      <c r="I59">
        <v>9.44</v>
      </c>
      <c r="J59">
        <f>1.76 * F59 * SQRT(29000 / Dashboard!$B$8) / 12</f>
        <v>8.9717907341721794</v>
      </c>
      <c r="K59">
        <f>1.95 * G59 * (29000 / (0.7 * Dashboard!$B$8)) / 12 * SQRT((H59*1)/(E59*I59) + SQRT(((H59*1)/(E59*I59))^2 + 6.76*((0.7*Dashboard!$B$8)/29000)^2))</f>
        <v>31.611915556576577</v>
      </c>
      <c r="L59">
        <f>Dashboard!$B$8 * D59 / 12</f>
        <v>251.66666666666666</v>
      </c>
      <c r="M59">
        <f>(Dashboard!$B$9 * PI()^2 * 29000 / ((Dashboard!$B$5*12)/G59)^2) * SQRT(1 + 0.078 * (H59*1)/(E59*I59) * ((Dashboard!$B$5*12)/G59)^2)</f>
        <v>1031.6276827843017</v>
      </c>
      <c r="N59">
        <f>MIN( IF(Dashboard!$B$5 &lt;= J59, L59, IF(Dashboard!$B$5 &lt;= K59, Dashboard!$B$9 * (L59 - (L59 - 0.7*Dashboard!$B$8*E59/12) * ((Dashboard!$B$5 - J59)/(K59 - J59))), M59 * E59 / 12) ), L59 )</f>
        <v>251.66666666666666</v>
      </c>
      <c r="O59">
        <f t="shared" si="0"/>
        <v>150.69860279441119</v>
      </c>
      <c r="P59" t="str">
        <f>IF(AND(O59 &gt;= Dashboard!$B$11, C59 &lt;= Dashboard!$B$6), "Pass", "Fail")</f>
        <v>Fail</v>
      </c>
      <c r="Q59">
        <f t="shared" si="1"/>
        <v>9999999</v>
      </c>
    </row>
    <row r="60" spans="1:17" x14ac:dyDescent="0.25">
      <c r="A60" t="s">
        <v>75</v>
      </c>
      <c r="B60">
        <v>50</v>
      </c>
      <c r="C60">
        <v>20.8</v>
      </c>
      <c r="D60">
        <v>110</v>
      </c>
      <c r="E60">
        <v>94.5</v>
      </c>
      <c r="F60">
        <v>1.3</v>
      </c>
      <c r="G60">
        <v>1.64</v>
      </c>
      <c r="H60">
        <v>1.1399999999999999</v>
      </c>
      <c r="I60">
        <v>20.3</v>
      </c>
      <c r="J60">
        <f>1.76 * F60 * SQRT(29000 / Dashboard!$B$8) / 12</f>
        <v>4.5918613993794626</v>
      </c>
      <c r="K60">
        <f>1.95 * G60 * (29000 / (0.7 * Dashboard!$B$8)) / 12 * SQRT((H60*1)/(E60*I60) + SQRT(((H60*1)/(E60*I60))^2 + 6.76*((0.7*Dashboard!$B$8)/29000)^2))</f>
        <v>13.590337221614078</v>
      </c>
      <c r="L60">
        <f>Dashboard!$B$8 * D60 / 12</f>
        <v>458.33333333333331</v>
      </c>
      <c r="M60">
        <f>(Dashboard!$B$9 * PI()^2 * 29000 / ((Dashboard!$B$5*12)/G60)^2) * SQRT(1 + 0.078 * (H60*1)/(E60*I60) * ((Dashboard!$B$5*12)/G60)^2)</f>
        <v>340.68925411030824</v>
      </c>
      <c r="N60">
        <f>MIN( IF(Dashboard!$B$5 &lt;= J60, L60, IF(Dashboard!$B$5 &lt;= K60, Dashboard!$B$9 * (L60 - (L60 - 0.7*Dashboard!$B$8*E60/12) * ((Dashboard!$B$5 - J60)/(K60 - J60))), M60 * E60 / 12) ), L60 )</f>
        <v>458.33333333333331</v>
      </c>
      <c r="O60">
        <f t="shared" si="0"/>
        <v>274.45109780439122</v>
      </c>
      <c r="P60" t="str">
        <f>IF(AND(O60 &gt;= Dashboard!$B$11, C60 &lt;= Dashboard!$B$6), "Pass", "Fail")</f>
        <v>Fail</v>
      </c>
      <c r="Q60">
        <f t="shared" si="1"/>
        <v>9999999</v>
      </c>
    </row>
    <row r="61" spans="1:17" x14ac:dyDescent="0.25">
      <c r="A61" t="s">
        <v>76</v>
      </c>
      <c r="B61">
        <v>50</v>
      </c>
      <c r="C61">
        <v>18</v>
      </c>
      <c r="D61">
        <v>101</v>
      </c>
      <c r="E61">
        <v>88.9</v>
      </c>
      <c r="F61">
        <v>1.65</v>
      </c>
      <c r="G61">
        <v>1.98</v>
      </c>
      <c r="H61">
        <v>1.24</v>
      </c>
      <c r="I61">
        <v>17.399999999999999</v>
      </c>
      <c r="J61">
        <f>1.76 * F61 * SQRT(29000 / Dashboard!$B$8) / 12</f>
        <v>5.8281317761354714</v>
      </c>
      <c r="K61">
        <f>1.95 * G61 * (29000 / (0.7 * Dashboard!$B$8)) / 12 * SQRT((H61*1)/(E61*I61) + SQRT(((H61*1)/(E61*I61))^2 + 6.76*((0.7*Dashboard!$B$8)/29000)^2))</f>
        <v>16.945597548292909</v>
      </c>
      <c r="L61">
        <f>Dashboard!$B$8 * D61 / 12</f>
        <v>420.83333333333331</v>
      </c>
      <c r="M61">
        <f>(Dashboard!$B$9 * PI()^2 * 29000 / ((Dashboard!$B$5*12)/G61)^2) * SQRT(1 + 0.078 * (H61*1)/(E61*I61) * ((Dashboard!$B$5*12)/G61)^2)</f>
        <v>495.8861317082995</v>
      </c>
      <c r="N61">
        <f>MIN( IF(Dashboard!$B$5 &lt;= J61, L61, IF(Dashboard!$B$5 &lt;= K61, Dashboard!$B$9 * (L61 - (L61 - 0.7*Dashboard!$B$8*E61/12) * ((Dashboard!$B$5 - J61)/(K61 - J61))), M61 * E61 / 12) ), L61 )</f>
        <v>420.83333333333331</v>
      </c>
      <c r="O61">
        <f t="shared" si="0"/>
        <v>251.99600798403193</v>
      </c>
      <c r="P61" t="str">
        <f>IF(AND(O61 &gt;= Dashboard!$B$11, C61 &lt;= Dashboard!$B$6), "Pass", "Fail")</f>
        <v>Fail</v>
      </c>
      <c r="Q61">
        <f t="shared" si="1"/>
        <v>9999999</v>
      </c>
    </row>
    <row r="62" spans="1:17" x14ac:dyDescent="0.25">
      <c r="A62" t="s">
        <v>77</v>
      </c>
      <c r="B62">
        <v>50</v>
      </c>
      <c r="C62">
        <v>16.3</v>
      </c>
      <c r="D62">
        <v>92</v>
      </c>
      <c r="E62">
        <v>81</v>
      </c>
      <c r="F62">
        <v>1.59</v>
      </c>
      <c r="G62">
        <v>1.89</v>
      </c>
      <c r="H62">
        <v>1.52</v>
      </c>
      <c r="I62">
        <v>15.7</v>
      </c>
      <c r="J62">
        <f>1.76 * F62 * SQRT(29000 / Dashboard!$B$8) / 12</f>
        <v>5.6161997115487265</v>
      </c>
      <c r="K62">
        <f>1.95 * G62 * (29000 / (0.7 * Dashboard!$B$8)) / 12 * SQRT((H62*1)/(E62*I62) + SQRT(((H62*1)/(E62*I62))^2 + 6.76*((0.7*Dashboard!$B$8)/29000)^2))</f>
        <v>17.171146532563593</v>
      </c>
      <c r="L62">
        <f>Dashboard!$B$8 * D62 / 12</f>
        <v>383.33333333333331</v>
      </c>
      <c r="M62">
        <f>(Dashboard!$B$9 * PI()^2 * 29000 / ((Dashboard!$B$5*12)/G62)^2) * SQRT(1 + 0.078 * (H62*1)/(E62*I62) * ((Dashboard!$B$5*12)/G62)^2)</f>
        <v>456.89777157036389</v>
      </c>
      <c r="N62">
        <f>MIN( IF(Dashboard!$B$5 &lt;= J62, L62, IF(Dashboard!$B$5 &lt;= K62, Dashboard!$B$9 * (L62 - (L62 - 0.7*Dashboard!$B$8*E62/12) * ((Dashboard!$B$5 - J62)/(K62 - J62))), M62 * E62 / 12) ), L62 )</f>
        <v>383.33333333333331</v>
      </c>
      <c r="O62">
        <f t="shared" si="0"/>
        <v>229.54091816367264</v>
      </c>
      <c r="P62" t="str">
        <f>IF(AND(O62 &gt;= Dashboard!$B$11, C62 &lt;= Dashboard!$B$6), "Pass", "Fail")</f>
        <v>Fail</v>
      </c>
      <c r="Q62">
        <f t="shared" si="1"/>
        <v>9999999</v>
      </c>
    </row>
    <row r="63" spans="1:17" x14ac:dyDescent="0.25">
      <c r="A63" t="s">
        <v>78</v>
      </c>
      <c r="B63">
        <v>50</v>
      </c>
      <c r="C63">
        <v>12.2</v>
      </c>
      <c r="D63">
        <v>71.900000000000006</v>
      </c>
      <c r="E63">
        <v>64.2</v>
      </c>
      <c r="F63">
        <v>1.96</v>
      </c>
      <c r="G63">
        <v>2.25</v>
      </c>
      <c r="H63">
        <v>1.71</v>
      </c>
      <c r="I63">
        <v>11.6</v>
      </c>
      <c r="J63">
        <f>1.76 * F63 * SQRT(29000 / Dashboard!$B$8) / 12</f>
        <v>6.9231141098336506</v>
      </c>
      <c r="K63">
        <f>1.95 * G63 * (29000 / (0.7 * Dashboard!$B$8)) / 12 * SQRT((H63*1)/(E63*I63) + SQRT(((H63*1)/(E63*I63))^2 + 6.76*((0.7*Dashboard!$B$8)/29000)^2))</f>
        <v>23.824148787262541</v>
      </c>
      <c r="L63">
        <f>Dashboard!$B$8 * D63 / 12</f>
        <v>299.58333333333337</v>
      </c>
      <c r="M63">
        <f>(Dashboard!$B$9 * PI()^2 * 29000 / ((Dashboard!$B$5*12)/G63)^2) * SQRT(1 + 0.078 * (H63*1)/(E63*I63) * ((Dashboard!$B$5*12)/G63)^2)</f>
        <v>654.02708546424083</v>
      </c>
      <c r="N63">
        <f>MIN( IF(Dashboard!$B$5 &lt;= J63, L63, IF(Dashboard!$B$5 &lt;= K63, Dashboard!$B$9 * (L63 - (L63 - 0.7*Dashboard!$B$8*E63/12) * ((Dashboard!$B$5 - J63)/(K63 - J63))), M63 * E63 / 12) ), L63 )</f>
        <v>299.58333333333337</v>
      </c>
      <c r="O63">
        <f t="shared" si="0"/>
        <v>179.39121756487029</v>
      </c>
      <c r="P63" t="str">
        <f>IF(AND(O63 &gt;= Dashboard!$B$11, C63 &lt;= Dashboard!$B$6), "Pass", "Fail")</f>
        <v>Fail</v>
      </c>
      <c r="Q63">
        <f t="shared" si="1"/>
        <v>9999999</v>
      </c>
    </row>
    <row r="64" spans="1:17" x14ac:dyDescent="0.25">
      <c r="A64" t="s">
        <v>79</v>
      </c>
      <c r="B64">
        <v>53</v>
      </c>
      <c r="C64">
        <v>13.9</v>
      </c>
      <c r="D64">
        <v>87.1</v>
      </c>
      <c r="E64">
        <v>77.8</v>
      </c>
      <c r="F64">
        <v>1.92</v>
      </c>
      <c r="G64">
        <v>2.2200000000000002</v>
      </c>
      <c r="H64">
        <v>1.94</v>
      </c>
      <c r="I64">
        <v>13.2</v>
      </c>
      <c r="J64">
        <f>1.76 * F64 * SQRT(29000 / Dashboard!$B$8) / 12</f>
        <v>6.781826066775821</v>
      </c>
      <c r="K64">
        <f>1.95 * G64 * (29000 / (0.7 * Dashboard!$B$8)) / 12 * SQRT((H64*1)/(E64*I64) + SQRT(((H64*1)/(E64*I64))^2 + 6.76*((0.7*Dashboard!$B$8)/29000)^2))</f>
        <v>22.271585358386339</v>
      </c>
      <c r="L64">
        <f>Dashboard!$B$8 * D64 / 12</f>
        <v>362.91666666666669</v>
      </c>
      <c r="M64">
        <f>(Dashboard!$B$9 * PI()^2 * 29000 / ((Dashboard!$B$5*12)/G64)^2) * SQRT(1 + 0.078 * (H64*1)/(E64*I64) * ((Dashboard!$B$5*12)/G64)^2)</f>
        <v>632.97497001129557</v>
      </c>
      <c r="N64">
        <f>MIN( IF(Dashboard!$B$5 &lt;= J64, L64, IF(Dashboard!$B$5 &lt;= K64, Dashboard!$B$9 * (L64 - (L64 - 0.7*Dashboard!$B$8*E64/12) * ((Dashboard!$B$5 - J64)/(K64 - J64))), M64 * E64 / 12) ), L64 )</f>
        <v>362.91666666666669</v>
      </c>
      <c r="O64">
        <f t="shared" si="0"/>
        <v>217.31536926147706</v>
      </c>
      <c r="P64" t="str">
        <f>IF(AND(O64 &gt;= Dashboard!$B$11, C64 &lt;= Dashboard!$B$6), "Pass", "Fail")</f>
        <v>Fail</v>
      </c>
      <c r="Q64">
        <f t="shared" si="1"/>
        <v>9999999</v>
      </c>
    </row>
    <row r="65" spans="1:17" x14ac:dyDescent="0.25">
      <c r="A65" t="s">
        <v>80</v>
      </c>
      <c r="B65">
        <v>53</v>
      </c>
      <c r="C65">
        <v>12.1</v>
      </c>
      <c r="D65">
        <v>77.900000000000006</v>
      </c>
      <c r="E65">
        <v>70.599999999999994</v>
      </c>
      <c r="F65">
        <v>2.48</v>
      </c>
      <c r="G65">
        <v>2.79</v>
      </c>
      <c r="H65">
        <v>1.58</v>
      </c>
      <c r="I65">
        <v>11.5</v>
      </c>
      <c r="J65">
        <f>1.76 * F65 * SQRT(29000 / Dashboard!$B$8) / 12</f>
        <v>8.7598586695854355</v>
      </c>
      <c r="K65">
        <f>1.95 * G65 * (29000 / (0.7 * Dashboard!$B$8)) / 12 * SQRT((H65*1)/(E65*I65) + SQRT(((H65*1)/(E65*I65))^2 + 6.76*((0.7*Dashboard!$B$8)/29000)^2))</f>
        <v>28.2076582718711</v>
      </c>
      <c r="L65">
        <f>Dashboard!$B$8 * D65 / 12</f>
        <v>324.58333333333337</v>
      </c>
      <c r="M65">
        <f>(Dashboard!$B$9 * PI()^2 * 29000 / ((Dashboard!$B$5*12)/G65)^2) * SQRT(1 + 0.078 * (H65*1)/(E65*I65) * ((Dashboard!$B$5*12)/G65)^2)</f>
        <v>988.4779597892217</v>
      </c>
      <c r="N65">
        <f>MIN( IF(Dashboard!$B$5 &lt;= J65, L65, IF(Dashboard!$B$5 &lt;= K65, Dashboard!$B$9 * (L65 - (L65 - 0.7*Dashboard!$B$8*E65/12) * ((Dashboard!$B$5 - J65)/(K65 - J65))), M65 * E65 / 12) ), L65 )</f>
        <v>324.58333333333337</v>
      </c>
      <c r="O65">
        <f t="shared" si="0"/>
        <v>194.36127744510981</v>
      </c>
      <c r="P65" t="str">
        <f>IF(AND(O65 &gt;= Dashboard!$B$11, C65 &lt;= Dashboard!$B$6), "Pass", "Fail")</f>
        <v>Fail</v>
      </c>
      <c r="Q65">
        <f t="shared" si="1"/>
        <v>9999999</v>
      </c>
    </row>
    <row r="66" spans="1:17" x14ac:dyDescent="0.25">
      <c r="A66" t="s">
        <v>81</v>
      </c>
      <c r="B66">
        <v>54</v>
      </c>
      <c r="C66">
        <v>10.1</v>
      </c>
      <c r="D66">
        <v>66.599999999999994</v>
      </c>
      <c r="E66">
        <v>60</v>
      </c>
      <c r="F66">
        <v>2.56</v>
      </c>
      <c r="G66">
        <v>2.85</v>
      </c>
      <c r="H66">
        <v>1.82</v>
      </c>
      <c r="I66">
        <v>9.49</v>
      </c>
      <c r="J66">
        <f>1.76 * F66 * SQRT(29000 / Dashboard!$B$8) / 12</f>
        <v>9.0424347557010947</v>
      </c>
      <c r="K66">
        <f>1.95 * G66 * (29000 / (0.7 * Dashboard!$B$8)) / 12 * SQRT((H66*1)/(E66*I66) + SQRT(((H66*1)/(E66*I66))^2 + 6.76*((0.7*Dashboard!$B$8)/29000)^2))</f>
        <v>33.618852686823061</v>
      </c>
      <c r="L66">
        <f>Dashboard!$B$8 * D66 / 12</f>
        <v>277.49999999999994</v>
      </c>
      <c r="M66">
        <f>(Dashboard!$B$9 * PI()^2 * 29000 / ((Dashboard!$B$5*12)/G66)^2) * SQRT(1 + 0.078 * (H66*1)/(E66*I66) * ((Dashboard!$B$5*12)/G66)^2)</f>
        <v>1044.1019671797617</v>
      </c>
      <c r="N66">
        <f>MIN( IF(Dashboard!$B$5 &lt;= J66, L66, IF(Dashboard!$B$5 &lt;= K66, Dashboard!$B$9 * (L66 - (L66 - 0.7*Dashboard!$B$8*E66/12) * ((Dashboard!$B$5 - J66)/(K66 - J66))), M66 * E66 / 12) ), L66 )</f>
        <v>277.49999999999994</v>
      </c>
      <c r="O66">
        <f t="shared" ref="O66:O129" si="2">N66 / 1.67</f>
        <v>166.16766467065867</v>
      </c>
      <c r="P66" t="str">
        <f>IF(AND(O66 &gt;= Dashboard!$B$11, C66 &lt;= Dashboard!$B$6), "Pass", "Fail")</f>
        <v>Fail</v>
      </c>
      <c r="Q66">
        <f t="shared" ref="Q66:Q129" si="3">IF(P66="Pass", B66 + ROW()/100000, 9999999)</f>
        <v>9999999</v>
      </c>
    </row>
    <row r="67" spans="1:17" x14ac:dyDescent="0.25">
      <c r="A67" t="s">
        <v>82</v>
      </c>
      <c r="B67">
        <v>55</v>
      </c>
      <c r="C67">
        <v>23.6</v>
      </c>
      <c r="D67">
        <v>134</v>
      </c>
      <c r="E67">
        <v>114</v>
      </c>
      <c r="F67">
        <v>1.34</v>
      </c>
      <c r="G67">
        <v>1.72</v>
      </c>
      <c r="H67">
        <v>1.18</v>
      </c>
      <c r="I67">
        <v>23.1</v>
      </c>
      <c r="J67">
        <f>1.76 * F67 * SQRT(29000 / Dashboard!$B$8) / 12</f>
        <v>4.7331494424372922</v>
      </c>
      <c r="K67">
        <f>1.95 * G67 * (29000 / (0.7 * Dashboard!$B$8)) / 12 * SQRT((H67*1)/(E67*I67) + SQRT(((H67*1)/(E67*I67))^2 + 6.76*((0.7*Dashboard!$B$8)/29000)^2))</f>
        <v>13.929553738182237</v>
      </c>
      <c r="L67">
        <f>Dashboard!$B$8 * D67 / 12</f>
        <v>558.33333333333337</v>
      </c>
      <c r="M67">
        <f>(Dashboard!$B$9 * PI()^2 * 29000 / ((Dashboard!$B$5*12)/G67)^2) * SQRT(1 + 0.078 * (H67*1)/(E67*I67) * ((Dashboard!$B$5*12)/G67)^2)</f>
        <v>372.48077224391147</v>
      </c>
      <c r="N67">
        <f>MIN( IF(Dashboard!$B$5 &lt;= J67, L67, IF(Dashboard!$B$5 &lt;= K67, Dashboard!$B$9 * (L67 - (L67 - 0.7*Dashboard!$B$8*E67/12) * ((Dashboard!$B$5 - J67)/(K67 - J67))), M67 * E67 / 12) ), L67 )</f>
        <v>558.33333333333337</v>
      </c>
      <c r="O67">
        <f t="shared" si="2"/>
        <v>334.33133732534935</v>
      </c>
      <c r="P67" t="str">
        <f>IF(AND(O67 &gt;= Dashboard!$B$11, C67 &lt;= Dashboard!$B$6), "Pass", "Fail")</f>
        <v>Fail</v>
      </c>
      <c r="Q67">
        <f t="shared" si="3"/>
        <v>9999999</v>
      </c>
    </row>
    <row r="68" spans="1:17" x14ac:dyDescent="0.25">
      <c r="A68" t="s">
        <v>83</v>
      </c>
      <c r="B68">
        <v>55</v>
      </c>
      <c r="C68">
        <v>20.8</v>
      </c>
      <c r="D68">
        <v>126</v>
      </c>
      <c r="E68">
        <v>110</v>
      </c>
      <c r="F68">
        <v>1.73</v>
      </c>
      <c r="G68">
        <v>2.11</v>
      </c>
      <c r="H68">
        <v>1.24</v>
      </c>
      <c r="I68">
        <v>20.3</v>
      </c>
      <c r="J68">
        <f>1.76 * F68 * SQRT(29000 / Dashboard!$B$8) / 12</f>
        <v>6.1107078622511297</v>
      </c>
      <c r="K68">
        <f>1.95 * G68 * (29000 / (0.7 * Dashboard!$B$8)) / 12 * SQRT((H68*1)/(E68*I68) + SQRT(((H68*1)/(E68*I68))^2 + 6.76*((0.7*Dashboard!$B$8)/29000)^2))</f>
        <v>17.378701698886978</v>
      </c>
      <c r="L68">
        <f>Dashboard!$B$8 * D68 / 12</f>
        <v>525</v>
      </c>
      <c r="M68">
        <f>(Dashboard!$B$9 * PI()^2 * 29000 / ((Dashboard!$B$5*12)/G68)^2) * SQRT(1 + 0.078 * (H68*1)/(E68*I68) * ((Dashboard!$B$5*12)/G68)^2)</f>
        <v>559.23437062649862</v>
      </c>
      <c r="N68">
        <f>MIN( IF(Dashboard!$B$5 &lt;= J68, L68, IF(Dashboard!$B$5 &lt;= K68, Dashboard!$B$9 * (L68 - (L68 - 0.7*Dashboard!$B$8*E68/12) * ((Dashboard!$B$5 - J68)/(K68 - J68))), M68 * E68 / 12) ), L68 )</f>
        <v>525</v>
      </c>
      <c r="O68">
        <f t="shared" si="2"/>
        <v>314.37125748502996</v>
      </c>
      <c r="P68" t="str">
        <f>IF(AND(O68 &gt;= Dashboard!$B$11, C68 &lt;= Dashboard!$B$6), "Pass", "Fail")</f>
        <v>Fail</v>
      </c>
      <c r="Q68">
        <f t="shared" si="3"/>
        <v>9999999</v>
      </c>
    </row>
    <row r="69" spans="1:17" x14ac:dyDescent="0.25">
      <c r="A69" t="s">
        <v>84</v>
      </c>
      <c r="B69">
        <v>55</v>
      </c>
      <c r="C69">
        <v>18.100000000000001</v>
      </c>
      <c r="D69">
        <v>112</v>
      </c>
      <c r="E69">
        <v>98.3</v>
      </c>
      <c r="F69">
        <v>1.67</v>
      </c>
      <c r="G69">
        <v>2</v>
      </c>
      <c r="H69">
        <v>1.66</v>
      </c>
      <c r="I69">
        <v>17.5</v>
      </c>
      <c r="J69">
        <f>1.76 * F69 * SQRT(29000 / Dashboard!$B$8) / 12</f>
        <v>5.8987757976643858</v>
      </c>
      <c r="K69">
        <f>1.95 * G69 * (29000 / (0.7 * Dashboard!$B$8)) / 12 * SQRT((H69*1)/(E69*I69) + SQRT(((H69*1)/(E69*I69))^2 + 6.76*((0.7*Dashboard!$B$8)/29000)^2))</f>
        <v>17.551005980417671</v>
      </c>
      <c r="L69">
        <f>Dashboard!$B$8 * D69 / 12</f>
        <v>466.66666666666669</v>
      </c>
      <c r="M69">
        <f>(Dashboard!$B$9 * PI()^2 * 29000 / ((Dashboard!$B$5*12)/G69)^2) * SQRT(1 + 0.078 * (H69*1)/(E69*I69) * ((Dashboard!$B$5*12)/G69)^2)</f>
        <v>507.56444806069192</v>
      </c>
      <c r="N69">
        <f>MIN( IF(Dashboard!$B$5 &lt;= J69, L69, IF(Dashboard!$B$5 &lt;= K69, Dashboard!$B$9 * (L69 - (L69 - 0.7*Dashboard!$B$8*E69/12) * ((Dashboard!$B$5 - J69)/(K69 - J69))), M69 * E69 / 12) ), L69 )</f>
        <v>466.66666666666669</v>
      </c>
      <c r="O69">
        <f t="shared" si="2"/>
        <v>279.44111776447107</v>
      </c>
      <c r="P69" t="str">
        <f>IF(AND(O69 &gt;= Dashboard!$B$11, C69 &lt;= Dashboard!$B$6), "Pass", "Fail")</f>
        <v>Fail</v>
      </c>
      <c r="Q69">
        <f t="shared" si="3"/>
        <v>9999999</v>
      </c>
    </row>
    <row r="70" spans="1:17" x14ac:dyDescent="0.25">
      <c r="A70" t="s">
        <v>85</v>
      </c>
      <c r="B70">
        <v>57</v>
      </c>
      <c r="C70">
        <v>21.1</v>
      </c>
      <c r="D70">
        <v>129</v>
      </c>
      <c r="E70">
        <v>111</v>
      </c>
      <c r="F70">
        <v>1.35</v>
      </c>
      <c r="G70">
        <v>1.68</v>
      </c>
      <c r="H70">
        <v>1.77</v>
      </c>
      <c r="I70">
        <v>20.5</v>
      </c>
      <c r="J70">
        <f>1.76 * F70 * SQRT(29000 / Dashboard!$B$8) / 12</f>
        <v>4.7684714532017498</v>
      </c>
      <c r="K70">
        <f>1.95 * G70 * (29000 / (0.7 * Dashboard!$B$8)) / 12 * SQRT((H70*1)/(E70*I70) + SQRT(((H70*1)/(E70*I70))^2 + 6.76*((0.7*Dashboard!$B$8)/29000)^2))</f>
        <v>14.325362736288284</v>
      </c>
      <c r="L70">
        <f>Dashboard!$B$8 * D70 / 12</f>
        <v>537.5</v>
      </c>
      <c r="M70">
        <f>(Dashboard!$B$9 * PI()^2 * 29000 / ((Dashboard!$B$5*12)/G70)^2) * SQRT(1 + 0.078 * (H70*1)/(E70*I70) * ((Dashboard!$B$5*12)/G70)^2)</f>
        <v>359.1955475086242</v>
      </c>
      <c r="N70">
        <f>MIN( IF(Dashboard!$B$5 &lt;= J70, L70, IF(Dashboard!$B$5 &lt;= K70, Dashboard!$B$9 * (L70 - (L70 - 0.7*Dashboard!$B$8*E70/12) * ((Dashboard!$B$5 - J70)/(K70 - J70))), M70 * E70 / 12) ), L70 )</f>
        <v>537.5</v>
      </c>
      <c r="O70">
        <f t="shared" si="2"/>
        <v>321.85628742514973</v>
      </c>
      <c r="P70" t="str">
        <f>IF(AND(O70 &gt;= Dashboard!$B$11, C70 &lt;= Dashboard!$B$6), "Pass", "Fail")</f>
        <v>Fail</v>
      </c>
      <c r="Q70">
        <f t="shared" si="3"/>
        <v>9999999</v>
      </c>
    </row>
    <row r="71" spans="1:17" x14ac:dyDescent="0.25">
      <c r="A71" t="s">
        <v>86</v>
      </c>
      <c r="B71">
        <v>57</v>
      </c>
      <c r="C71">
        <v>16.399999999999999</v>
      </c>
      <c r="D71">
        <v>105</v>
      </c>
      <c r="E71">
        <v>92.2</v>
      </c>
      <c r="F71">
        <v>1.6</v>
      </c>
      <c r="G71">
        <v>1.92</v>
      </c>
      <c r="H71">
        <v>2.2200000000000002</v>
      </c>
      <c r="I71">
        <v>15.7</v>
      </c>
      <c r="J71">
        <f>1.76 * F71 * SQRT(29000 / Dashboard!$B$8) / 12</f>
        <v>5.6515217223131842</v>
      </c>
      <c r="K71">
        <f>1.95 * G71 * (29000 / (0.7 * Dashboard!$B$8)) / 12 * SQRT((H71*1)/(E71*I71) + SQRT(((H71*1)/(E71*I71))^2 + 6.76*((0.7*Dashboard!$B$8)/29000)^2))</f>
        <v>18.327720665489036</v>
      </c>
      <c r="L71">
        <f>Dashboard!$B$8 * D71 / 12</f>
        <v>437.5</v>
      </c>
      <c r="M71">
        <f>(Dashboard!$B$9 * PI()^2 * 29000 / ((Dashboard!$B$5*12)/G71)^2) * SQRT(1 + 0.078 * (H71*1)/(E71*I71) * ((Dashboard!$B$5*12)/G71)^2)</f>
        <v>474.76034601076486</v>
      </c>
      <c r="N71">
        <f>MIN( IF(Dashboard!$B$5 &lt;= J71, L71, IF(Dashboard!$B$5 &lt;= K71, Dashboard!$B$9 * (L71 - (L71 - 0.7*Dashboard!$B$8*E71/12) * ((Dashboard!$B$5 - J71)/(K71 - J71))), M71 * E71 / 12) ), L71 )</f>
        <v>437.5</v>
      </c>
      <c r="O71">
        <f t="shared" si="2"/>
        <v>261.9760479041916</v>
      </c>
      <c r="P71" t="str">
        <f>IF(AND(O71 &gt;= Dashboard!$B$11, C71 &lt;= Dashboard!$B$6), "Pass", "Fail")</f>
        <v>Fail</v>
      </c>
      <c r="Q71">
        <f t="shared" si="3"/>
        <v>9999999</v>
      </c>
    </row>
    <row r="72" spans="1:17" x14ac:dyDescent="0.25">
      <c r="A72" t="s">
        <v>87</v>
      </c>
      <c r="B72">
        <v>58</v>
      </c>
      <c r="C72">
        <v>12.2</v>
      </c>
      <c r="D72">
        <v>86.4</v>
      </c>
      <c r="E72">
        <v>78</v>
      </c>
      <c r="F72">
        <v>2.5099999999999998</v>
      </c>
      <c r="G72">
        <v>2.81</v>
      </c>
      <c r="H72">
        <v>2.1</v>
      </c>
      <c r="I72">
        <v>11.6</v>
      </c>
      <c r="J72">
        <f>1.76 * F72 * SQRT(29000 / Dashboard!$B$8) / 12</f>
        <v>8.8658247018788057</v>
      </c>
      <c r="K72">
        <f>1.95 * G72 * (29000 / (0.7 * Dashboard!$B$8)) / 12 * SQRT((H72*1)/(E72*I72) + SQRT(((H72*1)/(E72*I72))^2 + 6.76*((0.7*Dashboard!$B$8)/29000)^2))</f>
        <v>29.848534211741704</v>
      </c>
      <c r="L72">
        <f>Dashboard!$B$8 * D72 / 12</f>
        <v>360</v>
      </c>
      <c r="M72">
        <f>(Dashboard!$B$9 * PI()^2 * 29000 / ((Dashboard!$B$5*12)/G72)^2) * SQRT(1 + 0.078 * (H72*1)/(E72*I72) * ((Dashboard!$B$5*12)/G72)^2)</f>
        <v>1006.481491638062</v>
      </c>
      <c r="N72">
        <f>MIN( IF(Dashboard!$B$5 &lt;= J72, L72, IF(Dashboard!$B$5 &lt;= K72, Dashboard!$B$9 * (L72 - (L72 - 0.7*Dashboard!$B$8*E72/12) * ((Dashboard!$B$5 - J72)/(K72 - J72))), M72 * E72 / 12) ), L72 )</f>
        <v>360</v>
      </c>
      <c r="O72">
        <f t="shared" si="2"/>
        <v>215.56886227544911</v>
      </c>
      <c r="P72" t="str">
        <f>IF(AND(O72 &gt;= Dashboard!$B$11, C72 &lt;= Dashboard!$B$6), "Pass", "Fail")</f>
        <v>Fail</v>
      </c>
      <c r="Q72">
        <f t="shared" si="3"/>
        <v>9999999</v>
      </c>
    </row>
    <row r="73" spans="1:17" x14ac:dyDescent="0.25">
      <c r="A73" t="s">
        <v>88</v>
      </c>
      <c r="B73">
        <v>58</v>
      </c>
      <c r="C73">
        <v>8.75</v>
      </c>
      <c r="D73">
        <v>59.8</v>
      </c>
      <c r="E73">
        <v>52</v>
      </c>
      <c r="F73">
        <v>2.1</v>
      </c>
      <c r="G73">
        <v>2.39</v>
      </c>
      <c r="H73">
        <v>3.33</v>
      </c>
      <c r="I73">
        <v>7.94</v>
      </c>
      <c r="J73">
        <f>1.76 * F73 * SQRT(29000 / Dashboard!$B$8) / 12</f>
        <v>7.4176222605360538</v>
      </c>
      <c r="K73">
        <f>1.95 * G73 * (29000 / (0.7 * Dashboard!$B$8)) / 12 * SQRT((H73*1)/(E73*I73) + SQRT(((H73*1)/(E73*I73))^2 + 6.76*((0.7*Dashboard!$B$8)/29000)^2))</f>
        <v>41.609564598517203</v>
      </c>
      <c r="L73">
        <f>Dashboard!$B$8 * D73 / 12</f>
        <v>249.16666666666666</v>
      </c>
      <c r="M73">
        <f>(Dashboard!$B$9 * PI()^2 * 29000 / ((Dashboard!$B$5*12)/G73)^2) * SQRT(1 + 0.078 * (H73*1)/(E73*I73) * ((Dashboard!$B$5*12)/G73)^2)</f>
        <v>794.54060989224263</v>
      </c>
      <c r="N73">
        <f>MIN( IF(Dashboard!$B$5 &lt;= J73, L73, IF(Dashboard!$B$5 &lt;= K73, Dashboard!$B$9 * (L73 - (L73 - 0.7*Dashboard!$B$8*E73/12) * ((Dashboard!$B$5 - J73)/(K73 - J73))), M73 * E73 / 12) ), L73 )</f>
        <v>249.16666666666666</v>
      </c>
      <c r="O73">
        <f t="shared" si="2"/>
        <v>149.20159680638722</v>
      </c>
      <c r="P73" t="str">
        <f>IF(AND(O73 &gt;= Dashboard!$B$11, C73 &lt;= Dashboard!$B$6), "Pass", "Fail")</f>
        <v>Fail</v>
      </c>
      <c r="Q73">
        <f t="shared" si="3"/>
        <v>9999999</v>
      </c>
    </row>
    <row r="74" spans="1:17" x14ac:dyDescent="0.25">
      <c r="A74" t="s">
        <v>89</v>
      </c>
      <c r="B74">
        <v>60</v>
      </c>
      <c r="C74">
        <v>18.2</v>
      </c>
      <c r="D74">
        <v>123</v>
      </c>
      <c r="E74">
        <v>108</v>
      </c>
      <c r="F74">
        <v>1.68</v>
      </c>
      <c r="G74">
        <v>2.02</v>
      </c>
      <c r="H74">
        <v>2.17</v>
      </c>
      <c r="I74">
        <v>17.5</v>
      </c>
      <c r="J74">
        <f>1.76 * F74 * SQRT(29000 / Dashboard!$B$8) / 12</f>
        <v>5.9340978084288425</v>
      </c>
      <c r="K74">
        <f>1.95 * G74 * (29000 / (0.7 * Dashboard!$B$8)) / 12 * SQRT((H74*1)/(E74*I74) + SQRT(((H74*1)/(E74*I74))^2 + 6.76*((0.7*Dashboard!$B$8)/29000)^2))</f>
        <v>18.223646874236881</v>
      </c>
      <c r="L74">
        <f>Dashboard!$B$8 * D74 / 12</f>
        <v>512.5</v>
      </c>
      <c r="M74">
        <f>(Dashboard!$B$9 * PI()^2 * 29000 / ((Dashboard!$B$5*12)/G74)^2) * SQRT(1 + 0.078 * (H74*1)/(E74*I74) * ((Dashboard!$B$5*12)/G74)^2)</f>
        <v>519.55317968852705</v>
      </c>
      <c r="N74">
        <f>MIN( IF(Dashboard!$B$5 &lt;= J74, L74, IF(Dashboard!$B$5 &lt;= K74, Dashboard!$B$9 * (L74 - (L74 - 0.7*Dashboard!$B$8*E74/12) * ((Dashboard!$B$5 - J74)/(K74 - J74))), M74 * E74 / 12) ), L74 )</f>
        <v>512.5</v>
      </c>
      <c r="O74">
        <f t="shared" si="2"/>
        <v>306.88622754491018</v>
      </c>
      <c r="P74" t="str">
        <f>IF(AND(O74 &gt;= Dashboard!$B$11, C74 &lt;= Dashboard!$B$6), "Pass", "Fail")</f>
        <v>Fail</v>
      </c>
      <c r="Q74">
        <f t="shared" si="3"/>
        <v>9999999</v>
      </c>
    </row>
    <row r="75" spans="1:17" x14ac:dyDescent="0.25">
      <c r="A75" t="s">
        <v>90</v>
      </c>
      <c r="B75">
        <v>60</v>
      </c>
      <c r="C75">
        <v>10.199999999999999</v>
      </c>
      <c r="D75">
        <v>74.599999999999994</v>
      </c>
      <c r="E75">
        <v>66.7</v>
      </c>
      <c r="F75">
        <v>2.57</v>
      </c>
      <c r="G75">
        <v>2.88</v>
      </c>
      <c r="H75">
        <v>2.48</v>
      </c>
      <c r="I75">
        <v>9.52</v>
      </c>
      <c r="J75">
        <f>1.76 * F75 * SQRT(29000 / Dashboard!$B$8) / 12</f>
        <v>9.0777567664655532</v>
      </c>
      <c r="K75">
        <f>1.95 * G75 * (29000 / (0.7 * Dashboard!$B$8)) / 12 * SQRT((H75*1)/(E75*I75) + SQRT(((H75*1)/(E75*I75))^2 + 6.76*((0.7*Dashboard!$B$8)/29000)^2))</f>
        <v>36.614413197194445</v>
      </c>
      <c r="L75">
        <f>Dashboard!$B$8 * D75 / 12</f>
        <v>310.83333333333331</v>
      </c>
      <c r="M75">
        <f>(Dashboard!$B$9 * PI()^2 * 29000 / ((Dashboard!$B$5*12)/G75)^2) * SQRT(1 + 0.078 * (H75*1)/(E75*I75) * ((Dashboard!$B$5*12)/G75)^2)</f>
        <v>1073.0979359632847</v>
      </c>
      <c r="N75">
        <f>MIN( IF(Dashboard!$B$5 &lt;= J75, L75, IF(Dashboard!$B$5 &lt;= K75, Dashboard!$B$9 * (L75 - (L75 - 0.7*Dashboard!$B$8*E75/12) * ((Dashboard!$B$5 - J75)/(K75 - J75))), M75 * E75 / 12) ), L75 )</f>
        <v>310.83333333333331</v>
      </c>
      <c r="O75">
        <f t="shared" si="2"/>
        <v>186.12774451097803</v>
      </c>
      <c r="P75" t="str">
        <f>IF(AND(O75 &gt;= Dashboard!$B$11, C75 &lt;= Dashboard!$B$6), "Pass", "Fail")</f>
        <v>Fail</v>
      </c>
      <c r="Q75">
        <f t="shared" si="3"/>
        <v>9999999</v>
      </c>
    </row>
    <row r="76" spans="1:17" x14ac:dyDescent="0.25">
      <c r="A76" t="s">
        <v>91</v>
      </c>
      <c r="B76">
        <v>61</v>
      </c>
      <c r="C76">
        <v>13.9</v>
      </c>
      <c r="D76">
        <v>102</v>
      </c>
      <c r="E76">
        <v>92.1</v>
      </c>
      <c r="F76">
        <v>2.4500000000000002</v>
      </c>
      <c r="G76">
        <v>2.78</v>
      </c>
      <c r="H76">
        <v>2.19</v>
      </c>
      <c r="I76">
        <v>13.3</v>
      </c>
      <c r="J76">
        <f>1.76 * F76 * SQRT(29000 / Dashboard!$B$8) / 12</f>
        <v>8.6538926372920635</v>
      </c>
      <c r="K76">
        <f>1.95 * G76 * (29000 / (0.7 * Dashboard!$B$8)) / 12 * SQRT((H76*1)/(E76*I76) + SQRT(((H76*1)/(E76*I76))^2 + 6.76*((0.7*Dashboard!$B$8)/29000)^2))</f>
        <v>27.504247902690835</v>
      </c>
      <c r="L76">
        <f>Dashboard!$B$8 * D76 / 12</f>
        <v>425</v>
      </c>
      <c r="M76">
        <f>(Dashboard!$B$9 * PI()^2 * 29000 / ((Dashboard!$B$5*12)/G76)^2) * SQRT(1 + 0.078 * (H76*1)/(E76*I76) * ((Dashboard!$B$5*12)/G76)^2)</f>
        <v>979.82811303164397</v>
      </c>
      <c r="N76">
        <f>MIN( IF(Dashboard!$B$5 &lt;= J76, L76, IF(Dashboard!$B$5 &lt;= K76, Dashboard!$B$9 * (L76 - (L76 - 0.7*Dashboard!$B$8*E76/12) * ((Dashboard!$B$5 - J76)/(K76 - J76))), M76 * E76 / 12) ), L76 )</f>
        <v>425</v>
      </c>
      <c r="O76">
        <f t="shared" si="2"/>
        <v>254.49101796407186</v>
      </c>
      <c r="P76" t="str">
        <f>IF(AND(O76 &gt;= Dashboard!$B$11, C76 &lt;= Dashboard!$B$6), "Pass", "Fail")</f>
        <v>Fail</v>
      </c>
      <c r="Q76">
        <f t="shared" si="3"/>
        <v>9999999</v>
      </c>
    </row>
    <row r="77" spans="1:17" x14ac:dyDescent="0.25">
      <c r="A77" t="s">
        <v>92</v>
      </c>
      <c r="B77">
        <v>62</v>
      </c>
      <c r="C77">
        <v>23.7</v>
      </c>
      <c r="D77">
        <v>153</v>
      </c>
      <c r="E77">
        <v>131</v>
      </c>
      <c r="F77">
        <v>1.38</v>
      </c>
      <c r="G77">
        <v>1.75</v>
      </c>
      <c r="H77">
        <v>1.71</v>
      </c>
      <c r="I77">
        <v>23.1</v>
      </c>
      <c r="J77">
        <f>1.76 * F77 * SQRT(29000 / Dashboard!$B$8) / 12</f>
        <v>4.8744374854951209</v>
      </c>
      <c r="K77">
        <f>1.95 * G77 * (29000 / (0.7 * Dashboard!$B$8)) / 12 * SQRT((H77*1)/(E77*I77) + SQRT(((H77*1)/(E77*I77))^2 + 6.76*((0.7*Dashboard!$B$8)/29000)^2))</f>
        <v>14.435737225521413</v>
      </c>
      <c r="L77">
        <f>Dashboard!$B$8 * D77 / 12</f>
        <v>637.5</v>
      </c>
      <c r="M77">
        <f>(Dashboard!$B$9 * PI()^2 * 29000 / ((Dashboard!$B$5*12)/G77)^2) * SQRT(1 + 0.078 * (H77*1)/(E77*I77) * ((Dashboard!$B$5*12)/G77)^2)</f>
        <v>386.70086752159671</v>
      </c>
      <c r="N77">
        <f>MIN( IF(Dashboard!$B$5 &lt;= J77, L77, IF(Dashboard!$B$5 &lt;= K77, Dashboard!$B$9 * (L77 - (L77 - 0.7*Dashboard!$B$8*E77/12) * ((Dashboard!$B$5 - J77)/(K77 - J77))), M77 * E77 / 12) ), L77 )</f>
        <v>637.5</v>
      </c>
      <c r="O77">
        <f t="shared" si="2"/>
        <v>381.7365269461078</v>
      </c>
      <c r="P77" t="str">
        <f>IF(AND(O77 &gt;= Dashboard!$B$11, C77 &lt;= Dashboard!$B$6), "Pass", "Fail")</f>
        <v>Fail</v>
      </c>
      <c r="Q77">
        <f t="shared" si="3"/>
        <v>9999999</v>
      </c>
    </row>
    <row r="78" spans="1:17" x14ac:dyDescent="0.25">
      <c r="A78" t="s">
        <v>93</v>
      </c>
      <c r="B78">
        <v>62</v>
      </c>
      <c r="C78">
        <v>21</v>
      </c>
      <c r="D78">
        <v>144</v>
      </c>
      <c r="E78">
        <v>127</v>
      </c>
      <c r="F78">
        <v>1.77</v>
      </c>
      <c r="G78">
        <v>2.15</v>
      </c>
      <c r="H78">
        <v>1.83</v>
      </c>
      <c r="I78">
        <v>20.399999999999999</v>
      </c>
      <c r="J78">
        <f>1.76 * F78 * SQRT(29000 / Dashboard!$B$8) / 12</f>
        <v>6.2519959053089602</v>
      </c>
      <c r="K78">
        <f>1.95 * G78 * (29000 / (0.7 * Dashboard!$B$8)) / 12 * SQRT((H78*1)/(E78*I78) + SQRT(((H78*1)/(E78*I78))^2 + 6.76*((0.7*Dashboard!$B$8)/29000)^2))</f>
        <v>18.130904985921457</v>
      </c>
      <c r="L78">
        <f>Dashboard!$B$8 * D78 / 12</f>
        <v>600</v>
      </c>
      <c r="M78">
        <f>(Dashboard!$B$9 * PI()^2 * 29000 / ((Dashboard!$B$5*12)/G78)^2) * SQRT(1 + 0.078 * (H78*1)/(E78*I78) * ((Dashboard!$B$5*12)/G78)^2)</f>
        <v>582.06954252396883</v>
      </c>
      <c r="N78">
        <f>MIN( IF(Dashboard!$B$5 &lt;= J78, L78, IF(Dashboard!$B$5 &lt;= K78, Dashboard!$B$9 * (L78 - (L78 - 0.7*Dashboard!$B$8*E78/12) * ((Dashboard!$B$5 - J78)/(K78 - J78))), M78 * E78 / 12) ), L78 )</f>
        <v>600</v>
      </c>
      <c r="O78">
        <f t="shared" si="2"/>
        <v>359.28143712574854</v>
      </c>
      <c r="P78" t="str">
        <f>IF(AND(O78 &gt;= Dashboard!$B$11, C78 &lt;= Dashboard!$B$6), "Pass", "Fail")</f>
        <v>Fail</v>
      </c>
      <c r="Q78">
        <f t="shared" si="3"/>
        <v>9999999</v>
      </c>
    </row>
    <row r="79" spans="1:17" x14ac:dyDescent="0.25">
      <c r="A79" t="s">
        <v>94</v>
      </c>
      <c r="B79">
        <v>65</v>
      </c>
      <c r="C79">
        <v>18.399999999999999</v>
      </c>
      <c r="D79">
        <v>133</v>
      </c>
      <c r="E79">
        <v>117</v>
      </c>
      <c r="F79">
        <v>1.69</v>
      </c>
      <c r="G79">
        <v>2.0299999999999998</v>
      </c>
      <c r="H79">
        <v>2.73</v>
      </c>
      <c r="I79">
        <v>17.7</v>
      </c>
      <c r="J79">
        <f>1.76 * F79 * SQRT(29000 / Dashboard!$B$8) / 12</f>
        <v>5.969419819193301</v>
      </c>
      <c r="K79">
        <f>1.95 * G79 * (29000 / (0.7 * Dashboard!$B$8)) / 12 * SQRT((H79*1)/(E79*I79) + SQRT(((H79*1)/(E79*I79))^2 + 6.76*((0.7*Dashboard!$B$8)/29000)^2))</f>
        <v>18.781743041749262</v>
      </c>
      <c r="L79">
        <f>Dashboard!$B$8 * D79 / 12</f>
        <v>554.16666666666663</v>
      </c>
      <c r="M79">
        <f>(Dashboard!$B$9 * PI()^2 * 29000 / ((Dashboard!$B$5*12)/G79)^2) * SQRT(1 + 0.078 * (H79*1)/(E79*I79) * ((Dashboard!$B$5*12)/G79)^2)</f>
        <v>526.43575202168392</v>
      </c>
      <c r="N79">
        <f>MIN( IF(Dashboard!$B$5 &lt;= J79, L79, IF(Dashboard!$B$5 &lt;= K79, Dashboard!$B$9 * (L79 - (L79 - 0.7*Dashboard!$B$8*E79/12) * ((Dashboard!$B$5 - J79)/(K79 - J79))), M79 * E79 / 12) ), L79 )</f>
        <v>554.16666666666663</v>
      </c>
      <c r="O79">
        <f t="shared" si="2"/>
        <v>331.83632734530937</v>
      </c>
      <c r="P79" t="str">
        <f>IF(AND(O79 &gt;= Dashboard!$B$11, C79 &lt;= Dashboard!$B$6), "Pass", "Fail")</f>
        <v>Fail</v>
      </c>
      <c r="Q79">
        <f t="shared" si="3"/>
        <v>9999999</v>
      </c>
    </row>
    <row r="80" spans="1:17" x14ac:dyDescent="0.25">
      <c r="A80" t="s">
        <v>95</v>
      </c>
      <c r="B80">
        <v>65</v>
      </c>
      <c r="C80">
        <v>12.1</v>
      </c>
      <c r="D80">
        <v>96.8</v>
      </c>
      <c r="E80">
        <v>87.9</v>
      </c>
      <c r="F80">
        <v>3.02</v>
      </c>
      <c r="G80">
        <v>3.38</v>
      </c>
      <c r="H80">
        <v>2.1800000000000002</v>
      </c>
      <c r="I80">
        <v>11.5</v>
      </c>
      <c r="J80">
        <f>1.76 * F80 * SQRT(29000 / Dashboard!$B$8) / 12</f>
        <v>10.667247250866135</v>
      </c>
      <c r="K80">
        <f>1.95 * G80 * (29000 / (0.7 * Dashboard!$B$8)) / 12 * SQRT((H80*1)/(E80*I80) + SQRT(((H80*1)/(E80*I80))^2 + 6.76*((0.7*Dashboard!$B$8)/29000)^2))</f>
        <v>35.145911847442072</v>
      </c>
      <c r="L80">
        <f>Dashboard!$B$8 * D80 / 12</f>
        <v>403.33333333333331</v>
      </c>
      <c r="M80">
        <f>(Dashboard!$B$9 * PI()^2 * 29000 / ((Dashboard!$B$5*12)/G80)^2) * SQRT(1 + 0.078 * (H80*1)/(E80*I80) * ((Dashboard!$B$5*12)/G80)^2)</f>
        <v>1443.0888872921589</v>
      </c>
      <c r="N80">
        <f>MIN( IF(Dashboard!$B$5 &lt;= J80, L80, IF(Dashboard!$B$5 &lt;= K80, Dashboard!$B$9 * (L80 - (L80 - 0.7*Dashboard!$B$8*E80/12) * ((Dashboard!$B$5 - J80)/(K80 - J80))), M80 * E80 / 12) ), L80 )</f>
        <v>403.33333333333331</v>
      </c>
      <c r="O80">
        <f t="shared" si="2"/>
        <v>241.51696606786427</v>
      </c>
      <c r="P80" t="str">
        <f>IF(AND(O80 &gt;= Dashboard!$B$11, C80 &lt;= Dashboard!$B$6), "Pass", "Fail")</f>
        <v>Fail</v>
      </c>
      <c r="Q80">
        <f t="shared" si="3"/>
        <v>9999999</v>
      </c>
    </row>
    <row r="81" spans="1:17" x14ac:dyDescent="0.25">
      <c r="A81" t="s">
        <v>96</v>
      </c>
      <c r="B81">
        <v>67</v>
      </c>
      <c r="C81">
        <v>16.3</v>
      </c>
      <c r="D81">
        <v>130</v>
      </c>
      <c r="E81">
        <v>117</v>
      </c>
      <c r="F81">
        <v>2.46</v>
      </c>
      <c r="G81">
        <v>2.82</v>
      </c>
      <c r="H81">
        <v>2.39</v>
      </c>
      <c r="I81">
        <v>15.6</v>
      </c>
      <c r="J81">
        <f>1.76 * F81 * SQRT(29000 / Dashboard!$B$8) / 12</f>
        <v>8.689214648056522</v>
      </c>
      <c r="K81">
        <f>1.95 * G81 * (29000 / (0.7 * Dashboard!$B$8)) / 12 * SQRT((H81*1)/(E81*I81) + SQRT(((H81*1)/(E81*I81))^2 + 6.76*((0.7*Dashboard!$B$8)/29000)^2))</f>
        <v>26.05708633371421</v>
      </c>
      <c r="L81">
        <f>Dashboard!$B$8 * D81 / 12</f>
        <v>541.66666666666663</v>
      </c>
      <c r="M81">
        <f>(Dashboard!$B$9 * PI()^2 * 29000 / ((Dashboard!$B$5*12)/G81)^2) * SQRT(1 + 0.078 * (H81*1)/(E81*I81) * ((Dashboard!$B$5*12)/G81)^2)</f>
        <v>1002.4112906291639</v>
      </c>
      <c r="N81">
        <f>MIN( IF(Dashboard!$B$5 &lt;= J81, L81, IF(Dashboard!$B$5 &lt;= K81, Dashboard!$B$9 * (L81 - (L81 - 0.7*Dashboard!$B$8*E81/12) * ((Dashboard!$B$5 - J81)/(K81 - J81))), M81 * E81 / 12) ), L81 )</f>
        <v>541.66666666666663</v>
      </c>
      <c r="O81">
        <f t="shared" si="2"/>
        <v>324.3512974051896</v>
      </c>
      <c r="P81" t="str">
        <f>IF(AND(O81 &gt;= Dashboard!$B$11, C81 &lt;= Dashboard!$B$6), "Pass", "Fail")</f>
        <v>Fail</v>
      </c>
      <c r="Q81">
        <f t="shared" si="3"/>
        <v>9999999</v>
      </c>
    </row>
    <row r="82" spans="1:17" x14ac:dyDescent="0.25">
      <c r="A82" t="s">
        <v>97</v>
      </c>
      <c r="B82">
        <v>67</v>
      </c>
      <c r="C82">
        <v>9</v>
      </c>
      <c r="D82">
        <v>70.099999999999994</v>
      </c>
      <c r="E82">
        <v>60.4</v>
      </c>
      <c r="F82">
        <v>2.12</v>
      </c>
      <c r="G82">
        <v>2.4300000000000002</v>
      </c>
      <c r="H82">
        <v>5.05</v>
      </c>
      <c r="I82">
        <v>8.07</v>
      </c>
      <c r="J82">
        <f>1.76 * F82 * SQRT(29000 / Dashboard!$B$8) / 12</f>
        <v>7.4882662820649699</v>
      </c>
      <c r="K82">
        <f>1.95 * G82 * (29000 / (0.7 * Dashboard!$B$8)) / 12 * SQRT((H82*1)/(E82*I82) + SQRT(((H82*1)/(E82*I82))^2 + 6.76*((0.7*Dashboard!$B$8)/29000)^2))</f>
        <v>47.622463493535598</v>
      </c>
      <c r="L82">
        <f>Dashboard!$B$8 * D82 / 12</f>
        <v>292.08333333333331</v>
      </c>
      <c r="M82">
        <f>(Dashboard!$B$9 * PI()^2 * 29000 / ((Dashboard!$B$5*12)/G82)^2) * SQRT(1 + 0.078 * (H82*1)/(E82*I82) * ((Dashboard!$B$5*12)/G82)^2)</f>
        <v>841.28432770791846</v>
      </c>
      <c r="N82">
        <f>MIN( IF(Dashboard!$B$5 &lt;= J82, L82, IF(Dashboard!$B$5 &lt;= K82, Dashboard!$B$9 * (L82 - (L82 - 0.7*Dashboard!$B$8*E82/12) * ((Dashboard!$B$5 - J82)/(K82 - J82))), M82 * E82 / 12) ), L82 )</f>
        <v>292.08333333333331</v>
      </c>
      <c r="O82">
        <f t="shared" si="2"/>
        <v>174.9001996007984</v>
      </c>
      <c r="P82" t="str">
        <f>IF(AND(O82 &gt;= Dashboard!$B$11, C82 &lt;= Dashboard!$B$6), "Pass", "Fail")</f>
        <v>Fail</v>
      </c>
      <c r="Q82">
        <f t="shared" si="3"/>
        <v>9999999</v>
      </c>
    </row>
    <row r="83" spans="1:17" x14ac:dyDescent="0.25">
      <c r="A83" t="s">
        <v>98</v>
      </c>
      <c r="B83">
        <v>68</v>
      </c>
      <c r="C83">
        <v>23.7</v>
      </c>
      <c r="D83">
        <v>177</v>
      </c>
      <c r="E83">
        <v>154</v>
      </c>
      <c r="F83">
        <v>1.87</v>
      </c>
      <c r="G83">
        <v>2.2999999999999998</v>
      </c>
      <c r="H83">
        <v>1.87</v>
      </c>
      <c r="I83">
        <v>23.1</v>
      </c>
      <c r="J83">
        <f>1.76 * F83 * SQRT(29000 / Dashboard!$B$8) / 12</f>
        <v>6.6052160129535347</v>
      </c>
      <c r="K83">
        <f>1.95 * G83 * (29000 / (0.7 * Dashboard!$B$8)) / 12 * SQRT((H83*1)/(E83*I83) + SQRT(((H83*1)/(E83*I83))^2 + 6.76*((0.7*Dashboard!$B$8)/29000)^2))</f>
        <v>18.855638240040197</v>
      </c>
      <c r="L83">
        <f>Dashboard!$B$8 * D83 / 12</f>
        <v>737.5</v>
      </c>
      <c r="M83">
        <f>(Dashboard!$B$9 * PI()^2 * 29000 / ((Dashboard!$B$5*12)/G83)^2) * SQRT(1 + 0.078 * (H83*1)/(E83*I83) * ((Dashboard!$B$5*12)/G83)^2)</f>
        <v>663.00150732614259</v>
      </c>
      <c r="N83">
        <f>MIN( IF(Dashboard!$B$5 &lt;= J83, L83, IF(Dashboard!$B$5 &lt;= K83, Dashboard!$B$9 * (L83 - (L83 - 0.7*Dashboard!$B$8*E83/12) * ((Dashboard!$B$5 - J83)/(K83 - J83))), M83 * E83 / 12) ), L83 )</f>
        <v>737.5</v>
      </c>
      <c r="O83">
        <f t="shared" si="2"/>
        <v>441.61676646706587</v>
      </c>
      <c r="P83" t="str">
        <f>IF(AND(O83 &gt;= Dashboard!$B$11, C83 &lt;= Dashboard!$B$6), "Pass", "Fail")</f>
        <v>Fail</v>
      </c>
      <c r="Q83">
        <f t="shared" si="3"/>
        <v>9999999</v>
      </c>
    </row>
    <row r="84" spans="1:17" x14ac:dyDescent="0.25">
      <c r="A84" t="s">
        <v>99</v>
      </c>
      <c r="B84">
        <v>68</v>
      </c>
      <c r="C84">
        <v>21.1</v>
      </c>
      <c r="D84">
        <v>160</v>
      </c>
      <c r="E84">
        <v>140</v>
      </c>
      <c r="F84">
        <v>1.8</v>
      </c>
      <c r="G84">
        <v>2.17</v>
      </c>
      <c r="H84">
        <v>2.4500000000000002</v>
      </c>
      <c r="I84">
        <v>20.399999999999999</v>
      </c>
      <c r="J84">
        <f>1.76 * F84 * SQRT(29000 / Dashboard!$B$8) / 12</f>
        <v>6.3579619376023322</v>
      </c>
      <c r="K84">
        <f>1.95 * G84 * (29000 / (0.7 * Dashboard!$B$8)) / 12 * SQRT((H84*1)/(E84*I84) + SQRT(((H84*1)/(E84*I84))^2 + 6.76*((0.7*Dashboard!$B$8)/29000)^2))</f>
        <v>18.733224623307777</v>
      </c>
      <c r="L84">
        <f>Dashboard!$B$8 * D84 / 12</f>
        <v>666.66666666666663</v>
      </c>
      <c r="M84">
        <f>(Dashboard!$B$9 * PI()^2 * 29000 / ((Dashboard!$B$5*12)/G84)^2) * SQRT(1 + 0.078 * (H84*1)/(E84*I84) * ((Dashboard!$B$5*12)/G84)^2)</f>
        <v>594.4701145327781</v>
      </c>
      <c r="N84">
        <f>MIN( IF(Dashboard!$B$5 &lt;= J84, L84, IF(Dashboard!$B$5 &lt;= K84, Dashboard!$B$9 * (L84 - (L84 - 0.7*Dashboard!$B$8*E84/12) * ((Dashboard!$B$5 - J84)/(K84 - J84))), M84 * E84 / 12) ), L84 )</f>
        <v>666.66666666666663</v>
      </c>
      <c r="O84">
        <f t="shared" si="2"/>
        <v>399.20159680638722</v>
      </c>
      <c r="P84" t="str">
        <f>IF(AND(O84 &gt;= Dashboard!$B$11, C84 &lt;= Dashboard!$B$6), "Pass", "Fail")</f>
        <v>Fail</v>
      </c>
      <c r="Q84">
        <f t="shared" si="3"/>
        <v>9999999</v>
      </c>
    </row>
    <row r="85" spans="1:17" x14ac:dyDescent="0.25">
      <c r="A85" t="s">
        <v>100</v>
      </c>
      <c r="B85">
        <v>68</v>
      </c>
      <c r="C85">
        <v>14</v>
      </c>
      <c r="D85">
        <v>115</v>
      </c>
      <c r="E85">
        <v>103</v>
      </c>
      <c r="F85">
        <v>2.46</v>
      </c>
      <c r="G85">
        <v>2.8</v>
      </c>
      <c r="H85">
        <v>3.01</v>
      </c>
      <c r="I85">
        <v>13.3</v>
      </c>
      <c r="J85">
        <f>1.76 * F85 * SQRT(29000 / Dashboard!$B$8) / 12</f>
        <v>8.689214648056522</v>
      </c>
      <c r="K85">
        <f>1.95 * G85 * (29000 / (0.7 * Dashboard!$B$8)) / 12 * SQRT((H85*1)/(E85*I85) + SQRT(((H85*1)/(E85*I85))^2 + 6.76*((0.7*Dashboard!$B$8)/29000)^2))</f>
        <v>29.270277990321556</v>
      </c>
      <c r="L85">
        <f>Dashboard!$B$8 * D85 / 12</f>
        <v>479.16666666666669</v>
      </c>
      <c r="M85">
        <f>(Dashboard!$B$9 * PI()^2 * 29000 / ((Dashboard!$B$5*12)/G85)^2) * SQRT(1 + 0.078 * (H85*1)/(E85*I85) * ((Dashboard!$B$5*12)/G85)^2)</f>
        <v>998.1635054237945</v>
      </c>
      <c r="N85">
        <f>MIN( IF(Dashboard!$B$5 &lt;= J85, L85, IF(Dashboard!$B$5 &lt;= K85, Dashboard!$B$9 * (L85 - (L85 - 0.7*Dashboard!$B$8*E85/12) * ((Dashboard!$B$5 - J85)/(K85 - J85))), M85 * E85 / 12) ), L85 )</f>
        <v>479.16666666666669</v>
      </c>
      <c r="O85">
        <f t="shared" si="2"/>
        <v>286.92614770459085</v>
      </c>
      <c r="P85" t="str">
        <f>IF(AND(O85 &gt;= Dashboard!$B$11, C85 &lt;= Dashboard!$B$6), "Pass", "Fail")</f>
        <v>Fail</v>
      </c>
      <c r="Q85">
        <f t="shared" si="3"/>
        <v>9999999</v>
      </c>
    </row>
    <row r="86" spans="1:17" x14ac:dyDescent="0.25">
      <c r="A86" t="s">
        <v>101</v>
      </c>
      <c r="B86">
        <v>68</v>
      </c>
      <c r="C86">
        <v>10.4</v>
      </c>
      <c r="D86">
        <v>85.3</v>
      </c>
      <c r="E86">
        <v>75.7</v>
      </c>
      <c r="F86">
        <v>2.59</v>
      </c>
      <c r="G86">
        <v>2.92</v>
      </c>
      <c r="H86">
        <v>3.56</v>
      </c>
      <c r="I86">
        <v>9.6300000000000008</v>
      </c>
      <c r="J86">
        <f>1.76 * F86 * SQRT(29000 / Dashboard!$B$8) / 12</f>
        <v>9.1484007879944667</v>
      </c>
      <c r="K86">
        <f>1.95 * G86 * (29000 / (0.7 * Dashboard!$B$8)) / 12 * SQRT((H86*1)/(E86*I86) + SQRT(((H86*1)/(E86*I86))^2 + 6.76*((0.7*Dashboard!$B$8)/29000)^2))</f>
        <v>40.646032950517352</v>
      </c>
      <c r="L86">
        <f>Dashboard!$B$8 * D86 / 12</f>
        <v>355.41666666666669</v>
      </c>
      <c r="M86">
        <f>(Dashboard!$B$9 * PI()^2 * 29000 / ((Dashboard!$B$5*12)/G86)^2) * SQRT(1 + 0.078 * (H86*1)/(E86*I86) * ((Dashboard!$B$5*12)/G86)^2)</f>
        <v>1112.3842143301051</v>
      </c>
      <c r="N86">
        <f>MIN( IF(Dashboard!$B$5 &lt;= J86, L86, IF(Dashboard!$B$5 &lt;= K86, Dashboard!$B$9 * (L86 - (L86 - 0.7*Dashboard!$B$8*E86/12) * ((Dashboard!$B$5 - J86)/(K86 - J86))), M86 * E86 / 12) ), L86 )</f>
        <v>355.41666666666669</v>
      </c>
      <c r="O86">
        <f t="shared" si="2"/>
        <v>212.8243512974052</v>
      </c>
      <c r="P86" t="str">
        <f>IF(AND(O86 &gt;= Dashboard!$B$11, C86 &lt;= Dashboard!$B$6), "Pass", "Fail")</f>
        <v>Fail</v>
      </c>
      <c r="Q86">
        <f t="shared" si="3"/>
        <v>9999999</v>
      </c>
    </row>
    <row r="87" spans="1:17" x14ac:dyDescent="0.25">
      <c r="A87" t="s">
        <v>102</v>
      </c>
      <c r="B87">
        <v>71</v>
      </c>
      <c r="C87">
        <v>18.5</v>
      </c>
      <c r="D87">
        <v>146</v>
      </c>
      <c r="E87">
        <v>127</v>
      </c>
      <c r="F87">
        <v>1.7</v>
      </c>
      <c r="G87">
        <v>2.0499999999999998</v>
      </c>
      <c r="H87">
        <v>3.49</v>
      </c>
      <c r="I87">
        <v>17.7</v>
      </c>
      <c r="J87">
        <f>1.76 * F87 * SQRT(29000 / Dashboard!$B$8) / 12</f>
        <v>6.0047418299577586</v>
      </c>
      <c r="K87">
        <f>1.95 * G87 * (29000 / (0.7 * Dashboard!$B$8)) / 12 * SQRT((H87*1)/(E87*I87) + SQRT(((H87*1)/(E87*I87))^2 + 6.76*((0.7*Dashboard!$B$8)/29000)^2))</f>
        <v>19.621681731440297</v>
      </c>
      <c r="L87">
        <f>Dashboard!$B$8 * D87 / 12</f>
        <v>608.33333333333337</v>
      </c>
      <c r="M87">
        <f>(Dashboard!$B$9 * PI()^2 * 29000 / ((Dashboard!$B$5*12)/G87)^2) * SQRT(1 + 0.078 * (H87*1)/(E87*I87) * ((Dashboard!$B$5*12)/G87)^2)</f>
        <v>539.11509670963198</v>
      </c>
      <c r="N87">
        <f>MIN( IF(Dashboard!$B$5 &lt;= J87, L87, IF(Dashboard!$B$5 &lt;= K87, Dashboard!$B$9 * (L87 - (L87 - 0.7*Dashboard!$B$8*E87/12) * ((Dashboard!$B$5 - J87)/(K87 - J87))), M87 * E87 / 12) ), L87 )</f>
        <v>608.33333333333337</v>
      </c>
      <c r="O87">
        <f t="shared" si="2"/>
        <v>364.27145708582839</v>
      </c>
      <c r="P87" t="str">
        <f>IF(AND(O87 &gt;= Dashboard!$B$11, C87 &lt;= Dashboard!$B$6), "Pass", "Fail")</f>
        <v>Fail</v>
      </c>
      <c r="Q87">
        <f t="shared" si="3"/>
        <v>9999999</v>
      </c>
    </row>
    <row r="88" spans="1:17" x14ac:dyDescent="0.25">
      <c r="A88" t="s">
        <v>103</v>
      </c>
      <c r="B88">
        <v>72</v>
      </c>
      <c r="C88">
        <v>12.3</v>
      </c>
      <c r="D88">
        <v>108</v>
      </c>
      <c r="E88">
        <v>97.4</v>
      </c>
      <c r="F88">
        <v>3.04</v>
      </c>
      <c r="G88">
        <v>3.41</v>
      </c>
      <c r="H88">
        <v>2.93</v>
      </c>
      <c r="I88">
        <v>11.6</v>
      </c>
      <c r="J88">
        <f>1.76 * F88 * SQRT(29000 / Dashboard!$B$8) / 12</f>
        <v>10.737891272395052</v>
      </c>
      <c r="K88">
        <f>1.95 * G88 * (29000 / (0.7 * Dashboard!$B$8)) / 12 * SQRT((H88*1)/(E88*I88) + SQRT(((H88*1)/(E88*I88))^2 + 6.76*((0.7*Dashboard!$B$8)/29000)^2))</f>
        <v>37.480847359667983</v>
      </c>
      <c r="L88">
        <f>Dashboard!$B$8 * D88 / 12</f>
        <v>450</v>
      </c>
      <c r="M88">
        <f>(Dashboard!$B$9 * PI()^2 * 29000 / ((Dashboard!$B$5*12)/G88)^2) * SQRT(1 + 0.078 * (H88*1)/(E88*I88) * ((Dashboard!$B$5*12)/G88)^2)</f>
        <v>1473.1848064959522</v>
      </c>
      <c r="N88">
        <f>MIN( IF(Dashboard!$B$5 &lt;= J88, L88, IF(Dashboard!$B$5 &lt;= K88, Dashboard!$B$9 * (L88 - (L88 - 0.7*Dashboard!$B$8*E88/12) * ((Dashboard!$B$5 - J88)/(K88 - J88))), M88 * E88 / 12) ), L88 )</f>
        <v>450</v>
      </c>
      <c r="O88">
        <f t="shared" si="2"/>
        <v>269.46107784431138</v>
      </c>
      <c r="P88" t="str">
        <f>IF(AND(O88 &gt;= Dashboard!$B$11, C88 &lt;= Dashboard!$B$6), "Pass", "Fail")</f>
        <v>Fail</v>
      </c>
      <c r="Q88">
        <f t="shared" si="3"/>
        <v>9999999</v>
      </c>
    </row>
    <row r="89" spans="1:17" x14ac:dyDescent="0.25">
      <c r="A89" t="s">
        <v>104</v>
      </c>
      <c r="B89">
        <v>73</v>
      </c>
      <c r="C89">
        <v>21.2</v>
      </c>
      <c r="D89">
        <v>172</v>
      </c>
      <c r="E89">
        <v>151</v>
      </c>
      <c r="F89">
        <v>1.81</v>
      </c>
      <c r="G89">
        <v>2.19</v>
      </c>
      <c r="H89">
        <v>3.02</v>
      </c>
      <c r="I89">
        <v>20.5</v>
      </c>
      <c r="J89">
        <f>1.76 * F89 * SQRT(29000 / Dashboard!$B$8) / 12</f>
        <v>6.3932839483667898</v>
      </c>
      <c r="K89">
        <f>1.95 * G89 * (29000 / (0.7 * Dashboard!$B$8)) / 12 * SQRT((H89*1)/(E89*I89) + SQRT(((H89*1)/(E89*I89))^2 + 6.76*((0.7*Dashboard!$B$8)/29000)^2))</f>
        <v>19.249486724702379</v>
      </c>
      <c r="L89">
        <f>Dashboard!$B$8 * D89 / 12</f>
        <v>716.66666666666663</v>
      </c>
      <c r="M89">
        <f>(Dashboard!$B$9 * PI()^2 * 29000 / ((Dashboard!$B$5*12)/G89)^2) * SQRT(1 + 0.078 * (H89*1)/(E89*I89) * ((Dashboard!$B$5*12)/G89)^2)</f>
        <v>606.59663175013782</v>
      </c>
      <c r="N89">
        <f>MIN( IF(Dashboard!$B$5 &lt;= J89, L89, IF(Dashboard!$B$5 &lt;= K89, Dashboard!$B$9 * (L89 - (L89 - 0.7*Dashboard!$B$8*E89/12) * ((Dashboard!$B$5 - J89)/(K89 - J89))), M89 * E89 / 12) ), L89 )</f>
        <v>716.66666666666663</v>
      </c>
      <c r="O89">
        <f t="shared" si="2"/>
        <v>429.14171656686625</v>
      </c>
      <c r="P89" t="str">
        <f>IF(AND(O89 &gt;= Dashboard!$B$11, C89 &lt;= Dashboard!$B$6), "Pass", "Fail")</f>
        <v>Fail</v>
      </c>
      <c r="Q89">
        <f t="shared" si="3"/>
        <v>9999999</v>
      </c>
    </row>
    <row r="90" spans="1:17" x14ac:dyDescent="0.25">
      <c r="A90" t="s">
        <v>105</v>
      </c>
      <c r="B90">
        <v>74</v>
      </c>
      <c r="C90">
        <v>14.2</v>
      </c>
      <c r="D90">
        <v>126</v>
      </c>
      <c r="E90">
        <v>112</v>
      </c>
      <c r="F90">
        <v>2.48</v>
      </c>
      <c r="G90">
        <v>2.83</v>
      </c>
      <c r="H90">
        <v>3.87</v>
      </c>
      <c r="I90">
        <v>13.4</v>
      </c>
      <c r="J90">
        <f>1.76 * F90 * SQRT(29000 / Dashboard!$B$8) / 12</f>
        <v>8.7598586695854355</v>
      </c>
      <c r="K90">
        <f>1.95 * G90 * (29000 / (0.7 * Dashboard!$B$8)) / 12 * SQRT((H90*1)/(E90*I90) + SQRT(((H90*1)/(E90*I90))^2 + 6.76*((0.7*Dashboard!$B$8)/29000)^2))</f>
        <v>31.04977192512359</v>
      </c>
      <c r="L90">
        <f>Dashboard!$B$8 * D90 / 12</f>
        <v>525</v>
      </c>
      <c r="M90">
        <f>(Dashboard!$B$9 * PI()^2 * 29000 / ((Dashboard!$B$5*12)/G90)^2) * SQRT(1 + 0.078 * (H90*1)/(E90*I90) * ((Dashboard!$B$5*12)/G90)^2)</f>
        <v>1023.2991613709556</v>
      </c>
      <c r="N90">
        <f>MIN( IF(Dashboard!$B$5 &lt;= J90, L90, IF(Dashboard!$B$5 &lt;= K90, Dashboard!$B$9 * (L90 - (L90 - 0.7*Dashboard!$B$8*E90/12) * ((Dashboard!$B$5 - J90)/(K90 - J90))), M90 * E90 / 12) ), L90 )</f>
        <v>525</v>
      </c>
      <c r="O90">
        <f t="shared" si="2"/>
        <v>314.37125748502996</v>
      </c>
      <c r="P90" t="str">
        <f>IF(AND(O90 &gt;= Dashboard!$B$11, C90 &lt;= Dashboard!$B$6), "Pass", "Fail")</f>
        <v>Fail</v>
      </c>
      <c r="Q90">
        <f t="shared" si="3"/>
        <v>9999999</v>
      </c>
    </row>
    <row r="91" spans="1:17" x14ac:dyDescent="0.25">
      <c r="A91" t="s">
        <v>106</v>
      </c>
      <c r="B91">
        <v>76</v>
      </c>
      <c r="C91">
        <v>23.9</v>
      </c>
      <c r="D91">
        <v>200</v>
      </c>
      <c r="E91">
        <v>176</v>
      </c>
      <c r="F91">
        <v>1.92</v>
      </c>
      <c r="G91">
        <v>2.33</v>
      </c>
      <c r="H91">
        <v>2.68</v>
      </c>
      <c r="I91">
        <v>23.2</v>
      </c>
      <c r="J91">
        <f>1.76 * F91 * SQRT(29000 / Dashboard!$B$8) / 12</f>
        <v>6.781826066775821</v>
      </c>
      <c r="K91">
        <f>1.95 * G91 * (29000 / (0.7 * Dashboard!$B$8)) / 12 * SQRT((H91*1)/(E91*I91) + SQRT(((H91*1)/(E91*I91))^2 + 6.76*((0.7*Dashboard!$B$8)/29000)^2))</f>
        <v>19.496465598812108</v>
      </c>
      <c r="L91">
        <f>Dashboard!$B$8 * D91 / 12</f>
        <v>833.33333333333337</v>
      </c>
      <c r="M91">
        <f>(Dashboard!$B$9 * PI()^2 * 29000 / ((Dashboard!$B$5*12)/G91)^2) * SQRT(1 + 0.078 * (H91*1)/(E91*I91) * ((Dashboard!$B$5*12)/G91)^2)</f>
        <v>681.70195822197741</v>
      </c>
      <c r="N91">
        <f>MIN( IF(Dashboard!$B$5 &lt;= J91, L91, IF(Dashboard!$B$5 &lt;= K91, Dashboard!$B$9 * (L91 - (L91 - 0.7*Dashboard!$B$8*E91/12) * ((Dashboard!$B$5 - J91)/(K91 - J91))), M91 * E91 / 12) ), L91 )</f>
        <v>833.33333333333337</v>
      </c>
      <c r="O91">
        <f t="shared" si="2"/>
        <v>499.00199600798408</v>
      </c>
      <c r="P91" t="str">
        <f>IF(AND(O91 &gt;= Dashboard!$B$11, C91 &lt;= Dashboard!$B$6), "Pass", "Fail")</f>
        <v>Fail</v>
      </c>
      <c r="Q91">
        <f t="shared" si="3"/>
        <v>9999999</v>
      </c>
    </row>
    <row r="92" spans="1:17" x14ac:dyDescent="0.25">
      <c r="A92" t="s">
        <v>107</v>
      </c>
      <c r="B92">
        <v>76</v>
      </c>
      <c r="C92">
        <v>18.2</v>
      </c>
      <c r="D92">
        <v>163</v>
      </c>
      <c r="E92">
        <v>146</v>
      </c>
      <c r="F92">
        <v>2.61</v>
      </c>
      <c r="G92">
        <v>3.02</v>
      </c>
      <c r="H92">
        <v>2.83</v>
      </c>
      <c r="I92">
        <v>17.5</v>
      </c>
      <c r="J92">
        <f>1.76 * F92 * SQRT(29000 / Dashboard!$B$8) / 12</f>
        <v>9.2190448095233801</v>
      </c>
      <c r="K92">
        <f>1.95 * G92 * (29000 / (0.7 * Dashboard!$B$8)) / 12 * SQRT((H92*1)/(E92*I92) + SQRT(((H92*1)/(E92*I92))^2 + 6.76*((0.7*Dashboard!$B$8)/29000)^2))</f>
        <v>27.080233029614941</v>
      </c>
      <c r="L92">
        <f>Dashboard!$B$8 * D92 / 12</f>
        <v>679.16666666666663</v>
      </c>
      <c r="M92">
        <f>(Dashboard!$B$9 * PI()^2 * 29000 / ((Dashboard!$B$5*12)/G92)^2) * SQRT(1 + 0.078 * (H92*1)/(E92*I92) * ((Dashboard!$B$5*12)/G92)^2)</f>
        <v>1145.2952622094897</v>
      </c>
      <c r="N92">
        <f>MIN( IF(Dashboard!$B$5 &lt;= J92, L92, IF(Dashboard!$B$5 &lt;= K92, Dashboard!$B$9 * (L92 - (L92 - 0.7*Dashboard!$B$8*E92/12) * ((Dashboard!$B$5 - J92)/(K92 - J92))), M92 * E92 / 12) ), L92 )</f>
        <v>679.16666666666663</v>
      </c>
      <c r="O92">
        <f t="shared" si="2"/>
        <v>406.68662674650699</v>
      </c>
      <c r="P92" t="str">
        <f>IF(AND(O92 &gt;= Dashboard!$B$11, C92 &lt;= Dashboard!$B$6), "Pass", "Fail")</f>
        <v>Fail</v>
      </c>
      <c r="Q92">
        <f t="shared" si="3"/>
        <v>9999999</v>
      </c>
    </row>
    <row r="93" spans="1:17" x14ac:dyDescent="0.25">
      <c r="A93" t="s">
        <v>108</v>
      </c>
      <c r="B93">
        <v>77</v>
      </c>
      <c r="C93">
        <v>16.5</v>
      </c>
      <c r="D93">
        <v>150</v>
      </c>
      <c r="E93">
        <v>134</v>
      </c>
      <c r="F93">
        <v>2.4700000000000002</v>
      </c>
      <c r="G93">
        <v>2.85</v>
      </c>
      <c r="H93">
        <v>3.57</v>
      </c>
      <c r="I93">
        <v>15.7</v>
      </c>
      <c r="J93">
        <f>1.76 * F93 * SQRT(29000 / Dashboard!$B$8) / 12</f>
        <v>8.7245366588209787</v>
      </c>
      <c r="K93">
        <f>1.95 * G93 * (29000 / (0.7 * Dashboard!$B$8)) / 12 * SQRT((H93*1)/(E93*I93) + SQRT(((H93*1)/(E93*I93))^2 + 6.76*((0.7*Dashboard!$B$8)/29000)^2))</f>
        <v>27.841893454101857</v>
      </c>
      <c r="L93">
        <f>Dashboard!$B$8 * D93 / 12</f>
        <v>625</v>
      </c>
      <c r="M93">
        <f>(Dashboard!$B$9 * PI()^2 * 29000 / ((Dashboard!$B$5*12)/G93)^2) * SQRT(1 + 0.078 * (H93*1)/(E93*I93) * ((Dashboard!$B$5*12)/G93)^2)</f>
        <v>1027.799593627459</v>
      </c>
      <c r="N93">
        <f>MIN( IF(Dashboard!$B$5 &lt;= J93, L93, IF(Dashboard!$B$5 &lt;= K93, Dashboard!$B$9 * (L93 - (L93 - 0.7*Dashboard!$B$8*E93/12) * ((Dashboard!$B$5 - J93)/(K93 - J93))), M93 * E93 / 12) ), L93 )</f>
        <v>625</v>
      </c>
      <c r="O93">
        <f t="shared" si="2"/>
        <v>374.25149700598803</v>
      </c>
      <c r="P93" t="str">
        <f>IF(AND(O93 &gt;= Dashboard!$B$11, C93 &lt;= Dashboard!$B$6), "Pass", "Fail")</f>
        <v>Fail</v>
      </c>
      <c r="Q93">
        <f t="shared" si="3"/>
        <v>9999999</v>
      </c>
    </row>
    <row r="94" spans="1:17" x14ac:dyDescent="0.25">
      <c r="A94" t="s">
        <v>109</v>
      </c>
      <c r="B94">
        <v>77</v>
      </c>
      <c r="C94">
        <v>10.6</v>
      </c>
      <c r="D94">
        <v>97.6</v>
      </c>
      <c r="E94">
        <v>85.9</v>
      </c>
      <c r="F94">
        <v>2.6</v>
      </c>
      <c r="G94">
        <v>2.95</v>
      </c>
      <c r="H94">
        <v>5.1100000000000003</v>
      </c>
      <c r="I94">
        <v>9.73</v>
      </c>
      <c r="J94">
        <f>1.76 * F94 * SQRT(29000 / Dashboard!$B$8) / 12</f>
        <v>9.1837227987589252</v>
      </c>
      <c r="K94">
        <f>1.95 * G94 * (29000 / (0.7 * Dashboard!$B$8)) / 12 * SQRT((H94*1)/(E94*I94) + SQRT(((H94*1)/(E94*I94))^2 + 6.76*((0.7*Dashboard!$B$8)/29000)^2))</f>
        <v>45.2628887306048</v>
      </c>
      <c r="L94">
        <f>Dashboard!$B$8 * D94 / 12</f>
        <v>406.66666666666669</v>
      </c>
      <c r="M94">
        <f>(Dashboard!$B$9 * PI()^2 * 29000 / ((Dashboard!$B$5*12)/G94)^2) * SQRT(1 + 0.078 * (H94*1)/(E94*I94) * ((Dashboard!$B$5*12)/G94)^2)</f>
        <v>1147.3016822454642</v>
      </c>
      <c r="N94">
        <f>MIN( IF(Dashboard!$B$5 &lt;= J94, L94, IF(Dashboard!$B$5 &lt;= K94, Dashboard!$B$9 * (L94 - (L94 - 0.7*Dashboard!$B$8*E94/12) * ((Dashboard!$B$5 - J94)/(K94 - J94))), M94 * E94 / 12) ), L94 )</f>
        <v>406.66666666666669</v>
      </c>
      <c r="O94">
        <f t="shared" si="2"/>
        <v>243.51297405189624</v>
      </c>
      <c r="P94" t="str">
        <f>IF(AND(O94 &gt;= Dashboard!$B$11, C94 &lt;= Dashboard!$B$6), "Pass", "Fail")</f>
        <v>Fail</v>
      </c>
      <c r="Q94">
        <f t="shared" si="3"/>
        <v>9999999</v>
      </c>
    </row>
    <row r="95" spans="1:17" x14ac:dyDescent="0.25">
      <c r="A95" t="s">
        <v>110</v>
      </c>
      <c r="B95">
        <v>79</v>
      </c>
      <c r="C95">
        <v>12.4</v>
      </c>
      <c r="D95">
        <v>119</v>
      </c>
      <c r="E95">
        <v>107</v>
      </c>
      <c r="F95">
        <v>3.05</v>
      </c>
      <c r="G95">
        <v>3.43</v>
      </c>
      <c r="H95">
        <v>3.84</v>
      </c>
      <c r="I95">
        <v>11.7</v>
      </c>
      <c r="J95">
        <f>1.76 * F95 * SQRT(29000 / Dashboard!$B$8) / 12</f>
        <v>10.773213283159507</v>
      </c>
      <c r="K95">
        <f>1.95 * G95 * (29000 / (0.7 * Dashboard!$B$8)) / 12 * SQRT((H95*1)/(E95*I95) + SQRT(((H95*1)/(E95*I95))^2 + 6.76*((0.7*Dashboard!$B$8)/29000)^2))</f>
        <v>39.876146213281174</v>
      </c>
      <c r="L95">
        <f>Dashboard!$B$8 * D95 / 12</f>
        <v>495.83333333333331</v>
      </c>
      <c r="M95">
        <f>(Dashboard!$B$9 * PI()^2 * 29000 / ((Dashboard!$B$5*12)/G95)^2) * SQRT(1 + 0.078 * (H95*1)/(E95*I95) * ((Dashboard!$B$5*12)/G95)^2)</f>
        <v>1495.3630698938828</v>
      </c>
      <c r="N95">
        <f>MIN( IF(Dashboard!$B$5 &lt;= J95, L95, IF(Dashboard!$B$5 &lt;= K95, Dashboard!$B$9 * (L95 - (L95 - 0.7*Dashboard!$B$8*E95/12) * ((Dashboard!$B$5 - J95)/(K95 - J95))), M95 * E95 / 12) ), L95 )</f>
        <v>495.83333333333331</v>
      </c>
      <c r="O95">
        <f t="shared" si="2"/>
        <v>296.90618762475049</v>
      </c>
      <c r="P95" t="str">
        <f>IF(AND(O95 &gt;= Dashboard!$B$11, C95 &lt;= Dashboard!$B$6), "Pass", "Fail")</f>
        <v>Fail</v>
      </c>
      <c r="Q95">
        <f t="shared" si="3"/>
        <v>9999999</v>
      </c>
    </row>
    <row r="96" spans="1:17" x14ac:dyDescent="0.25">
      <c r="A96" t="s">
        <v>111</v>
      </c>
      <c r="B96">
        <v>82</v>
      </c>
      <c r="C96">
        <v>14.3</v>
      </c>
      <c r="D96">
        <v>139</v>
      </c>
      <c r="E96">
        <v>123</v>
      </c>
      <c r="F96">
        <v>2.48</v>
      </c>
      <c r="G96">
        <v>2.85</v>
      </c>
      <c r="H96">
        <v>5.07</v>
      </c>
      <c r="I96">
        <v>13.4</v>
      </c>
      <c r="J96">
        <f>1.76 * F96 * SQRT(29000 / Dashboard!$B$8) / 12</f>
        <v>8.7598586695854355</v>
      </c>
      <c r="K96">
        <f>1.95 * G96 * (29000 / (0.7 * Dashboard!$B$8)) / 12 * SQRT((H96*1)/(E96*I96) + SQRT(((H96*1)/(E96*I96))^2 + 6.76*((0.7*Dashboard!$B$8)/29000)^2))</f>
        <v>33.166251464269905</v>
      </c>
      <c r="L96">
        <f>Dashboard!$B$8 * D96 / 12</f>
        <v>579.16666666666663</v>
      </c>
      <c r="M96">
        <f>(Dashboard!$B$9 * PI()^2 * 29000 / ((Dashboard!$B$5*12)/G96)^2) * SQRT(1 + 0.078 * (H96*1)/(E96*I96) * ((Dashboard!$B$5*12)/G96)^2)</f>
        <v>1042.8038011025362</v>
      </c>
      <c r="N96">
        <f>MIN( IF(Dashboard!$B$5 &lt;= J96, L96, IF(Dashboard!$B$5 &lt;= K96, Dashboard!$B$9 * (L96 - (L96 - 0.7*Dashboard!$B$8*E96/12) * ((Dashboard!$B$5 - J96)/(K96 - J96))), M96 * E96 / 12) ), L96 )</f>
        <v>579.16666666666663</v>
      </c>
      <c r="O96">
        <f t="shared" si="2"/>
        <v>346.80638722554892</v>
      </c>
      <c r="P96" t="str">
        <f>IF(AND(O96 &gt;= Dashboard!$B$11, C96 &lt;= Dashboard!$B$6), "Pass", "Fail")</f>
        <v>Fail</v>
      </c>
      <c r="Q96">
        <f t="shared" si="3"/>
        <v>9999999</v>
      </c>
    </row>
    <row r="97" spans="1:17" x14ac:dyDescent="0.25">
      <c r="A97" t="s">
        <v>112</v>
      </c>
      <c r="B97">
        <v>83</v>
      </c>
      <c r="C97">
        <v>21.4</v>
      </c>
      <c r="D97">
        <v>196</v>
      </c>
      <c r="E97">
        <v>171</v>
      </c>
      <c r="F97">
        <v>1.83</v>
      </c>
      <c r="G97">
        <v>2.21</v>
      </c>
      <c r="H97">
        <v>4.34</v>
      </c>
      <c r="I97">
        <v>20.6</v>
      </c>
      <c r="J97">
        <f>1.76 * F97 * SQRT(29000 / Dashboard!$B$8) / 12</f>
        <v>6.4639279698957042</v>
      </c>
      <c r="K97">
        <f>1.95 * G97 * (29000 / (0.7 * Dashboard!$B$8)) / 12 * SQRT((H97*1)/(E97*I97) + SQRT(((H97*1)/(E97*I97))^2 + 6.76*((0.7*Dashboard!$B$8)/29000)^2))</f>
        <v>20.188521006595536</v>
      </c>
      <c r="L97">
        <f>Dashboard!$B$8 * D97 / 12</f>
        <v>816.66666666666663</v>
      </c>
      <c r="M97">
        <f>(Dashboard!$B$9 * PI()^2 * 29000 / ((Dashboard!$B$5*12)/G97)^2) * SQRT(1 + 0.078 * (H97*1)/(E97*I97) * ((Dashboard!$B$5*12)/G97)^2)</f>
        <v>620.336368330499</v>
      </c>
      <c r="N97">
        <f>MIN( IF(Dashboard!$B$5 &lt;= J97, L97, IF(Dashboard!$B$5 &lt;= K97, Dashboard!$B$9 * (L97 - (L97 - 0.7*Dashboard!$B$8*E97/12) * ((Dashboard!$B$5 - J97)/(K97 - J97))), M97 * E97 / 12) ), L97 )</f>
        <v>816.66666666666663</v>
      </c>
      <c r="O97">
        <f t="shared" si="2"/>
        <v>489.02195608782432</v>
      </c>
      <c r="P97" t="str">
        <f>IF(AND(O97 &gt;= Dashboard!$B$11, C97 &lt;= Dashboard!$B$6), "Pass", "Fail")</f>
        <v>Fail</v>
      </c>
      <c r="Q97">
        <f t="shared" si="3"/>
        <v>9999999</v>
      </c>
    </row>
    <row r="98" spans="1:17" x14ac:dyDescent="0.25">
      <c r="A98" t="s">
        <v>113</v>
      </c>
      <c r="B98">
        <v>84</v>
      </c>
      <c r="C98">
        <v>26.7</v>
      </c>
      <c r="D98">
        <v>244</v>
      </c>
      <c r="E98">
        <v>213</v>
      </c>
      <c r="F98">
        <v>2.0699999999999998</v>
      </c>
      <c r="G98">
        <v>2.54</v>
      </c>
      <c r="H98">
        <v>2.81</v>
      </c>
      <c r="I98">
        <v>26.1</v>
      </c>
      <c r="J98">
        <f>1.76 * F98 * SQRT(29000 / Dashboard!$B$8) / 12</f>
        <v>7.3116562282426818</v>
      </c>
      <c r="K98">
        <f>1.95 * G98 * (29000 / (0.7 * Dashboard!$B$8)) / 12 * SQRT((H98*1)/(E98*I98) + SQRT(((H98*1)/(E98*I98))^2 + 6.76*((0.7*Dashboard!$B$8)/29000)^2))</f>
        <v>20.757133723560361</v>
      </c>
      <c r="L98">
        <f>Dashboard!$B$8 * D98 / 12</f>
        <v>1016.6666666666666</v>
      </c>
      <c r="M98">
        <f>(Dashboard!$B$9 * PI()^2 * 29000 / ((Dashboard!$B$5*12)/G98)^2) * SQRT(1 + 0.078 * (H98*1)/(E98*I98) * ((Dashboard!$B$5*12)/G98)^2)</f>
        <v>807.08404752007812</v>
      </c>
      <c r="N98">
        <f>MIN( IF(Dashboard!$B$5 &lt;= J98, L98, IF(Dashboard!$B$5 &lt;= K98, Dashboard!$B$9 * (L98 - (L98 - 0.7*Dashboard!$B$8*E98/12) * ((Dashboard!$B$5 - J98)/(K98 - J98))), M98 * E98 / 12) ), L98 )</f>
        <v>1016.6666666666666</v>
      </c>
      <c r="O98">
        <f t="shared" si="2"/>
        <v>608.78243512974052</v>
      </c>
      <c r="P98" t="str">
        <f>IF(AND(O98 &gt;= Dashboard!$B$11, C98 &lt;= Dashboard!$B$6), "Pass", "Fail")</f>
        <v>Fail</v>
      </c>
      <c r="Q98">
        <f t="shared" si="3"/>
        <v>9999999</v>
      </c>
    </row>
    <row r="99" spans="1:17" x14ac:dyDescent="0.25">
      <c r="A99" t="s">
        <v>114</v>
      </c>
      <c r="B99">
        <v>84</v>
      </c>
      <c r="C99">
        <v>24.1</v>
      </c>
      <c r="D99">
        <v>224</v>
      </c>
      <c r="E99">
        <v>196</v>
      </c>
      <c r="F99">
        <v>1.95</v>
      </c>
      <c r="G99">
        <v>2.37</v>
      </c>
      <c r="H99">
        <v>3.7</v>
      </c>
      <c r="I99">
        <v>23.3</v>
      </c>
      <c r="J99">
        <f>1.76 * F99 * SQRT(29000 / Dashboard!$B$8) / 12</f>
        <v>6.8877920990691939</v>
      </c>
      <c r="K99">
        <f>1.95 * G99 * (29000 / (0.7 * Dashboard!$B$8)) / 12 * SQRT((H99*1)/(E99*I99) + SQRT(((H99*1)/(E99*I99))^2 + 6.76*((0.7*Dashboard!$B$8)/29000)^2))</f>
        <v>20.310216148570849</v>
      </c>
      <c r="L99">
        <f>Dashboard!$B$8 * D99 / 12</f>
        <v>933.33333333333337</v>
      </c>
      <c r="M99">
        <f>(Dashboard!$B$9 * PI()^2 * 29000 / ((Dashboard!$B$5*12)/G99)^2) * SQRT(1 + 0.078 * (H99*1)/(E99*I99) * ((Dashboard!$B$5*12)/G99)^2)</f>
        <v>706.75542762333941</v>
      </c>
      <c r="N99">
        <f>MIN( IF(Dashboard!$B$5 &lt;= J99, L99, IF(Dashboard!$B$5 &lt;= K99, Dashboard!$B$9 * (L99 - (L99 - 0.7*Dashboard!$B$8*E99/12) * ((Dashboard!$B$5 - J99)/(K99 - J99))), M99 * E99 / 12) ), L99 )</f>
        <v>933.33333333333337</v>
      </c>
      <c r="O99">
        <f t="shared" si="2"/>
        <v>558.88223552894215</v>
      </c>
      <c r="P99" t="str">
        <f>IF(AND(O99 &gt;= Dashboard!$B$11, C99 &lt;= Dashboard!$B$6), "Pass", "Fail")</f>
        <v>Fail</v>
      </c>
      <c r="Q99">
        <f t="shared" si="3"/>
        <v>9999999</v>
      </c>
    </row>
    <row r="100" spans="1:17" x14ac:dyDescent="0.25">
      <c r="A100" t="s">
        <v>115</v>
      </c>
      <c r="B100">
        <v>86</v>
      </c>
      <c r="C100">
        <v>18.399999999999999</v>
      </c>
      <c r="D100">
        <v>186</v>
      </c>
      <c r="E100">
        <v>166</v>
      </c>
      <c r="F100">
        <v>2.63</v>
      </c>
      <c r="G100">
        <v>3.05</v>
      </c>
      <c r="H100">
        <v>4.0999999999999996</v>
      </c>
      <c r="I100">
        <v>17.600000000000001</v>
      </c>
      <c r="J100">
        <f>1.76 * F100 * SQRT(29000 / Dashboard!$B$8) / 12</f>
        <v>9.2896888310522971</v>
      </c>
      <c r="K100">
        <f>1.95 * G100 * (29000 / (0.7 * Dashboard!$B$8)) / 12 * SQRT((H100*1)/(E100*I100) + SQRT(((H100*1)/(E100*I100))^2 + 6.76*((0.7*Dashboard!$B$8)/29000)^2))</f>
        <v>28.572006774701538</v>
      </c>
      <c r="L100">
        <f>Dashboard!$B$8 * D100 / 12</f>
        <v>775</v>
      </c>
      <c r="M100">
        <f>(Dashboard!$B$9 * PI()^2 * 29000 / ((Dashboard!$B$5*12)/G100)^2) * SQRT(1 + 0.078 * (H100*1)/(E100*I100) * ((Dashboard!$B$5*12)/G100)^2)</f>
        <v>1171.1797937566221</v>
      </c>
      <c r="N100">
        <f>MIN( IF(Dashboard!$B$5 &lt;= J100, L100, IF(Dashboard!$B$5 &lt;= K100, Dashboard!$B$9 * (L100 - (L100 - 0.7*Dashboard!$B$8*E100/12) * ((Dashboard!$B$5 - J100)/(K100 - J100))), M100 * E100 / 12) ), L100 )</f>
        <v>775</v>
      </c>
      <c r="O100">
        <f t="shared" si="2"/>
        <v>464.07185628742519</v>
      </c>
      <c r="P100" t="str">
        <f>IF(AND(O100 &gt;= Dashboard!$B$11, C100 &lt;= Dashboard!$B$6), "Pass", "Fail")</f>
        <v>Fail</v>
      </c>
      <c r="Q100">
        <f t="shared" si="3"/>
        <v>9999999</v>
      </c>
    </row>
    <row r="101" spans="1:17" x14ac:dyDescent="0.25">
      <c r="A101" t="s">
        <v>116</v>
      </c>
      <c r="B101">
        <v>87</v>
      </c>
      <c r="C101">
        <v>12.5</v>
      </c>
      <c r="D101">
        <v>132</v>
      </c>
      <c r="E101">
        <v>118</v>
      </c>
      <c r="F101">
        <v>3.07</v>
      </c>
      <c r="G101">
        <v>3.46</v>
      </c>
      <c r="H101">
        <v>5.0999999999999996</v>
      </c>
      <c r="I101">
        <v>11.7</v>
      </c>
      <c r="J101">
        <f>1.76 * F101 * SQRT(29000 / Dashboard!$B$8) / 12</f>
        <v>10.843857304688422</v>
      </c>
      <c r="K101">
        <f>1.95 * G101 * (29000 / (0.7 * Dashboard!$B$8)) / 12 * SQRT((H101*1)/(E101*I101) + SQRT(((H101*1)/(E101*I101))^2 + 6.76*((0.7*Dashboard!$B$8)/29000)^2))</f>
        <v>43.053929498611538</v>
      </c>
      <c r="L101">
        <f>Dashboard!$B$8 * D101 / 12</f>
        <v>550</v>
      </c>
      <c r="M101">
        <f>(Dashboard!$B$9 * PI()^2 * 29000 / ((Dashboard!$B$5*12)/G101)^2) * SQRT(1 + 0.078 * (H101*1)/(E101*I101) * ((Dashboard!$B$5*12)/G101)^2)</f>
        <v>1527.8719987938412</v>
      </c>
      <c r="N101">
        <f>MIN( IF(Dashboard!$B$5 &lt;= J101, L101, IF(Dashboard!$B$5 &lt;= K101, Dashboard!$B$9 * (L101 - (L101 - 0.7*Dashboard!$B$8*E101/12) * ((Dashboard!$B$5 - J101)/(K101 - J101))), M101 * E101 / 12) ), L101 )</f>
        <v>550</v>
      </c>
      <c r="O101">
        <f t="shared" si="2"/>
        <v>329.34131736526945</v>
      </c>
      <c r="P101" t="str">
        <f>IF(AND(O101 &gt;= Dashboard!$B$11, C101 &lt;= Dashboard!$B$6), "Pass", "Fail")</f>
        <v>Fail</v>
      </c>
      <c r="Q101">
        <f t="shared" si="3"/>
        <v>9999999</v>
      </c>
    </row>
    <row r="102" spans="1:17" x14ac:dyDescent="0.25">
      <c r="A102" t="s">
        <v>117</v>
      </c>
      <c r="B102">
        <v>88</v>
      </c>
      <c r="C102">
        <v>10.8</v>
      </c>
      <c r="D102">
        <v>113</v>
      </c>
      <c r="E102">
        <v>98.5</v>
      </c>
      <c r="F102">
        <v>2.63</v>
      </c>
      <c r="G102">
        <v>2.99</v>
      </c>
      <c r="H102">
        <v>7.53</v>
      </c>
      <c r="I102">
        <v>9.81</v>
      </c>
      <c r="J102">
        <f>1.76 * F102 * SQRT(29000 / Dashboard!$B$8) / 12</f>
        <v>9.2896888310522971</v>
      </c>
      <c r="K102">
        <f>1.95 * G102 * (29000 / (0.7 * Dashboard!$B$8)) / 12 * SQRT((H102*1)/(E102*I102) + SQRT(((H102*1)/(E102*I102))^2 + 6.76*((0.7*Dashboard!$B$8)/29000)^2))</f>
        <v>51.230096313730805</v>
      </c>
      <c r="L102">
        <f>Dashboard!$B$8 * D102 / 12</f>
        <v>470.83333333333331</v>
      </c>
      <c r="M102">
        <f>(Dashboard!$B$9 * PI()^2 * 29000 / ((Dashboard!$B$5*12)/G102)^2) * SQRT(1 + 0.078 * (H102*1)/(E102*I102) * ((Dashboard!$B$5*12)/G102)^2)</f>
        <v>1194.4231788640852</v>
      </c>
      <c r="N102">
        <f>MIN( IF(Dashboard!$B$5 &lt;= J102, L102, IF(Dashboard!$B$5 &lt;= K102, Dashboard!$B$9 * (L102 - (L102 - 0.7*Dashboard!$B$8*E102/12) * ((Dashboard!$B$5 - J102)/(K102 - J102))), M102 * E102 / 12) ), L102 )</f>
        <v>470.83333333333331</v>
      </c>
      <c r="O102">
        <f t="shared" si="2"/>
        <v>281.936127744511</v>
      </c>
      <c r="P102" t="str">
        <f>IF(AND(O102 &gt;= Dashboard!$B$11, C102 &lt;= Dashboard!$B$6), "Pass", "Fail")</f>
        <v>Fail</v>
      </c>
      <c r="Q102">
        <f t="shared" si="3"/>
        <v>9999999</v>
      </c>
    </row>
    <row r="103" spans="1:17" x14ac:dyDescent="0.25">
      <c r="A103" t="s">
        <v>118</v>
      </c>
      <c r="B103">
        <v>89</v>
      </c>
      <c r="C103">
        <v>16.8</v>
      </c>
      <c r="D103">
        <v>175</v>
      </c>
      <c r="E103">
        <v>155</v>
      </c>
      <c r="F103">
        <v>2.4900000000000002</v>
      </c>
      <c r="G103">
        <v>2.88</v>
      </c>
      <c r="H103">
        <v>5.45</v>
      </c>
      <c r="I103">
        <v>15.9</v>
      </c>
      <c r="J103">
        <f>1.76 * F103 * SQRT(29000 / Dashboard!$B$8) / 12</f>
        <v>8.795180680349894</v>
      </c>
      <c r="K103">
        <f>1.95 * G103 * (29000 / (0.7 * Dashboard!$B$8)) / 12 * SQRT((H103*1)/(E103*I103) + SQRT(((H103*1)/(E103*I103))^2 + 6.76*((0.7*Dashboard!$B$8)/29000)^2))</f>
        <v>30.162212188878474</v>
      </c>
      <c r="L103">
        <f>Dashboard!$B$8 * D103 / 12</f>
        <v>729.16666666666663</v>
      </c>
      <c r="M103">
        <f>(Dashboard!$B$9 * PI()^2 * 29000 / ((Dashboard!$B$5*12)/G103)^2) * SQRT(1 + 0.078 * (H103*1)/(E103*I103) * ((Dashboard!$B$5*12)/G103)^2)</f>
        <v>1054.7827162615126</v>
      </c>
      <c r="N103">
        <f>MIN( IF(Dashboard!$B$5 &lt;= J103, L103, IF(Dashboard!$B$5 &lt;= K103, Dashboard!$B$9 * (L103 - (L103 - 0.7*Dashboard!$B$8*E103/12) * ((Dashboard!$B$5 - J103)/(K103 - J103))), M103 * E103 / 12) ), L103 )</f>
        <v>729.16666666666663</v>
      </c>
      <c r="O103">
        <f t="shared" si="2"/>
        <v>436.62674650698602</v>
      </c>
      <c r="P103" t="str">
        <f>IF(AND(O103 &gt;= Dashboard!$B$11, C103 &lt;= Dashboard!$B$6), "Pass", "Fail")</f>
        <v>Fail</v>
      </c>
      <c r="Q103">
        <f t="shared" si="3"/>
        <v>9999999</v>
      </c>
    </row>
    <row r="104" spans="1:17" x14ac:dyDescent="0.25">
      <c r="A104" t="s">
        <v>119</v>
      </c>
      <c r="B104">
        <v>90</v>
      </c>
      <c r="C104">
        <v>29.5</v>
      </c>
      <c r="D104">
        <v>283</v>
      </c>
      <c r="E104">
        <v>245</v>
      </c>
      <c r="F104">
        <v>2.09</v>
      </c>
      <c r="G104">
        <v>2.6</v>
      </c>
      <c r="H104">
        <v>2.84</v>
      </c>
      <c r="I104">
        <v>28.9</v>
      </c>
      <c r="J104">
        <f>1.76 * F104 * SQRT(29000 / Dashboard!$B$8) / 12</f>
        <v>7.3823002497715962</v>
      </c>
      <c r="K104">
        <f>1.95 * G104 * (29000 / (0.7 * Dashboard!$B$8)) / 12 * SQRT((H104*1)/(E104*I104) + SQRT(((H104*1)/(E104*I104))^2 + 6.76*((0.7*Dashboard!$B$8)/29000)^2))</f>
        <v>20.900653709202459</v>
      </c>
      <c r="L104">
        <f>Dashboard!$B$8 * D104 / 12</f>
        <v>1179.1666666666667</v>
      </c>
      <c r="M104">
        <f>(Dashboard!$B$9 * PI()^2 * 29000 / ((Dashboard!$B$5*12)/G104)^2) * SQRT(1 + 0.078 * (H104*1)/(E104*I104) * ((Dashboard!$B$5*12)/G104)^2)</f>
        <v>844.2385441307506</v>
      </c>
      <c r="N104">
        <f>MIN( IF(Dashboard!$B$5 &lt;= J104, L104, IF(Dashboard!$B$5 &lt;= K104, Dashboard!$B$9 * (L104 - (L104 - 0.7*Dashboard!$B$8*E104/12) * ((Dashboard!$B$5 - J104)/(K104 - J104))), M104 * E104 / 12) ), L104 )</f>
        <v>1179.1666666666667</v>
      </c>
      <c r="O104">
        <f t="shared" si="2"/>
        <v>706.08782435129751</v>
      </c>
      <c r="P104" t="str">
        <f>IF(AND(O104 &gt;= Dashboard!$B$11, C104 &lt;= Dashboard!$B$6), "Pass", "Fail")</f>
        <v>Fail</v>
      </c>
      <c r="Q104">
        <f t="shared" si="3"/>
        <v>9999999</v>
      </c>
    </row>
    <row r="105" spans="1:17" x14ac:dyDescent="0.25">
      <c r="A105" t="s">
        <v>120</v>
      </c>
      <c r="B105">
        <v>90</v>
      </c>
      <c r="C105">
        <v>14</v>
      </c>
      <c r="D105">
        <v>157</v>
      </c>
      <c r="E105">
        <v>143</v>
      </c>
      <c r="F105">
        <v>3.7</v>
      </c>
      <c r="G105">
        <v>4.0999999999999996</v>
      </c>
      <c r="H105">
        <v>4.0599999999999996</v>
      </c>
      <c r="I105">
        <v>13.3</v>
      </c>
      <c r="J105">
        <f>1.76 * F105 * SQRT(29000 / Dashboard!$B$8) / 12</f>
        <v>13.069143982849239</v>
      </c>
      <c r="K105">
        <f>1.95 * G105 * (29000 / (0.7 * Dashboard!$B$8)) / 12 * SQRT((H105*1)/(E105*I105) + SQRT(((H105*1)/(E105*I105))^2 + 6.76*((0.7*Dashboard!$B$8)/29000)^2))</f>
        <v>42.510023265968798</v>
      </c>
      <c r="L105">
        <f>Dashboard!$B$8 * D105 / 12</f>
        <v>654.16666666666663</v>
      </c>
      <c r="M105">
        <f>(Dashboard!$B$9 * PI()^2 * 29000 / ((Dashboard!$B$5*12)/G105)^2) * SQRT(1 + 0.078 * (H105*1)/(E105*I105) * ((Dashboard!$B$5*12)/G105)^2)</f>
        <v>2111.9466614244038</v>
      </c>
      <c r="N105">
        <f>MIN( IF(Dashboard!$B$5 &lt;= J105, L105, IF(Dashboard!$B$5 &lt;= K105, Dashboard!$B$9 * (L105 - (L105 - 0.7*Dashboard!$B$8*E105/12) * ((Dashboard!$B$5 - J105)/(K105 - J105))), M105 * E105 / 12) ), L105 )</f>
        <v>654.16666666666663</v>
      </c>
      <c r="O105">
        <f t="shared" si="2"/>
        <v>391.71656686626744</v>
      </c>
      <c r="P105" t="str">
        <f>IF(AND(O105 &gt;= Dashboard!$B$11, C105 &lt;= Dashboard!$B$6), "Pass", "Fail")</f>
        <v>Fail</v>
      </c>
      <c r="Q105">
        <f t="shared" si="3"/>
        <v>9999999</v>
      </c>
    </row>
    <row r="106" spans="1:17" x14ac:dyDescent="0.25">
      <c r="A106" t="s">
        <v>121</v>
      </c>
      <c r="B106">
        <v>93</v>
      </c>
      <c r="C106">
        <v>21.6</v>
      </c>
      <c r="D106">
        <v>221</v>
      </c>
      <c r="E106">
        <v>192</v>
      </c>
      <c r="F106">
        <v>1.84</v>
      </c>
      <c r="G106">
        <v>2.2400000000000002</v>
      </c>
      <c r="H106">
        <v>6.03</v>
      </c>
      <c r="I106">
        <v>20.7</v>
      </c>
      <c r="J106">
        <f>1.76 * F106 * SQRT(29000 / Dashboard!$B$8) / 12</f>
        <v>6.4992499806601609</v>
      </c>
      <c r="K106">
        <f>1.95 * G106 * (29000 / (0.7 * Dashboard!$B$8)) / 12 * SQRT((H106*1)/(E106*I106) + SQRT(((H106*1)/(E106*I106))^2 + 6.76*((0.7*Dashboard!$B$8)/29000)^2))</f>
        <v>21.332066741787475</v>
      </c>
      <c r="L106">
        <f>Dashboard!$B$8 * D106 / 12</f>
        <v>920.83333333333337</v>
      </c>
      <c r="M106">
        <f>(Dashboard!$B$9 * PI()^2 * 29000 / ((Dashboard!$B$5*12)/G106)^2) * SQRT(1 + 0.078 * (H106*1)/(E106*I106) * ((Dashboard!$B$5*12)/G106)^2)</f>
        <v>640.03221044300312</v>
      </c>
      <c r="N106">
        <f>MIN( IF(Dashboard!$B$5 &lt;= J106, L106, IF(Dashboard!$B$5 &lt;= K106, Dashboard!$B$9 * (L106 - (L106 - 0.7*Dashboard!$B$8*E106/12) * ((Dashboard!$B$5 - J106)/(K106 - J106))), M106 * E106 / 12) ), L106 )</f>
        <v>920.83333333333337</v>
      </c>
      <c r="O106">
        <f t="shared" si="2"/>
        <v>551.39720558882243</v>
      </c>
      <c r="P106" t="str">
        <f>IF(AND(O106 &gt;= Dashboard!$B$11, C106 &lt;= Dashboard!$B$6), "Pass", "Fail")</f>
        <v>Fail</v>
      </c>
      <c r="Q106">
        <f t="shared" si="3"/>
        <v>9999999</v>
      </c>
    </row>
    <row r="107" spans="1:17" x14ac:dyDescent="0.25">
      <c r="A107" t="s">
        <v>122</v>
      </c>
      <c r="B107">
        <v>94</v>
      </c>
      <c r="C107">
        <v>26.9</v>
      </c>
      <c r="D107">
        <v>278</v>
      </c>
      <c r="E107">
        <v>243</v>
      </c>
      <c r="F107">
        <v>2.12</v>
      </c>
      <c r="G107">
        <v>2.59</v>
      </c>
      <c r="H107">
        <v>4.03</v>
      </c>
      <c r="I107">
        <v>26.2</v>
      </c>
      <c r="J107">
        <f>1.76 * F107 * SQRT(29000 / Dashboard!$B$8) / 12</f>
        <v>7.4882662820649699</v>
      </c>
      <c r="K107">
        <f>1.95 * G107 * (29000 / (0.7 * Dashboard!$B$8)) / 12 * SQRT((H107*1)/(E107*I107) + SQRT(((H107*1)/(E107*I107))^2 + 6.76*((0.7*Dashboard!$B$8)/29000)^2))</f>
        <v>21.593173579252458</v>
      </c>
      <c r="L107">
        <f>Dashboard!$B$8 * D107 / 12</f>
        <v>1158.3333333333333</v>
      </c>
      <c r="M107">
        <f>(Dashboard!$B$9 * PI()^2 * 29000 / ((Dashboard!$B$5*12)/G107)^2) * SQRT(1 + 0.078 * (H107*1)/(E107*I107) * ((Dashboard!$B$5*12)/G107)^2)</f>
        <v>840.36181150667483</v>
      </c>
      <c r="N107">
        <f>MIN( IF(Dashboard!$B$5 &lt;= J107, L107, IF(Dashboard!$B$5 &lt;= K107, Dashboard!$B$9 * (L107 - (L107 - 0.7*Dashboard!$B$8*E107/12) * ((Dashboard!$B$5 - J107)/(K107 - J107))), M107 * E107 / 12) ), L107 )</f>
        <v>1158.3333333333333</v>
      </c>
      <c r="O107">
        <f t="shared" si="2"/>
        <v>693.61277445109783</v>
      </c>
      <c r="P107" t="str">
        <f>IF(AND(O107 &gt;= Dashboard!$B$11, C107 &lt;= Dashboard!$B$6), "Pass", "Fail")</f>
        <v>Fail</v>
      </c>
      <c r="Q107">
        <f t="shared" si="3"/>
        <v>9999999</v>
      </c>
    </row>
    <row r="108" spans="1:17" x14ac:dyDescent="0.25">
      <c r="A108" t="s">
        <v>123</v>
      </c>
      <c r="B108">
        <v>94</v>
      </c>
      <c r="C108">
        <v>24.3</v>
      </c>
      <c r="D108">
        <v>254</v>
      </c>
      <c r="E108">
        <v>222</v>
      </c>
      <c r="F108">
        <v>1.98</v>
      </c>
      <c r="G108">
        <v>2.4</v>
      </c>
      <c r="H108">
        <v>5.26</v>
      </c>
      <c r="I108">
        <v>23.4</v>
      </c>
      <c r="J108">
        <f>1.76 * F108 * SQRT(29000 / Dashboard!$B$8) / 12</f>
        <v>6.993758131362565</v>
      </c>
      <c r="K108">
        <f>1.95 * G108 * (29000 / (0.7 * Dashboard!$B$8)) / 12 * SQRT((H108*1)/(E108*I108) + SQRT(((H108*1)/(E108*I108))^2 + 6.76*((0.7*Dashboard!$B$8)/29000)^2))</f>
        <v>21.214034490485624</v>
      </c>
      <c r="L108">
        <f>Dashboard!$B$8 * D108 / 12</f>
        <v>1058.3333333333333</v>
      </c>
      <c r="M108">
        <f>(Dashboard!$B$9 * PI()^2 * 29000 / ((Dashboard!$B$5*12)/G108)^2) * SQRT(1 + 0.078 * (H108*1)/(E108*I108) * ((Dashboard!$B$5*12)/G108)^2)</f>
        <v>726.76105845418238</v>
      </c>
      <c r="N108">
        <f>MIN( IF(Dashboard!$B$5 &lt;= J108, L108, IF(Dashboard!$B$5 &lt;= K108, Dashboard!$B$9 * (L108 - (L108 - 0.7*Dashboard!$B$8*E108/12) * ((Dashboard!$B$5 - J108)/(K108 - J108))), M108 * E108 / 12) ), L108 )</f>
        <v>1058.3333333333333</v>
      </c>
      <c r="O108">
        <f t="shared" si="2"/>
        <v>633.73253493013965</v>
      </c>
      <c r="P108" t="str">
        <f>IF(AND(O108 &gt;= Dashboard!$B$11, C108 &lt;= Dashboard!$B$6), "Pass", "Fail")</f>
        <v>Fail</v>
      </c>
      <c r="Q108">
        <f t="shared" si="3"/>
        <v>9999999</v>
      </c>
    </row>
    <row r="109" spans="1:17" x14ac:dyDescent="0.25">
      <c r="A109" t="s">
        <v>124</v>
      </c>
      <c r="B109">
        <v>96</v>
      </c>
      <c r="C109">
        <v>12.7</v>
      </c>
      <c r="D109">
        <v>147</v>
      </c>
      <c r="E109">
        <v>131</v>
      </c>
      <c r="F109">
        <v>3.09</v>
      </c>
      <c r="G109">
        <v>3.49</v>
      </c>
      <c r="H109">
        <v>6.85</v>
      </c>
      <c r="I109">
        <v>11.8</v>
      </c>
      <c r="J109">
        <f>1.76 * F109 * SQRT(29000 / Dashboard!$B$8) / 12</f>
        <v>10.914501326217335</v>
      </c>
      <c r="K109">
        <f>1.95 * G109 * (29000 / (0.7 * Dashboard!$B$8)) / 12 * SQRT((H109*1)/(E109*I109) + SQRT(((H109*1)/(E109*I109))^2 + 6.76*((0.7*Dashboard!$B$8)/29000)^2))</f>
        <v>46.663202039370752</v>
      </c>
      <c r="L109">
        <f>Dashboard!$B$8 * D109 / 12</f>
        <v>612.5</v>
      </c>
      <c r="M109">
        <f>(Dashboard!$B$9 * PI()^2 * 29000 / ((Dashboard!$B$5*12)/G109)^2) * SQRT(1 + 0.078 * (H109*1)/(E109*I109) * ((Dashboard!$B$5*12)/G109)^2)</f>
        <v>1561.7767824807304</v>
      </c>
      <c r="N109">
        <f>MIN( IF(Dashboard!$B$5 &lt;= J109, L109, IF(Dashboard!$B$5 &lt;= K109, Dashboard!$B$9 * (L109 - (L109 - 0.7*Dashboard!$B$8*E109/12) * ((Dashboard!$B$5 - J109)/(K109 - J109))), M109 * E109 / 12) ), L109 )</f>
        <v>612.5</v>
      </c>
      <c r="O109">
        <f t="shared" si="2"/>
        <v>366.76646706586826</v>
      </c>
      <c r="P109" t="str">
        <f>IF(AND(O109 &gt;= Dashboard!$B$11, C109 &lt;= Dashboard!$B$6), "Pass", "Fail")</f>
        <v>Fail</v>
      </c>
      <c r="Q109">
        <f t="shared" si="3"/>
        <v>9999999</v>
      </c>
    </row>
    <row r="110" spans="1:17" x14ac:dyDescent="0.25">
      <c r="A110" t="s">
        <v>125</v>
      </c>
      <c r="B110">
        <v>97</v>
      </c>
      <c r="C110">
        <v>18.600000000000001</v>
      </c>
      <c r="D110">
        <v>211</v>
      </c>
      <c r="E110">
        <v>188</v>
      </c>
      <c r="F110">
        <v>2.65</v>
      </c>
      <c r="G110">
        <v>3.08</v>
      </c>
      <c r="H110">
        <v>5.86</v>
      </c>
      <c r="I110">
        <v>17.7</v>
      </c>
      <c r="J110">
        <f>1.76 * F110 * SQRT(29000 / Dashboard!$B$8) / 12</f>
        <v>9.3603328525812106</v>
      </c>
      <c r="K110">
        <f>1.95 * G110 * (29000 / (0.7 * Dashboard!$B$8)) / 12 * SQRT((H110*1)/(E110*I110) + SQRT(((H110*1)/(E110*I110))^2 + 6.76*((0.7*Dashboard!$B$8)/29000)^2))</f>
        <v>30.359152583196899</v>
      </c>
      <c r="L110">
        <f>Dashboard!$B$8 * D110 / 12</f>
        <v>879.16666666666663</v>
      </c>
      <c r="M110">
        <f>(Dashboard!$B$9 * PI()^2 * 29000 / ((Dashboard!$B$5*12)/G110)^2) * SQRT(1 + 0.078 * (H110*1)/(E110*I110) * ((Dashboard!$B$5*12)/G110)^2)</f>
        <v>1197.961289804274</v>
      </c>
      <c r="N110">
        <f>MIN( IF(Dashboard!$B$5 &lt;= J110, L110, IF(Dashboard!$B$5 &lt;= K110, Dashboard!$B$9 * (L110 - (L110 - 0.7*Dashboard!$B$8*E110/12) * ((Dashboard!$B$5 - J110)/(K110 - J110))), M110 * E110 / 12) ), L110 )</f>
        <v>879.16666666666663</v>
      </c>
      <c r="O110">
        <f t="shared" si="2"/>
        <v>526.44710578842319</v>
      </c>
      <c r="P110" t="str">
        <f>IF(AND(O110 &gt;= Dashboard!$B$11, C110 &lt;= Dashboard!$B$6), "Pass", "Fail")</f>
        <v>Fail</v>
      </c>
      <c r="Q110">
        <f t="shared" si="3"/>
        <v>9999999</v>
      </c>
    </row>
    <row r="111" spans="1:17" x14ac:dyDescent="0.25">
      <c r="A111" t="s">
        <v>126</v>
      </c>
      <c r="B111">
        <v>99</v>
      </c>
      <c r="C111">
        <v>29.7</v>
      </c>
      <c r="D111">
        <v>312</v>
      </c>
      <c r="E111">
        <v>269</v>
      </c>
      <c r="F111">
        <v>2.1</v>
      </c>
      <c r="G111">
        <v>2.62</v>
      </c>
      <c r="H111">
        <v>3.77</v>
      </c>
      <c r="I111">
        <v>29</v>
      </c>
      <c r="J111">
        <f>1.76 * F111 * SQRT(29000 / Dashboard!$B$8) / 12</f>
        <v>7.4176222605360538</v>
      </c>
      <c r="K111">
        <f>1.95 * G111 * (29000 / (0.7 * Dashboard!$B$8)) / 12 * SQRT((H111*1)/(E111*I111) + SQRT(((H111*1)/(E111*I111))^2 + 6.76*((0.7*Dashboard!$B$8)/29000)^2))</f>
        <v>21.336257559761208</v>
      </c>
      <c r="L111">
        <f>Dashboard!$B$8 * D111 / 12</f>
        <v>1300</v>
      </c>
      <c r="M111">
        <f>(Dashboard!$B$9 * PI()^2 * 29000 / ((Dashboard!$B$5*12)/G111)^2) * SQRT(1 + 0.078 * (H111*1)/(E111*I111) * ((Dashboard!$B$5*12)/G111)^2)</f>
        <v>858.11995921399739</v>
      </c>
      <c r="N111">
        <f>MIN( IF(Dashboard!$B$5 &lt;= J111, L111, IF(Dashboard!$B$5 &lt;= K111, Dashboard!$B$9 * (L111 - (L111 - 0.7*Dashboard!$B$8*E111/12) * ((Dashboard!$B$5 - J111)/(K111 - J111))), M111 * E111 / 12) ), L111 )</f>
        <v>1300</v>
      </c>
      <c r="O111">
        <f t="shared" si="2"/>
        <v>778.44311377245515</v>
      </c>
      <c r="P111" t="str">
        <f>IF(AND(O111 &gt;= Dashboard!$B$11, C111 &lt;= Dashboard!$B$6), "Pass", "Fail")</f>
        <v>Fail</v>
      </c>
      <c r="Q111">
        <f t="shared" si="3"/>
        <v>9999999</v>
      </c>
    </row>
    <row r="112" spans="1:17" x14ac:dyDescent="0.25">
      <c r="A112" t="s">
        <v>127</v>
      </c>
      <c r="B112">
        <v>99</v>
      </c>
      <c r="C112">
        <v>14.2</v>
      </c>
      <c r="D112">
        <v>173</v>
      </c>
      <c r="E112">
        <v>157</v>
      </c>
      <c r="F112">
        <v>3.71</v>
      </c>
      <c r="G112">
        <v>4.1399999999999997</v>
      </c>
      <c r="H112">
        <v>5.37</v>
      </c>
      <c r="I112">
        <v>13.4</v>
      </c>
      <c r="J112">
        <f>1.76 * F112 * SQRT(29000 / Dashboard!$B$8) / 12</f>
        <v>13.104465993613696</v>
      </c>
      <c r="K112">
        <f>1.95 * G112 * (29000 / (0.7 * Dashboard!$B$8)) / 12 * SQRT((H112*1)/(E112*I112) + SQRT(((H112*1)/(E112*I112))^2 + 6.76*((0.7*Dashboard!$B$8)/29000)^2))</f>
        <v>45.276620899402232</v>
      </c>
      <c r="L112">
        <f>Dashboard!$B$8 * D112 / 12</f>
        <v>720.83333333333337</v>
      </c>
      <c r="M112">
        <f>(Dashboard!$B$9 * PI()^2 * 29000 / ((Dashboard!$B$5*12)/G112)^2) * SQRT(1 + 0.078 * (H112*1)/(E112*I112) * ((Dashboard!$B$5*12)/G112)^2)</f>
        <v>2157.5019898590467</v>
      </c>
      <c r="N112">
        <f>MIN( IF(Dashboard!$B$5 &lt;= J112, L112, IF(Dashboard!$B$5 &lt;= K112, Dashboard!$B$9 * (L112 - (L112 - 0.7*Dashboard!$B$8*E112/12) * ((Dashboard!$B$5 - J112)/(K112 - J112))), M112 * E112 / 12) ), L112 )</f>
        <v>720.83333333333337</v>
      </c>
      <c r="O112">
        <f t="shared" si="2"/>
        <v>431.63672654690623</v>
      </c>
      <c r="P112" t="str">
        <f>IF(AND(O112 &gt;= Dashboard!$B$11, C112 &lt;= Dashboard!$B$6), "Pass", "Fail")</f>
        <v>Fail</v>
      </c>
      <c r="Q112">
        <f t="shared" si="3"/>
        <v>9999999</v>
      </c>
    </row>
    <row r="113" spans="1:17" x14ac:dyDescent="0.25">
      <c r="A113" t="s">
        <v>128</v>
      </c>
      <c r="B113">
        <v>100</v>
      </c>
      <c r="C113">
        <v>17</v>
      </c>
      <c r="D113">
        <v>198</v>
      </c>
      <c r="E113">
        <v>175</v>
      </c>
      <c r="F113">
        <v>2.5099999999999998</v>
      </c>
      <c r="G113">
        <v>2.92</v>
      </c>
      <c r="H113">
        <v>7.73</v>
      </c>
      <c r="I113">
        <v>16</v>
      </c>
      <c r="J113">
        <f>1.76 * F113 * SQRT(29000 / Dashboard!$B$8) / 12</f>
        <v>8.8658247018788057</v>
      </c>
      <c r="K113">
        <f>1.95 * G113 * (29000 / (0.7 * Dashboard!$B$8)) / 12 * SQRT((H113*1)/(E113*I113) + SQRT(((H113*1)/(E113*I113))^2 + 6.76*((0.7*Dashboard!$B$8)/29000)^2))</f>
        <v>32.753096467277366</v>
      </c>
      <c r="L113">
        <f>Dashboard!$B$8 * D113 / 12</f>
        <v>825</v>
      </c>
      <c r="M113">
        <f>(Dashboard!$B$9 * PI()^2 * 29000 / ((Dashboard!$B$5*12)/G113)^2) * SQRT(1 + 0.078 * (H113*1)/(E113*I113) * ((Dashboard!$B$5*12)/G113)^2)</f>
        <v>1089.5881497696566</v>
      </c>
      <c r="N113">
        <f>MIN( IF(Dashboard!$B$5 &lt;= J113, L113, IF(Dashboard!$B$5 &lt;= K113, Dashboard!$B$9 * (L113 - (L113 - 0.7*Dashboard!$B$8*E113/12) * ((Dashboard!$B$5 - J113)/(K113 - J113))), M113 * E113 / 12) ), L113 )</f>
        <v>825</v>
      </c>
      <c r="O113">
        <f t="shared" si="2"/>
        <v>494.01197604790423</v>
      </c>
      <c r="P113" t="str">
        <f>IF(AND(O113 &gt;= Dashboard!$B$11, C113 &lt;= Dashboard!$B$6), "Pass", "Fail")</f>
        <v>Fail</v>
      </c>
      <c r="Q113">
        <f t="shared" si="3"/>
        <v>9999999</v>
      </c>
    </row>
    <row r="114" spans="1:17" x14ac:dyDescent="0.25">
      <c r="A114" t="s">
        <v>129</v>
      </c>
      <c r="B114">
        <v>100</v>
      </c>
      <c r="C114">
        <v>11.1</v>
      </c>
      <c r="D114">
        <v>130</v>
      </c>
      <c r="E114">
        <v>112</v>
      </c>
      <c r="F114">
        <v>2.65</v>
      </c>
      <c r="G114">
        <v>3.04</v>
      </c>
      <c r="H114">
        <v>10.9</v>
      </c>
      <c r="I114">
        <v>10</v>
      </c>
      <c r="J114">
        <f>1.76 * F114 * SQRT(29000 / Dashboard!$B$8) / 12</f>
        <v>9.3603328525812106</v>
      </c>
      <c r="K114">
        <f>1.95 * G114 * (29000 / (0.7 * Dashboard!$B$8)) / 12 * SQRT((H114*1)/(E114*I114) + SQRT(((H114*1)/(E114*I114))^2 + 6.76*((0.7*Dashboard!$B$8)/29000)^2))</f>
        <v>57.82447790836293</v>
      </c>
      <c r="L114">
        <f>Dashboard!$B$8 * D114 / 12</f>
        <v>541.66666666666663</v>
      </c>
      <c r="M114">
        <f>(Dashboard!$B$9 * PI()^2 * 29000 / ((Dashboard!$B$5*12)/G114)^2) * SQRT(1 + 0.078 * (H114*1)/(E114*I114) * ((Dashboard!$B$5*12)/G114)^2)</f>
        <v>1251.9852561939401</v>
      </c>
      <c r="N114">
        <f>MIN( IF(Dashboard!$B$5 &lt;= J114, L114, IF(Dashboard!$B$5 &lt;= K114, Dashboard!$B$9 * (L114 - (L114 - 0.7*Dashboard!$B$8*E114/12) * ((Dashboard!$B$5 - J114)/(K114 - J114))), M114 * E114 / 12) ), L114 )</f>
        <v>541.66666666666663</v>
      </c>
      <c r="O114">
        <f t="shared" si="2"/>
        <v>324.3512974051896</v>
      </c>
      <c r="P114" t="str">
        <f>IF(AND(O114 &gt;= Dashboard!$B$11, C114 &lt;= Dashboard!$B$6), "Pass", "Fail")</f>
        <v>Fail</v>
      </c>
      <c r="Q114">
        <f t="shared" si="3"/>
        <v>9999999</v>
      </c>
    </row>
    <row r="115" spans="1:17" x14ac:dyDescent="0.25">
      <c r="A115" t="s">
        <v>130</v>
      </c>
      <c r="B115">
        <v>101</v>
      </c>
      <c r="C115">
        <v>21.4</v>
      </c>
      <c r="D115">
        <v>253</v>
      </c>
      <c r="E115">
        <v>227</v>
      </c>
      <c r="F115">
        <v>2.89</v>
      </c>
      <c r="G115">
        <v>3.35</v>
      </c>
      <c r="H115">
        <v>5.21</v>
      </c>
      <c r="I115">
        <v>20.6</v>
      </c>
      <c r="J115">
        <f>1.76 * F115 * SQRT(29000 / Dashboard!$B$8) / 12</f>
        <v>10.20806111092819</v>
      </c>
      <c r="K115">
        <f>1.95 * G115 * (29000 / (0.7 * Dashboard!$B$8)) / 12 * SQRT((H115*1)/(E115*I115) + SQRT(((H115*1)/(E115*I115))^2 + 6.76*((0.7*Dashboard!$B$8)/29000)^2))</f>
        <v>30.068766421295514</v>
      </c>
      <c r="L115">
        <f>Dashboard!$B$8 * D115 / 12</f>
        <v>1054.1666666666667</v>
      </c>
      <c r="M115">
        <f>(Dashboard!$B$9 * PI()^2 * 29000 / ((Dashboard!$B$5*12)/G115)^2) * SQRT(1 + 0.078 * (H115*1)/(E115*I115) * ((Dashboard!$B$5*12)/G115)^2)</f>
        <v>1406.5169370435926</v>
      </c>
      <c r="N115">
        <f>MIN( IF(Dashboard!$B$5 &lt;= J115, L115, IF(Dashboard!$B$5 &lt;= K115, Dashboard!$B$9 * (L115 - (L115 - 0.7*Dashboard!$B$8*E115/12) * ((Dashboard!$B$5 - J115)/(K115 - J115))), M115 * E115 / 12) ), L115 )</f>
        <v>1054.1666666666667</v>
      </c>
      <c r="O115">
        <f t="shared" si="2"/>
        <v>631.2375249500999</v>
      </c>
      <c r="P115" t="str">
        <f>IF(AND(O115 &gt;= Dashboard!$B$11, C115 &lt;= Dashboard!$B$6), "Pass", "Fail")</f>
        <v>Fail</v>
      </c>
      <c r="Q115">
        <f t="shared" si="3"/>
        <v>9999999</v>
      </c>
    </row>
    <row r="116" spans="1:17" x14ac:dyDescent="0.25">
      <c r="A116" t="s">
        <v>131</v>
      </c>
      <c r="B116">
        <v>102</v>
      </c>
      <c r="C116">
        <v>27.1</v>
      </c>
      <c r="D116">
        <v>305</v>
      </c>
      <c r="E116">
        <v>267</v>
      </c>
      <c r="F116">
        <v>2.15</v>
      </c>
      <c r="G116">
        <v>2.62</v>
      </c>
      <c r="H116">
        <v>5.28</v>
      </c>
      <c r="I116">
        <v>26.3</v>
      </c>
      <c r="J116">
        <f>1.76 * F116 * SQRT(29000 / Dashboard!$B$8) / 12</f>
        <v>7.594232314358341</v>
      </c>
      <c r="K116">
        <f>1.95 * G116 * (29000 / (0.7 * Dashboard!$B$8)) / 12 * SQRT((H116*1)/(E116*I116) + SQRT(((H116*1)/(E116*I116))^2 + 6.76*((0.7*Dashboard!$B$8)/29000)^2))</f>
        <v>22.251212950448402</v>
      </c>
      <c r="L116">
        <f>Dashboard!$B$8 * D116 / 12</f>
        <v>1270.8333333333333</v>
      </c>
      <c r="M116">
        <f>(Dashboard!$B$9 * PI()^2 * 29000 / ((Dashboard!$B$5*12)/G116)^2) * SQRT(1 + 0.078 * (H116*1)/(E116*I116) * ((Dashboard!$B$5*12)/G116)^2)</f>
        <v>861.09471615779592</v>
      </c>
      <c r="N116">
        <f>MIN( IF(Dashboard!$B$5 &lt;= J116, L116, IF(Dashboard!$B$5 &lt;= K116, Dashboard!$B$9 * (L116 - (L116 - 0.7*Dashboard!$B$8*E116/12) * ((Dashboard!$B$5 - J116)/(K116 - J116))), M116 * E116 / 12) ), L116 )</f>
        <v>1270.8333333333333</v>
      </c>
      <c r="O116">
        <f t="shared" si="2"/>
        <v>760.97804391217562</v>
      </c>
      <c r="P116" t="str">
        <f>IF(AND(O116 &gt;= Dashboard!$B$11, C116 &lt;= Dashboard!$B$6), "Pass", "Fail")</f>
        <v>Fail</v>
      </c>
      <c r="Q116">
        <f t="shared" si="3"/>
        <v>9999999</v>
      </c>
    </row>
    <row r="117" spans="1:17" x14ac:dyDescent="0.25">
      <c r="A117" t="s">
        <v>132</v>
      </c>
      <c r="B117">
        <v>103</v>
      </c>
      <c r="C117">
        <v>24.5</v>
      </c>
      <c r="D117">
        <v>280</v>
      </c>
      <c r="E117">
        <v>245</v>
      </c>
      <c r="F117">
        <v>1.99</v>
      </c>
      <c r="G117">
        <v>2.4</v>
      </c>
      <c r="H117">
        <v>7.07</v>
      </c>
      <c r="I117">
        <v>23.5</v>
      </c>
      <c r="J117">
        <f>1.76 * F117 * SQRT(29000 / Dashboard!$B$8) / 12</f>
        <v>7.0290801421270226</v>
      </c>
      <c r="K117">
        <f>1.95 * G117 * (29000 / (0.7 * Dashboard!$B$8)) / 12 * SQRT((H117*1)/(E117*I117) + SQRT(((H117*1)/(E117*I117))^2 + 6.76*((0.7*Dashboard!$B$8)/29000)^2))</f>
        <v>21.91091643411108</v>
      </c>
      <c r="L117">
        <f>Dashboard!$B$8 * D117 / 12</f>
        <v>1166.6666666666667</v>
      </c>
      <c r="M117">
        <f>(Dashboard!$B$9 * PI()^2 * 29000 / ((Dashboard!$B$5*12)/G117)^2) * SQRT(1 + 0.078 * (H117*1)/(E117*I117) * ((Dashboard!$B$5*12)/G117)^2)</f>
        <v>729.12465714502616</v>
      </c>
      <c r="N117">
        <f>MIN( IF(Dashboard!$B$5 &lt;= J117, L117, IF(Dashboard!$B$5 &lt;= K117, Dashboard!$B$9 * (L117 - (L117 - 0.7*Dashboard!$B$8*E117/12) * ((Dashboard!$B$5 - J117)/(K117 - J117))), M117 * E117 / 12) ), L117 )</f>
        <v>1166.6666666666667</v>
      </c>
      <c r="O117">
        <f t="shared" si="2"/>
        <v>698.60279441117768</v>
      </c>
      <c r="P117" t="str">
        <f>IF(AND(O117 &gt;= Dashboard!$B$11, C117 &lt;= Dashboard!$B$6), "Pass", "Fail")</f>
        <v>Fail</v>
      </c>
      <c r="Q117">
        <f t="shared" si="3"/>
        <v>9999999</v>
      </c>
    </row>
    <row r="118" spans="1:17" x14ac:dyDescent="0.25">
      <c r="A118" t="s">
        <v>133</v>
      </c>
      <c r="B118">
        <v>104</v>
      </c>
      <c r="C118">
        <v>24.1</v>
      </c>
      <c r="D118">
        <v>289</v>
      </c>
      <c r="E118">
        <v>258</v>
      </c>
      <c r="F118">
        <v>2.91</v>
      </c>
      <c r="G118">
        <v>3.42</v>
      </c>
      <c r="H118">
        <v>4.72</v>
      </c>
      <c r="I118">
        <v>23.4</v>
      </c>
      <c r="J118">
        <f>1.76 * F118 * SQRT(29000 / Dashboard!$B$8) / 12</f>
        <v>10.278705132457103</v>
      </c>
      <c r="K118">
        <f>1.95 * G118 * (29000 / (0.7 * Dashboard!$B$8)) / 12 * SQRT((H118*1)/(E118*I118) + SQRT(((H118*1)/(E118*I118))^2 + 6.76*((0.7*Dashboard!$B$8)/29000)^2))</f>
        <v>29.180246696826618</v>
      </c>
      <c r="L118">
        <f>Dashboard!$B$8 * D118 / 12</f>
        <v>1204.1666666666667</v>
      </c>
      <c r="M118">
        <f>(Dashboard!$B$9 * PI()^2 * 29000 / ((Dashboard!$B$5*12)/G118)^2) * SQRT(1 + 0.078 * (H118*1)/(E118*I118) * ((Dashboard!$B$5*12)/G118)^2)</f>
        <v>1461.7072685991354</v>
      </c>
      <c r="N118">
        <f>MIN( IF(Dashboard!$B$5 &lt;= J118, L118, IF(Dashboard!$B$5 &lt;= K118, Dashboard!$B$9 * (L118 - (L118 - 0.7*Dashboard!$B$8*E118/12) * ((Dashboard!$B$5 - J118)/(K118 - J118))), M118 * E118 / 12) ), L118 )</f>
        <v>1204.1666666666667</v>
      </c>
      <c r="O118">
        <f t="shared" si="2"/>
        <v>721.05788423153695</v>
      </c>
      <c r="P118" t="str">
        <f>IF(AND(O118 &gt;= Dashboard!$B$11, C118 &lt;= Dashboard!$B$6), "Pass", "Fail")</f>
        <v>Fail</v>
      </c>
      <c r="Q118">
        <f t="shared" si="3"/>
        <v>9999999</v>
      </c>
    </row>
    <row r="119" spans="1:17" x14ac:dyDescent="0.25">
      <c r="A119" t="s">
        <v>134</v>
      </c>
      <c r="B119">
        <v>106</v>
      </c>
      <c r="C119">
        <v>18.7</v>
      </c>
      <c r="D119">
        <v>230</v>
      </c>
      <c r="E119">
        <v>204</v>
      </c>
      <c r="F119">
        <v>2.66</v>
      </c>
      <c r="G119">
        <v>3.1</v>
      </c>
      <c r="H119">
        <v>7.48</v>
      </c>
      <c r="I119">
        <v>17.8</v>
      </c>
      <c r="J119">
        <f>1.76 * F119 * SQRT(29000 / Dashboard!$B$8) / 12</f>
        <v>9.3956548633456691</v>
      </c>
      <c r="K119">
        <f>1.95 * G119 * (29000 / (0.7 * Dashboard!$B$8)) / 12 * SQRT((H119*1)/(E119*I119) + SQRT(((H119*1)/(E119*I119))^2 + 6.76*((0.7*Dashboard!$B$8)/29000)^2))</f>
        <v>31.824876490838061</v>
      </c>
      <c r="L119">
        <f>Dashboard!$B$8 * D119 / 12</f>
        <v>958.33333333333337</v>
      </c>
      <c r="M119">
        <f>(Dashboard!$B$9 * PI()^2 * 29000 / ((Dashboard!$B$5*12)/G119)^2) * SQRT(1 + 0.078 * (H119*1)/(E119*I119) * ((Dashboard!$B$5*12)/G119)^2)</f>
        <v>1216.5961504525196</v>
      </c>
      <c r="N119">
        <f>MIN( IF(Dashboard!$B$5 &lt;= J119, L119, IF(Dashboard!$B$5 &lt;= K119, Dashboard!$B$9 * (L119 - (L119 - 0.7*Dashboard!$B$8*E119/12) * ((Dashboard!$B$5 - J119)/(K119 - J119))), M119 * E119 / 12) ), L119 )</f>
        <v>958.33333333333337</v>
      </c>
      <c r="O119">
        <f t="shared" si="2"/>
        <v>573.85229540918169</v>
      </c>
      <c r="P119" t="str">
        <f>IF(AND(O119 &gt;= Dashboard!$B$11, C119 &lt;= Dashboard!$B$6), "Pass", "Fail")</f>
        <v>Fail</v>
      </c>
      <c r="Q119">
        <f t="shared" si="3"/>
        <v>9999999</v>
      </c>
    </row>
    <row r="120" spans="1:17" x14ac:dyDescent="0.25">
      <c r="A120" t="s">
        <v>135</v>
      </c>
      <c r="B120">
        <v>106</v>
      </c>
      <c r="C120">
        <v>12.9</v>
      </c>
      <c r="D120">
        <v>164</v>
      </c>
      <c r="E120">
        <v>145</v>
      </c>
      <c r="F120">
        <v>3.11</v>
      </c>
      <c r="G120">
        <v>3.52</v>
      </c>
      <c r="H120">
        <v>9.1300000000000008</v>
      </c>
      <c r="I120">
        <v>11.9</v>
      </c>
      <c r="J120">
        <f>1.76 * F120 * SQRT(29000 / Dashboard!$B$8) / 12</f>
        <v>10.985145347746252</v>
      </c>
      <c r="K120">
        <f>1.95 * G120 * (29000 / (0.7 * Dashboard!$B$8)) / 12 * SQRT((H120*1)/(E120*I120) + SQRT(((H120*1)/(E120*I120))^2 + 6.76*((0.7*Dashboard!$B$8)/29000)^2))</f>
        <v>50.698455709745943</v>
      </c>
      <c r="L120">
        <f>Dashboard!$B$8 * D120 / 12</f>
        <v>683.33333333333337</v>
      </c>
      <c r="M120">
        <f>(Dashboard!$B$9 * PI()^2 * 29000 / ((Dashboard!$B$5*12)/G120)^2) * SQRT(1 + 0.078 * (H120*1)/(E120*I120) * ((Dashboard!$B$5*12)/G120)^2)</f>
        <v>1597.1913052976513</v>
      </c>
      <c r="N120">
        <f>MIN( IF(Dashboard!$B$5 &lt;= J120, L120, IF(Dashboard!$B$5 &lt;= K120, Dashboard!$B$9 * (L120 - (L120 - 0.7*Dashboard!$B$8*E120/12) * ((Dashboard!$B$5 - J120)/(K120 - J120))), M120 * E120 / 12) ), L120 )</f>
        <v>683.33333333333337</v>
      </c>
      <c r="O120">
        <f t="shared" si="2"/>
        <v>409.18163672654697</v>
      </c>
      <c r="P120" t="str">
        <f>IF(AND(O120 &gt;= Dashboard!$B$11, C120 &lt;= Dashboard!$B$6), "Pass", "Fail")</f>
        <v>Fail</v>
      </c>
      <c r="Q120">
        <f t="shared" si="3"/>
        <v>9999999</v>
      </c>
    </row>
    <row r="121" spans="1:17" x14ac:dyDescent="0.25">
      <c r="A121" t="s">
        <v>136</v>
      </c>
      <c r="B121">
        <v>108</v>
      </c>
      <c r="C121">
        <v>29.8</v>
      </c>
      <c r="D121">
        <v>346</v>
      </c>
      <c r="E121">
        <v>299</v>
      </c>
      <c r="F121">
        <v>2.15</v>
      </c>
      <c r="G121">
        <v>2.67</v>
      </c>
      <c r="H121">
        <v>4.99</v>
      </c>
      <c r="I121">
        <v>29</v>
      </c>
      <c r="J121">
        <f>1.76 * F121 * SQRT(29000 / Dashboard!$B$8) / 12</f>
        <v>7.594232314358341</v>
      </c>
      <c r="K121">
        <f>1.95 * G121 * (29000 / (0.7 * Dashboard!$B$8)) / 12 * SQRT((H121*1)/(E121*I121) + SQRT(((H121*1)/(E121*I121))^2 + 6.76*((0.7*Dashboard!$B$8)/29000)^2))</f>
        <v>22.060741937598248</v>
      </c>
      <c r="L121">
        <f>Dashboard!$B$8 * D121 / 12</f>
        <v>1441.6666666666667</v>
      </c>
      <c r="M121">
        <f>(Dashboard!$B$9 * PI()^2 * 29000 / ((Dashboard!$B$5*12)/G121)^2) * SQRT(1 + 0.078 * (H121*1)/(E121*I121) * ((Dashboard!$B$5*12)/G121)^2)</f>
        <v>892.00106852356419</v>
      </c>
      <c r="N121">
        <f>MIN( IF(Dashboard!$B$5 &lt;= J121, L121, IF(Dashboard!$B$5 &lt;= K121, Dashboard!$B$9 * (L121 - (L121 - 0.7*Dashboard!$B$8*E121/12) * ((Dashboard!$B$5 - J121)/(K121 - J121))), M121 * E121 / 12) ), L121 )</f>
        <v>1441.6666666666667</v>
      </c>
      <c r="O121">
        <f t="shared" si="2"/>
        <v>863.27345309381246</v>
      </c>
      <c r="P121" t="str">
        <f>IF(AND(O121 &gt;= Dashboard!$B$11, C121 &lt;= Dashboard!$B$6), "Pass", "Fail")</f>
        <v>Fail</v>
      </c>
      <c r="Q121">
        <f t="shared" si="3"/>
        <v>9999999</v>
      </c>
    </row>
    <row r="122" spans="1:17" x14ac:dyDescent="0.25">
      <c r="A122" t="s">
        <v>137</v>
      </c>
      <c r="B122">
        <v>109</v>
      </c>
      <c r="C122">
        <v>14.3</v>
      </c>
      <c r="D122">
        <v>192</v>
      </c>
      <c r="E122">
        <v>173</v>
      </c>
      <c r="F122">
        <v>3.73</v>
      </c>
      <c r="G122">
        <v>4.17</v>
      </c>
      <c r="H122">
        <v>7.12</v>
      </c>
      <c r="I122">
        <v>13.4</v>
      </c>
      <c r="J122">
        <f>1.76 * F122 * SQRT(29000 / Dashboard!$B$8) / 12</f>
        <v>13.175110015142609</v>
      </c>
      <c r="K122">
        <f>1.95 * G122 * (29000 / (0.7 * Dashboard!$B$8)) / 12 * SQRT((H122*1)/(E122*I122) + SQRT(((H122*1)/(E122*I122))^2 + 6.76*((0.7*Dashboard!$B$8)/29000)^2))</f>
        <v>48.501316782178115</v>
      </c>
      <c r="L122">
        <f>Dashboard!$B$8 * D122 / 12</f>
        <v>800</v>
      </c>
      <c r="M122">
        <f>(Dashboard!$B$9 * PI()^2 * 29000 / ((Dashboard!$B$5*12)/G122)^2) * SQRT(1 + 0.078 * (H122*1)/(E122*I122) * ((Dashboard!$B$5*12)/G122)^2)</f>
        <v>2194.1834249169979</v>
      </c>
      <c r="N122">
        <f>MIN( IF(Dashboard!$B$5 &lt;= J122, L122, IF(Dashboard!$B$5 &lt;= K122, Dashboard!$B$9 * (L122 - (L122 - 0.7*Dashboard!$B$8*E122/12) * ((Dashboard!$B$5 - J122)/(K122 - J122))), M122 * E122 / 12) ), L122 )</f>
        <v>800</v>
      </c>
      <c r="O122">
        <f t="shared" si="2"/>
        <v>479.04191616766468</v>
      </c>
      <c r="P122" t="str">
        <f>IF(AND(O122 &gt;= Dashboard!$B$11, C122 &lt;= Dashboard!$B$6), "Pass", "Fail")</f>
        <v>Fail</v>
      </c>
      <c r="Q122">
        <f t="shared" si="3"/>
        <v>9999999</v>
      </c>
    </row>
    <row r="123" spans="1:17" x14ac:dyDescent="0.25">
      <c r="A123" t="s">
        <v>138</v>
      </c>
      <c r="B123">
        <v>111</v>
      </c>
      <c r="C123">
        <v>21.5</v>
      </c>
      <c r="D123">
        <v>279</v>
      </c>
      <c r="E123">
        <v>249</v>
      </c>
      <c r="F123">
        <v>2.9</v>
      </c>
      <c r="G123">
        <v>3.37</v>
      </c>
      <c r="H123">
        <v>6.83</v>
      </c>
      <c r="I123">
        <v>20.6</v>
      </c>
      <c r="J123">
        <f>1.76 * F123 * SQRT(29000 / Dashboard!$B$8) / 12</f>
        <v>10.243383121692647</v>
      </c>
      <c r="K123">
        <f>1.95 * G123 * (29000 / (0.7 * Dashboard!$B$8)) / 12 * SQRT((H123*1)/(E123*I123) + SQRT(((H123*1)/(E123*I123))^2 + 6.76*((0.7*Dashboard!$B$8)/29000)^2))</f>
        <v>31.240349510667173</v>
      </c>
      <c r="L123">
        <f>Dashboard!$B$8 * D123 / 12</f>
        <v>1162.5</v>
      </c>
      <c r="M123">
        <f>(Dashboard!$B$9 * PI()^2 * 29000 / ((Dashboard!$B$5*12)/G123)^2) * SQRT(1 + 0.078 * (H123*1)/(E123*I123) * ((Dashboard!$B$5*12)/G123)^2)</f>
        <v>1425.6171112376671</v>
      </c>
      <c r="N123">
        <f>MIN( IF(Dashboard!$B$5 &lt;= J123, L123, IF(Dashboard!$B$5 &lt;= K123, Dashboard!$B$9 * (L123 - (L123 - 0.7*Dashboard!$B$8*E123/12) * ((Dashboard!$B$5 - J123)/(K123 - J123))), M123 * E123 / 12) ), L123 )</f>
        <v>1162.5</v>
      </c>
      <c r="O123">
        <f t="shared" si="2"/>
        <v>696.1077844311377</v>
      </c>
      <c r="P123" t="str">
        <f>IF(AND(O123 &gt;= Dashboard!$B$11, C123 &lt;= Dashboard!$B$6), "Pass", "Fail")</f>
        <v>Fail</v>
      </c>
      <c r="Q123">
        <f t="shared" si="3"/>
        <v>9999999</v>
      </c>
    </row>
    <row r="124" spans="1:17" x14ac:dyDescent="0.25">
      <c r="A124" t="s">
        <v>139</v>
      </c>
      <c r="B124">
        <v>112</v>
      </c>
      <c r="C124">
        <v>11.4</v>
      </c>
      <c r="D124">
        <v>147</v>
      </c>
      <c r="E124">
        <v>126</v>
      </c>
      <c r="F124">
        <v>2.68</v>
      </c>
      <c r="G124">
        <v>3.08</v>
      </c>
      <c r="H124">
        <v>15.1</v>
      </c>
      <c r="I124">
        <v>10.199999999999999</v>
      </c>
      <c r="J124">
        <f>1.76 * F124 * SQRT(29000 / Dashboard!$B$8) / 12</f>
        <v>9.4662988848745844</v>
      </c>
      <c r="K124">
        <f>1.95 * G124 * (29000 / (0.7 * Dashboard!$B$8)) / 12 * SQRT((H124*1)/(E124*I124) + SQRT(((H124*1)/(E124*I124))^2 + 6.76*((0.7*Dashboard!$B$8)/29000)^2))</f>
        <v>64.124617502439037</v>
      </c>
      <c r="L124">
        <f>Dashboard!$B$8 * D124 / 12</f>
        <v>612.5</v>
      </c>
      <c r="M124">
        <f>(Dashboard!$B$9 * PI()^2 * 29000 / ((Dashboard!$B$5*12)/G124)^2) * SQRT(1 + 0.078 * (H124*1)/(E124*I124) * ((Dashboard!$B$5*12)/G124)^2)</f>
        <v>1303.0316268943786</v>
      </c>
      <c r="N124">
        <f>MIN( IF(Dashboard!$B$5 &lt;= J124, L124, IF(Dashboard!$B$5 &lt;= K124, Dashboard!$B$9 * (L124 - (L124 - 0.7*Dashboard!$B$8*E124/12) * ((Dashboard!$B$5 - J124)/(K124 - J124))), M124 * E124 / 12) ), L124 )</f>
        <v>612.5</v>
      </c>
      <c r="O124">
        <f t="shared" si="2"/>
        <v>366.76646706586826</v>
      </c>
      <c r="P124" t="str">
        <f>IF(AND(O124 &gt;= Dashboard!$B$11, C124 &lt;= Dashboard!$B$6), "Pass", "Fail")</f>
        <v>Fail</v>
      </c>
      <c r="Q124">
        <f t="shared" si="3"/>
        <v>9999999</v>
      </c>
    </row>
    <row r="125" spans="1:17" x14ac:dyDescent="0.25">
      <c r="A125" t="s">
        <v>140</v>
      </c>
      <c r="B125">
        <v>114</v>
      </c>
      <c r="C125">
        <v>27.3</v>
      </c>
      <c r="D125">
        <v>343</v>
      </c>
      <c r="E125">
        <v>299</v>
      </c>
      <c r="F125">
        <v>2.1800000000000002</v>
      </c>
      <c r="G125">
        <v>2.65</v>
      </c>
      <c r="H125">
        <v>7.33</v>
      </c>
      <c r="I125">
        <v>26.4</v>
      </c>
      <c r="J125">
        <f>1.76 * F125 * SQRT(29000 / Dashboard!$B$8) / 12</f>
        <v>7.7001983466517139</v>
      </c>
      <c r="K125">
        <f>1.95 * G125 * (29000 / (0.7 * Dashboard!$B$8)) / 12 * SQRT((H125*1)/(E125*I125) + SQRT(((H125*1)/(E125*I125))^2 + 6.76*((0.7*Dashboard!$B$8)/29000)^2))</f>
        <v>23.126397532064942</v>
      </c>
      <c r="L125">
        <f>Dashboard!$B$8 * D125 / 12</f>
        <v>1429.1666666666667</v>
      </c>
      <c r="M125">
        <f>(Dashboard!$B$9 * PI()^2 * 29000 / ((Dashboard!$B$5*12)/G125)^2) * SQRT(1 + 0.078 * (H125*1)/(E125*I125) * ((Dashboard!$B$5*12)/G125)^2)</f>
        <v>882.68730631376229</v>
      </c>
      <c r="N125">
        <f>MIN( IF(Dashboard!$B$5 &lt;= J125, L125, IF(Dashboard!$B$5 &lt;= K125, Dashboard!$B$9 * (L125 - (L125 - 0.7*Dashboard!$B$8*E125/12) * ((Dashboard!$B$5 - J125)/(K125 - J125))), M125 * E125 / 12) ), L125 )</f>
        <v>1429.1666666666667</v>
      </c>
      <c r="O125">
        <f t="shared" si="2"/>
        <v>855.78842315369275</v>
      </c>
      <c r="P125" t="str">
        <f>IF(AND(O125 &gt;= Dashboard!$B$11, C125 &lt;= Dashboard!$B$6), "Pass", "Fail")</f>
        <v>Fail</v>
      </c>
      <c r="Q125">
        <f t="shared" si="3"/>
        <v>9999999</v>
      </c>
    </row>
    <row r="126" spans="1:17" x14ac:dyDescent="0.25">
      <c r="A126" t="s">
        <v>141</v>
      </c>
      <c r="B126">
        <v>116</v>
      </c>
      <c r="C126">
        <v>30</v>
      </c>
      <c r="D126">
        <v>378</v>
      </c>
      <c r="E126">
        <v>329</v>
      </c>
      <c r="F126">
        <v>2.19</v>
      </c>
      <c r="G126">
        <v>2.7</v>
      </c>
      <c r="H126">
        <v>6.43</v>
      </c>
      <c r="I126">
        <v>29.2</v>
      </c>
      <c r="J126">
        <f>1.76 * F126 * SQRT(29000 / Dashboard!$B$8) / 12</f>
        <v>7.7355203574161706</v>
      </c>
      <c r="K126">
        <f>1.95 * G126 * (29000 / (0.7 * Dashboard!$B$8)) / 12 * SQRT((H126*1)/(E126*I126) + SQRT(((H126*1)/(E126*I126))^2 + 6.76*((0.7*Dashboard!$B$8)/29000)^2))</f>
        <v>22.638198313137014</v>
      </c>
      <c r="L126">
        <f>Dashboard!$B$8 * D126 / 12</f>
        <v>1575</v>
      </c>
      <c r="M126">
        <f>(Dashboard!$B$9 * PI()^2 * 29000 / ((Dashboard!$B$5*12)/G126)^2) * SQRT(1 + 0.078 * (H126*1)/(E126*I126) * ((Dashboard!$B$5*12)/G126)^2)</f>
        <v>913.05401535186263</v>
      </c>
      <c r="N126">
        <f>MIN( IF(Dashboard!$B$5 &lt;= J126, L126, IF(Dashboard!$B$5 &lt;= K126, Dashboard!$B$9 * (L126 - (L126 - 0.7*Dashboard!$B$8*E126/12) * ((Dashboard!$B$5 - J126)/(K126 - J126))), M126 * E126 / 12) ), L126 )</f>
        <v>1575</v>
      </c>
      <c r="O126">
        <f t="shared" si="2"/>
        <v>943.11377245508982</v>
      </c>
      <c r="P126" t="str">
        <f>IF(AND(O126 &gt;= Dashboard!$B$11, C126 &lt;= Dashboard!$B$6), "Pass", "Fail")</f>
        <v>Fail</v>
      </c>
      <c r="Q126">
        <f t="shared" si="3"/>
        <v>9999999</v>
      </c>
    </row>
    <row r="127" spans="1:17" x14ac:dyDescent="0.25">
      <c r="A127" t="s">
        <v>142</v>
      </c>
      <c r="B127">
        <v>117</v>
      </c>
      <c r="C127">
        <v>24.3</v>
      </c>
      <c r="D127">
        <v>327</v>
      </c>
      <c r="E127">
        <v>291</v>
      </c>
      <c r="F127">
        <v>2.94</v>
      </c>
      <c r="G127">
        <v>3.46</v>
      </c>
      <c r="H127">
        <v>6.72</v>
      </c>
      <c r="I127">
        <v>23.5</v>
      </c>
      <c r="J127">
        <f>1.76 * F127 * SQRT(29000 / Dashboard!$B$8) / 12</f>
        <v>10.384671164750477</v>
      </c>
      <c r="K127">
        <f>1.95 * G127 * (29000 / (0.7 * Dashboard!$B$8)) / 12 * SQRT((H127*1)/(E127*I127) + SQRT(((H127*1)/(E127*I127))^2 + 6.76*((0.7*Dashboard!$B$8)/29000)^2))</f>
        <v>30.445116636157028</v>
      </c>
      <c r="L127">
        <f>Dashboard!$B$8 * D127 / 12</f>
        <v>1362.5</v>
      </c>
      <c r="M127">
        <f>(Dashboard!$B$9 * PI()^2 * 29000 / ((Dashboard!$B$5*12)/G127)^2) * SQRT(1 + 0.078 * (H127*1)/(E127*I127) * ((Dashboard!$B$5*12)/G127)^2)</f>
        <v>1498.1223948153181</v>
      </c>
      <c r="N127">
        <f>MIN( IF(Dashboard!$B$5 &lt;= J127, L127, IF(Dashboard!$B$5 &lt;= K127, Dashboard!$B$9 * (L127 - (L127 - 0.7*Dashboard!$B$8*E127/12) * ((Dashboard!$B$5 - J127)/(K127 - J127))), M127 * E127 / 12) ), L127 )</f>
        <v>1362.5</v>
      </c>
      <c r="O127">
        <f t="shared" si="2"/>
        <v>815.86826347305396</v>
      </c>
      <c r="P127" t="str">
        <f>IF(AND(O127 &gt;= Dashboard!$B$11, C127 &lt;= Dashboard!$B$6), "Pass", "Fail")</f>
        <v>Fail</v>
      </c>
      <c r="Q127">
        <f t="shared" si="3"/>
        <v>9999999</v>
      </c>
    </row>
    <row r="128" spans="1:17" x14ac:dyDescent="0.25">
      <c r="A128" t="s">
        <v>143</v>
      </c>
      <c r="B128">
        <v>118</v>
      </c>
      <c r="C128">
        <v>32.9</v>
      </c>
      <c r="D128">
        <v>415</v>
      </c>
      <c r="E128">
        <v>359</v>
      </c>
      <c r="F128">
        <v>2.3199999999999998</v>
      </c>
      <c r="G128">
        <v>2.89</v>
      </c>
      <c r="H128">
        <v>5.3</v>
      </c>
      <c r="I128">
        <v>32.200000000000003</v>
      </c>
      <c r="J128">
        <f>1.76 * F128 * SQRT(29000 / Dashboard!$B$8) / 12</f>
        <v>8.194706497354117</v>
      </c>
      <c r="K128">
        <f>1.95 * G128 * (29000 / (0.7 * Dashboard!$B$8)) / 12 * SQRT((H128*1)/(E128*I128) + SQRT(((H128*1)/(E128*I128))^2 + 6.76*((0.7*Dashboard!$B$8)/29000)^2))</f>
        <v>23.443291429619684</v>
      </c>
      <c r="L128">
        <f>Dashboard!$B$8 * D128 / 12</f>
        <v>1729.1666666666667</v>
      </c>
      <c r="M128">
        <f>(Dashboard!$B$9 * PI()^2 * 29000 / ((Dashboard!$B$5*12)/G128)^2) * SQRT(1 + 0.078 * (H128*1)/(E128*I128) * ((Dashboard!$B$5*12)/G128)^2)</f>
        <v>1042.6598791146769</v>
      </c>
      <c r="N128">
        <f>MIN( IF(Dashboard!$B$5 &lt;= J128, L128, IF(Dashboard!$B$5 &lt;= K128, Dashboard!$B$9 * (L128 - (L128 - 0.7*Dashboard!$B$8*E128/12) * ((Dashboard!$B$5 - J128)/(K128 - J128))), M128 * E128 / 12) ), L128 )</f>
        <v>1729.1666666666667</v>
      </c>
      <c r="O128">
        <f t="shared" si="2"/>
        <v>1035.4291417165668</v>
      </c>
      <c r="P128" t="str">
        <f>IF(AND(O128 &gt;= Dashboard!$B$11, C128 &lt;= Dashboard!$B$6), "Pass", "Fail")</f>
        <v>Fail</v>
      </c>
      <c r="Q128">
        <f t="shared" si="3"/>
        <v>9999999</v>
      </c>
    </row>
    <row r="129" spans="1:17" x14ac:dyDescent="0.25">
      <c r="A129" t="s">
        <v>144</v>
      </c>
      <c r="B129">
        <v>119</v>
      </c>
      <c r="C129">
        <v>19</v>
      </c>
      <c r="D129">
        <v>262</v>
      </c>
      <c r="E129">
        <v>231</v>
      </c>
      <c r="F129">
        <v>2.69</v>
      </c>
      <c r="G129">
        <v>3.13</v>
      </c>
      <c r="H129">
        <v>10.6</v>
      </c>
      <c r="I129">
        <v>17.899999999999999</v>
      </c>
      <c r="J129">
        <f>1.76 * F129 * SQRT(29000 / Dashboard!$B$8) / 12</f>
        <v>9.5016208956390411</v>
      </c>
      <c r="K129">
        <f>1.95 * G129 * (29000 / (0.7 * Dashboard!$B$8)) / 12 * SQRT((H129*1)/(E129*I129) + SQRT(((H129*1)/(E129*I129))^2 + 6.76*((0.7*Dashboard!$B$8)/29000)^2))</f>
        <v>34.277497320444553</v>
      </c>
      <c r="L129">
        <f>Dashboard!$B$8 * D129 / 12</f>
        <v>1091.6666666666667</v>
      </c>
      <c r="M129">
        <f>(Dashboard!$B$9 * PI()^2 * 29000 / ((Dashboard!$B$5*12)/G129)^2) * SQRT(1 + 0.078 * (H129*1)/(E129*I129) * ((Dashboard!$B$5*12)/G129)^2)</f>
        <v>1245.3243487198886</v>
      </c>
      <c r="N129">
        <f>MIN( IF(Dashboard!$B$5 &lt;= J129, L129, IF(Dashboard!$B$5 &lt;= K129, Dashboard!$B$9 * (L129 - (L129 - 0.7*Dashboard!$B$8*E129/12) * ((Dashboard!$B$5 - J129)/(K129 - J129))), M129 * E129 / 12) ), L129 )</f>
        <v>1091.6666666666667</v>
      </c>
      <c r="O129">
        <f t="shared" si="2"/>
        <v>653.69261477045916</v>
      </c>
      <c r="P129" t="str">
        <f>IF(AND(O129 &gt;= Dashboard!$B$11, C129 &lt;= Dashboard!$B$6), "Pass", "Fail")</f>
        <v>Fail</v>
      </c>
      <c r="Q129">
        <f t="shared" si="3"/>
        <v>9999999</v>
      </c>
    </row>
    <row r="130" spans="1:17" x14ac:dyDescent="0.25">
      <c r="A130" t="s">
        <v>145</v>
      </c>
      <c r="B130">
        <v>120</v>
      </c>
      <c r="C130">
        <v>14.5</v>
      </c>
      <c r="D130">
        <v>212</v>
      </c>
      <c r="E130">
        <v>190</v>
      </c>
      <c r="F130">
        <v>3.74</v>
      </c>
      <c r="G130">
        <v>4.2</v>
      </c>
      <c r="H130">
        <v>9.3699999999999992</v>
      </c>
      <c r="I130">
        <v>13.6</v>
      </c>
      <c r="J130">
        <f>1.76 * F130 * SQRT(29000 / Dashboard!$B$8) / 12</f>
        <v>13.210432025907069</v>
      </c>
      <c r="K130">
        <f>1.95 * G130 * (29000 / (0.7 * Dashboard!$B$8)) / 12 * SQRT((H130*1)/(E130*I130) + SQRT(((H130*1)/(E130*I130))^2 + 6.76*((0.7*Dashboard!$B$8)/29000)^2))</f>
        <v>51.895339008104649</v>
      </c>
      <c r="L130">
        <f>Dashboard!$B$8 * D130 / 12</f>
        <v>883.33333333333337</v>
      </c>
      <c r="M130">
        <f>(Dashboard!$B$9 * PI()^2 * 29000 / ((Dashboard!$B$5*12)/G130)^2) * SQRT(1 + 0.078 * (H130*1)/(E130*I130) * ((Dashboard!$B$5*12)/G130)^2)</f>
        <v>2231.4706250507506</v>
      </c>
      <c r="N130">
        <f>MIN( IF(Dashboard!$B$5 &lt;= J130, L130, IF(Dashboard!$B$5 &lt;= K130, Dashboard!$B$9 * (L130 - (L130 - 0.7*Dashboard!$B$8*E130/12) * ((Dashboard!$B$5 - J130)/(K130 - J130))), M130 * E130 / 12) ), L130 )</f>
        <v>883.33333333333337</v>
      </c>
      <c r="O130">
        <f t="shared" ref="O130:O193" si="4">N130 / 1.67</f>
        <v>528.94211576846317</v>
      </c>
      <c r="P130" t="str">
        <f>IF(AND(O130 &gt;= Dashboard!$B$11, C130 &lt;= Dashboard!$B$6), "Pass", "Fail")</f>
        <v>Fail</v>
      </c>
      <c r="Q130">
        <f t="shared" ref="Q130:Q193" si="5">IF(P130="Pass", B130 + ROW()/100000, 9999999)</f>
        <v>9999999</v>
      </c>
    </row>
    <row r="131" spans="1:17" x14ac:dyDescent="0.25">
      <c r="A131" t="s">
        <v>146</v>
      </c>
      <c r="B131">
        <v>120</v>
      </c>
      <c r="C131">
        <v>13.1</v>
      </c>
      <c r="D131">
        <v>186</v>
      </c>
      <c r="E131">
        <v>163</v>
      </c>
      <c r="F131">
        <v>3.13</v>
      </c>
      <c r="G131">
        <v>3.56</v>
      </c>
      <c r="H131">
        <v>12.9</v>
      </c>
      <c r="I131">
        <v>12</v>
      </c>
      <c r="J131">
        <f>1.76 * F131 * SQRT(29000 / Dashboard!$B$8) / 12</f>
        <v>11.055789369275166</v>
      </c>
      <c r="K131">
        <f>1.95 * G131 * (29000 / (0.7 * Dashboard!$B$8)) / 12 * SQRT((H131*1)/(E131*I131) + SQRT(((H131*1)/(E131*I131))^2 + 6.76*((0.7*Dashboard!$B$8)/29000)^2))</f>
        <v>56.509245587173211</v>
      </c>
      <c r="L131">
        <f>Dashboard!$B$8 * D131 / 12</f>
        <v>775</v>
      </c>
      <c r="M131">
        <f>(Dashboard!$B$9 * PI()^2 * 29000 / ((Dashboard!$B$5*12)/G131)^2) * SQRT(1 + 0.078 * (H131*1)/(E131*I131) * ((Dashboard!$B$5*12)/G131)^2)</f>
        <v>1646.3734328278349</v>
      </c>
      <c r="N131">
        <f>MIN( IF(Dashboard!$B$5 &lt;= J131, L131, IF(Dashboard!$B$5 &lt;= K131, Dashboard!$B$9 * (L131 - (L131 - 0.7*Dashboard!$B$8*E131/12) * ((Dashboard!$B$5 - J131)/(K131 - J131))), M131 * E131 / 12) ), L131 )</f>
        <v>775</v>
      </c>
      <c r="O131">
        <f t="shared" si="4"/>
        <v>464.07185628742519</v>
      </c>
      <c r="P131" t="str">
        <f>IF(AND(O131 &gt;= Dashboard!$B$11, C131 &lt;= Dashboard!$B$6), "Pass", "Fail")</f>
        <v>Fail</v>
      </c>
      <c r="Q131">
        <f t="shared" si="5"/>
        <v>9999999</v>
      </c>
    </row>
    <row r="132" spans="1:17" x14ac:dyDescent="0.25">
      <c r="A132" t="s">
        <v>147</v>
      </c>
      <c r="B132">
        <v>122</v>
      </c>
      <c r="C132">
        <v>21.7</v>
      </c>
      <c r="D132">
        <v>307</v>
      </c>
      <c r="E132">
        <v>273</v>
      </c>
      <c r="F132">
        <v>2.92</v>
      </c>
      <c r="G132">
        <v>3.4</v>
      </c>
      <c r="H132">
        <v>8.98</v>
      </c>
      <c r="I132">
        <v>20.7</v>
      </c>
      <c r="J132">
        <f>1.76 * F132 * SQRT(29000 / Dashboard!$B$8) / 12</f>
        <v>10.31402714322156</v>
      </c>
      <c r="K132">
        <f>1.95 * G132 * (29000 / (0.7 * Dashboard!$B$8)) / 12 * SQRT((H132*1)/(E132*I132) + SQRT(((H132*1)/(E132*I132))^2 + 6.76*((0.7*Dashboard!$B$8)/29000)^2))</f>
        <v>32.71301669180815</v>
      </c>
      <c r="L132">
        <f>Dashboard!$B$8 * D132 / 12</f>
        <v>1279.1666666666667</v>
      </c>
      <c r="M132">
        <f>(Dashboard!$B$9 * PI()^2 * 29000 / ((Dashboard!$B$5*12)/G132)^2) * SQRT(1 + 0.078 * (H132*1)/(E132*I132) * ((Dashboard!$B$5*12)/G132)^2)</f>
        <v>1453.6915360842174</v>
      </c>
      <c r="N132">
        <f>MIN( IF(Dashboard!$B$5 &lt;= J132, L132, IF(Dashboard!$B$5 &lt;= K132, Dashboard!$B$9 * (L132 - (L132 - 0.7*Dashboard!$B$8*E132/12) * ((Dashboard!$B$5 - J132)/(K132 - J132))), M132 * E132 / 12) ), L132 )</f>
        <v>1279.1666666666667</v>
      </c>
      <c r="O132">
        <f t="shared" si="4"/>
        <v>765.96806387225558</v>
      </c>
      <c r="P132" t="str">
        <f>IF(AND(O132 &gt;= Dashboard!$B$11, C132 &lt;= Dashboard!$B$6), "Pass", "Fail")</f>
        <v>Fail</v>
      </c>
      <c r="Q132">
        <f t="shared" si="5"/>
        <v>9999999</v>
      </c>
    </row>
    <row r="133" spans="1:17" x14ac:dyDescent="0.25">
      <c r="A133" t="s">
        <v>148</v>
      </c>
      <c r="B133">
        <v>124</v>
      </c>
      <c r="C133">
        <v>30.2</v>
      </c>
      <c r="D133">
        <v>408</v>
      </c>
      <c r="E133">
        <v>355</v>
      </c>
      <c r="F133">
        <v>2.23</v>
      </c>
      <c r="G133">
        <v>2.73</v>
      </c>
      <c r="H133">
        <v>7.99</v>
      </c>
      <c r="I133">
        <v>29.3</v>
      </c>
      <c r="J133">
        <f>1.76 * F133 * SQRT(29000 / Dashboard!$B$8) / 12</f>
        <v>7.8768084004740002</v>
      </c>
      <c r="K133">
        <f>1.95 * G133 * (29000 / (0.7 * Dashboard!$B$8)) / 12 * SQRT((H133*1)/(E133*I133) + SQRT(((H133*1)/(E133*I133))^2 + 6.76*((0.7*Dashboard!$B$8)/29000)^2))</f>
        <v>23.243832050746473</v>
      </c>
      <c r="L133">
        <f>Dashboard!$B$8 * D133 / 12</f>
        <v>1700</v>
      </c>
      <c r="M133">
        <f>(Dashboard!$B$9 * PI()^2 * 29000 / ((Dashboard!$B$5*12)/G133)^2) * SQRT(1 + 0.078 * (H133*1)/(E133*I133) * ((Dashboard!$B$5*12)/G133)^2)</f>
        <v>934.38509789770433</v>
      </c>
      <c r="N133">
        <f>MIN( IF(Dashboard!$B$5 &lt;= J133, L133, IF(Dashboard!$B$5 &lt;= K133, Dashboard!$B$9 * (L133 - (L133 - 0.7*Dashboard!$B$8*E133/12) * ((Dashboard!$B$5 - J133)/(K133 - J133))), M133 * E133 / 12) ), L133 )</f>
        <v>1700</v>
      </c>
      <c r="O133">
        <f t="shared" si="4"/>
        <v>1017.9640718562874</v>
      </c>
      <c r="P133" t="str">
        <f>IF(AND(O133 &gt;= Dashboard!$B$11, C133 &lt;= Dashboard!$B$6), "Pass", "Fail")</f>
        <v>Fail</v>
      </c>
      <c r="Q133">
        <f t="shared" si="5"/>
        <v>9999999</v>
      </c>
    </row>
    <row r="134" spans="1:17" x14ac:dyDescent="0.25">
      <c r="A134" t="s">
        <v>149</v>
      </c>
      <c r="B134">
        <v>129</v>
      </c>
      <c r="C134">
        <v>27.6</v>
      </c>
      <c r="D134">
        <v>395</v>
      </c>
      <c r="E134">
        <v>345</v>
      </c>
      <c r="F134">
        <v>2.21</v>
      </c>
      <c r="G134">
        <v>2.66</v>
      </c>
      <c r="H134">
        <v>11.1</v>
      </c>
      <c r="I134">
        <v>26.5</v>
      </c>
      <c r="J134">
        <f>1.76 * F134 * SQRT(29000 / Dashboard!$B$8) / 12</f>
        <v>7.8061643789450867</v>
      </c>
      <c r="K134">
        <f>1.95 * G134 * (29000 / (0.7 * Dashboard!$B$8)) / 12 * SQRT((H134*1)/(E134*I134) + SQRT(((H134*1)/(E134*I134))^2 + 6.76*((0.7*Dashboard!$B$8)/29000)^2))</f>
        <v>24.234692526033896</v>
      </c>
      <c r="L134">
        <f>Dashboard!$B$8 * D134 / 12</f>
        <v>1645.8333333333333</v>
      </c>
      <c r="M134">
        <f>(Dashboard!$B$9 * PI()^2 * 29000 / ((Dashboard!$B$5*12)/G134)^2) * SQRT(1 + 0.078 * (H134*1)/(E134*I134) * ((Dashboard!$B$5*12)/G134)^2)</f>
        <v>892.42871621163636</v>
      </c>
      <c r="N134">
        <f>MIN( IF(Dashboard!$B$5 &lt;= J134, L134, IF(Dashboard!$B$5 &lt;= K134, Dashboard!$B$9 * (L134 - (L134 - 0.7*Dashboard!$B$8*E134/12) * ((Dashboard!$B$5 - J134)/(K134 - J134))), M134 * E134 / 12) ), L134 )</f>
        <v>1645.8333333333333</v>
      </c>
      <c r="O134">
        <f t="shared" si="4"/>
        <v>985.52894211576847</v>
      </c>
      <c r="P134" t="str">
        <f>IF(AND(O134 &gt;= Dashboard!$B$11, C134 &lt;= Dashboard!$B$6), "Pass", "Fail")</f>
        <v>Fail</v>
      </c>
      <c r="Q134">
        <f t="shared" si="5"/>
        <v>9999999</v>
      </c>
    </row>
    <row r="135" spans="1:17" x14ac:dyDescent="0.25">
      <c r="A135" t="s">
        <v>150</v>
      </c>
      <c r="B135">
        <v>130</v>
      </c>
      <c r="C135">
        <v>33.1</v>
      </c>
      <c r="D135">
        <v>467</v>
      </c>
      <c r="E135">
        <v>406</v>
      </c>
      <c r="F135">
        <v>2.39</v>
      </c>
      <c r="G135">
        <v>2.94</v>
      </c>
      <c r="H135">
        <v>7.37</v>
      </c>
      <c r="I135">
        <v>32.200000000000003</v>
      </c>
      <c r="J135">
        <f>1.76 * F135 * SQRT(29000 / Dashboard!$B$8) / 12</f>
        <v>8.4419605727053195</v>
      </c>
      <c r="K135">
        <f>1.95 * G135 * (29000 / (0.7 * Dashboard!$B$8)) / 12 * SQRT((H135*1)/(E135*I135) + SQRT(((H135*1)/(E135*I135))^2 + 6.76*((0.7*Dashboard!$B$8)/29000)^2))</f>
        <v>24.246961535852432</v>
      </c>
      <c r="L135">
        <f>Dashboard!$B$8 * D135 / 12</f>
        <v>1945.8333333333333</v>
      </c>
      <c r="M135">
        <f>(Dashboard!$B$9 * PI()^2 * 29000 / ((Dashboard!$B$5*12)/G135)^2) * SQRT(1 + 0.078 * (H135*1)/(E135*I135) * ((Dashboard!$B$5*12)/G135)^2)</f>
        <v>1080.0412205758039</v>
      </c>
      <c r="N135">
        <f>MIN( IF(Dashboard!$B$5 &lt;= J135, L135, IF(Dashboard!$B$5 &lt;= K135, Dashboard!$B$9 * (L135 - (L135 - 0.7*Dashboard!$B$8*E135/12) * ((Dashboard!$B$5 - J135)/(K135 - J135))), M135 * E135 / 12) ), L135 )</f>
        <v>1945.8333333333333</v>
      </c>
      <c r="O135">
        <f t="shared" si="4"/>
        <v>1165.1696606786427</v>
      </c>
      <c r="P135" t="str">
        <f>IF(AND(O135 &gt;= Dashboard!$B$11, C135 &lt;= Dashboard!$B$6), "Pass", "Fail")</f>
        <v>Fail</v>
      </c>
      <c r="Q135">
        <f t="shared" si="5"/>
        <v>9999999</v>
      </c>
    </row>
    <row r="136" spans="1:17" x14ac:dyDescent="0.25">
      <c r="A136" t="s">
        <v>151</v>
      </c>
      <c r="B136">
        <v>130</v>
      </c>
      <c r="C136">
        <v>19.3</v>
      </c>
      <c r="D136">
        <v>290</v>
      </c>
      <c r="E136">
        <v>256</v>
      </c>
      <c r="F136">
        <v>2.7</v>
      </c>
      <c r="G136">
        <v>3.13</v>
      </c>
      <c r="H136">
        <v>14.5</v>
      </c>
      <c r="I136">
        <v>18.100000000000001</v>
      </c>
      <c r="J136">
        <f>1.76 * F136 * SQRT(29000 / Dashboard!$B$8) / 12</f>
        <v>9.5369429064034996</v>
      </c>
      <c r="K136">
        <f>1.95 * G136 * (29000 / (0.7 * Dashboard!$B$8)) / 12 * SQRT((H136*1)/(E136*I136) + SQRT(((H136*1)/(E136*I136))^2 + 6.76*((0.7*Dashboard!$B$8)/29000)^2))</f>
        <v>36.645054143160202</v>
      </c>
      <c r="L136">
        <f>Dashboard!$B$8 * D136 / 12</f>
        <v>1208.3333333333333</v>
      </c>
      <c r="M136">
        <f>(Dashboard!$B$9 * PI()^2 * 29000 / ((Dashboard!$B$5*12)/G136)^2) * SQRT(1 + 0.078 * (H136*1)/(E136*I136) * ((Dashboard!$B$5*12)/G136)^2)</f>
        <v>1251.4811183970987</v>
      </c>
      <c r="N136">
        <f>MIN( IF(Dashboard!$B$5 &lt;= J136, L136, IF(Dashboard!$B$5 &lt;= K136, Dashboard!$B$9 * (L136 - (L136 - 0.7*Dashboard!$B$8*E136/12) * ((Dashboard!$B$5 - J136)/(K136 - J136))), M136 * E136 / 12) ), L136 )</f>
        <v>1208.3333333333333</v>
      </c>
      <c r="O136">
        <f t="shared" si="4"/>
        <v>723.55289421157681</v>
      </c>
      <c r="P136" t="str">
        <f>IF(AND(O136 &gt;= Dashboard!$B$11, C136 &lt;= Dashboard!$B$6), "Pass", "Fail")</f>
        <v>Fail</v>
      </c>
      <c r="Q136">
        <f t="shared" si="5"/>
        <v>9999999</v>
      </c>
    </row>
    <row r="137" spans="1:17" x14ac:dyDescent="0.25">
      <c r="A137" t="s">
        <v>152</v>
      </c>
      <c r="B137">
        <v>131</v>
      </c>
      <c r="C137">
        <v>24.5</v>
      </c>
      <c r="D137">
        <v>370</v>
      </c>
      <c r="E137">
        <v>329</v>
      </c>
      <c r="F137">
        <v>2.97</v>
      </c>
      <c r="G137">
        <v>3.49</v>
      </c>
      <c r="H137">
        <v>9.5</v>
      </c>
      <c r="I137">
        <v>23.5</v>
      </c>
      <c r="J137">
        <f>1.76 * F137 * SQRT(29000 / Dashboard!$B$8) / 12</f>
        <v>10.490637197043849</v>
      </c>
      <c r="K137">
        <f>1.95 * G137 * (29000 / (0.7 * Dashboard!$B$8)) / 12 * SQRT((H137*1)/(E137*I137) + SQRT(((H137*1)/(E137*I137))^2 + 6.76*((0.7*Dashboard!$B$8)/29000)^2))</f>
        <v>31.865793375202703</v>
      </c>
      <c r="L137">
        <f>Dashboard!$B$8 * D137 / 12</f>
        <v>1541.6666666666667</v>
      </c>
      <c r="M137">
        <f>(Dashboard!$B$9 * PI()^2 * 29000 / ((Dashboard!$B$5*12)/G137)^2) * SQRT(1 + 0.078 * (H137*1)/(E137*I137) * ((Dashboard!$B$5*12)/G137)^2)</f>
        <v>1526.7489683188762</v>
      </c>
      <c r="N137">
        <f>MIN( IF(Dashboard!$B$5 &lt;= J137, L137, IF(Dashboard!$B$5 &lt;= K137, Dashboard!$B$9 * (L137 - (L137 - 0.7*Dashboard!$B$8*E137/12) * ((Dashboard!$B$5 - J137)/(K137 - J137))), M137 * E137 / 12) ), L137 )</f>
        <v>1541.6666666666667</v>
      </c>
      <c r="O137">
        <f t="shared" si="4"/>
        <v>923.15369261477053</v>
      </c>
      <c r="P137" t="str">
        <f>IF(AND(O137 &gt;= Dashboard!$B$11, C137 &lt;= Dashboard!$B$6), "Pass", "Fail")</f>
        <v>Fail</v>
      </c>
      <c r="Q137">
        <f t="shared" si="5"/>
        <v>9999999</v>
      </c>
    </row>
    <row r="138" spans="1:17" x14ac:dyDescent="0.25">
      <c r="A138" t="s">
        <v>153</v>
      </c>
      <c r="B138">
        <v>132</v>
      </c>
      <c r="C138">
        <v>30.3</v>
      </c>
      <c r="D138">
        <v>437</v>
      </c>
      <c r="E138">
        <v>380</v>
      </c>
      <c r="F138">
        <v>2.25</v>
      </c>
      <c r="G138">
        <v>2.75</v>
      </c>
      <c r="H138">
        <v>9.7200000000000006</v>
      </c>
      <c r="I138">
        <v>29.3</v>
      </c>
      <c r="J138">
        <f>1.76 * F138 * SQRT(29000 / Dashboard!$B$8) / 12</f>
        <v>7.9474524220029146</v>
      </c>
      <c r="K138">
        <f>1.95 * G138 * (29000 / (0.7 * Dashboard!$B$8)) / 12 * SQRT((H138*1)/(E138*I138) + SQRT(((H138*1)/(E138*I138))^2 + 6.76*((0.7*Dashboard!$B$8)/29000)^2))</f>
        <v>23.795603567396796</v>
      </c>
      <c r="L138">
        <f>Dashboard!$B$8 * D138 / 12</f>
        <v>1820.8333333333333</v>
      </c>
      <c r="M138">
        <f>(Dashboard!$B$9 * PI()^2 * 29000 / ((Dashboard!$B$5*12)/G138)^2) * SQRT(1 + 0.078 * (H138*1)/(E138*I138) * ((Dashboard!$B$5*12)/G138)^2)</f>
        <v>949.15998754243844</v>
      </c>
      <c r="N138">
        <f>MIN( IF(Dashboard!$B$5 &lt;= J138, L138, IF(Dashboard!$B$5 &lt;= K138, Dashboard!$B$9 * (L138 - (L138 - 0.7*Dashboard!$B$8*E138/12) * ((Dashboard!$B$5 - J138)/(K138 - J138))), M138 * E138 / 12) ), L138 )</f>
        <v>1820.8333333333333</v>
      </c>
      <c r="O138">
        <f t="shared" si="4"/>
        <v>1090.3193612774451</v>
      </c>
      <c r="P138" t="str">
        <f>IF(AND(O138 &gt;= Dashboard!$B$11, C138 &lt;= Dashboard!$B$6), "Pass", "Fail")</f>
        <v>Fail</v>
      </c>
      <c r="Q138">
        <f t="shared" si="5"/>
        <v>9999999</v>
      </c>
    </row>
    <row r="139" spans="1:17" x14ac:dyDescent="0.25">
      <c r="A139" t="s">
        <v>154</v>
      </c>
      <c r="B139">
        <v>132</v>
      </c>
      <c r="C139">
        <v>21.8</v>
      </c>
      <c r="D139">
        <v>333</v>
      </c>
      <c r="E139">
        <v>295</v>
      </c>
      <c r="F139">
        <v>2.93</v>
      </c>
      <c r="G139">
        <v>3.43</v>
      </c>
      <c r="H139">
        <v>11.3</v>
      </c>
      <c r="I139">
        <v>20.8</v>
      </c>
      <c r="J139">
        <f>1.76 * F139 * SQRT(29000 / Dashboard!$B$8) / 12</f>
        <v>10.349349153986021</v>
      </c>
      <c r="K139">
        <f>1.95 * G139 * (29000 / (0.7 * Dashboard!$B$8)) / 12 * SQRT((H139*1)/(E139*I139) + SQRT(((H139*1)/(E139*I139))^2 + 6.76*((0.7*Dashboard!$B$8)/29000)^2))</f>
        <v>34.187548465052672</v>
      </c>
      <c r="L139">
        <f>Dashboard!$B$8 * D139 / 12</f>
        <v>1387.5</v>
      </c>
      <c r="M139">
        <f>(Dashboard!$B$9 * PI()^2 * 29000 / ((Dashboard!$B$5*12)/G139)^2) * SQRT(1 + 0.078 * (H139*1)/(E139*I139) * ((Dashboard!$B$5*12)/G139)^2)</f>
        <v>1481.9300048266457</v>
      </c>
      <c r="N139">
        <f>MIN( IF(Dashboard!$B$5 &lt;= J139, L139, IF(Dashboard!$B$5 &lt;= K139, Dashboard!$B$9 * (L139 - (L139 - 0.7*Dashboard!$B$8*E139/12) * ((Dashboard!$B$5 - J139)/(K139 - J139))), M139 * E139 / 12) ), L139 )</f>
        <v>1387.5</v>
      </c>
      <c r="O139">
        <f t="shared" si="4"/>
        <v>830.8383233532935</v>
      </c>
      <c r="P139" t="str">
        <f>IF(AND(O139 &gt;= Dashboard!$B$11, C139 &lt;= Dashboard!$B$6), "Pass", "Fail")</f>
        <v>Fail</v>
      </c>
      <c r="Q139">
        <f t="shared" si="5"/>
        <v>9999999</v>
      </c>
    </row>
    <row r="140" spans="1:17" x14ac:dyDescent="0.25">
      <c r="A140" t="s">
        <v>155</v>
      </c>
      <c r="B140">
        <v>132</v>
      </c>
      <c r="C140">
        <v>14.7</v>
      </c>
      <c r="D140">
        <v>234</v>
      </c>
      <c r="E140">
        <v>209</v>
      </c>
      <c r="F140">
        <v>3.76</v>
      </c>
      <c r="G140">
        <v>4.2300000000000004</v>
      </c>
      <c r="H140">
        <v>12.3</v>
      </c>
      <c r="I140">
        <v>13.7</v>
      </c>
      <c r="J140">
        <f>1.76 * F140 * SQRT(29000 / Dashboard!$B$8) / 12</f>
        <v>13.281076047435981</v>
      </c>
      <c r="K140">
        <f>1.95 * G140 * (29000 / (0.7 * Dashboard!$B$8)) / 12 * SQRT((H140*1)/(E140*I140) + SQRT(((H140*1)/(E140*I140))^2 + 6.76*((0.7*Dashboard!$B$8)/29000)^2))</f>
        <v>55.84831097488874</v>
      </c>
      <c r="L140">
        <f>Dashboard!$B$8 * D140 / 12</f>
        <v>975</v>
      </c>
      <c r="M140">
        <f>(Dashboard!$B$9 * PI()^2 * 29000 / ((Dashboard!$B$5*12)/G140)^2) * SQRT(1 + 0.078 * (H140*1)/(E140*I140) * ((Dashboard!$B$5*12)/G140)^2)</f>
        <v>2270.222528207194</v>
      </c>
      <c r="N140">
        <f>MIN( IF(Dashboard!$B$5 &lt;= J140, L140, IF(Dashboard!$B$5 &lt;= K140, Dashboard!$B$9 * (L140 - (L140 - 0.7*Dashboard!$B$8*E140/12) * ((Dashboard!$B$5 - J140)/(K140 - J140))), M140 * E140 / 12) ), L140 )</f>
        <v>975</v>
      </c>
      <c r="O140">
        <f t="shared" si="4"/>
        <v>583.83233532934139</v>
      </c>
      <c r="P140" t="str">
        <f>IF(AND(O140 &gt;= Dashboard!$B$11, C140 &lt;= Dashboard!$B$6), "Pass", "Fail")</f>
        <v>Fail</v>
      </c>
      <c r="Q140">
        <f t="shared" si="5"/>
        <v>9999999</v>
      </c>
    </row>
    <row r="141" spans="1:17" x14ac:dyDescent="0.25">
      <c r="A141" t="s">
        <v>156</v>
      </c>
      <c r="B141">
        <v>135</v>
      </c>
      <c r="C141">
        <v>35.6</v>
      </c>
      <c r="D141">
        <v>509</v>
      </c>
      <c r="E141">
        <v>439</v>
      </c>
      <c r="F141">
        <v>2.38</v>
      </c>
      <c r="G141">
        <v>2.99</v>
      </c>
      <c r="H141">
        <v>7</v>
      </c>
      <c r="I141">
        <v>34.799999999999997</v>
      </c>
      <c r="J141">
        <f>1.76 * F141 * SQRT(29000 / Dashboard!$B$8) / 12</f>
        <v>8.406638561940861</v>
      </c>
      <c r="K141">
        <f>1.95 * G141 * (29000 / (0.7 * Dashboard!$B$8)) / 12 * SQRT((H141*1)/(E141*I141) + SQRT(((H141*1)/(E141*I141))^2 + 6.76*((0.7*Dashboard!$B$8)/29000)^2))</f>
        <v>24.253383177168921</v>
      </c>
      <c r="L141">
        <f>Dashboard!$B$8 * D141 / 12</f>
        <v>2120.8333333333335</v>
      </c>
      <c r="M141">
        <f>(Dashboard!$B$9 * PI()^2 * 29000 / ((Dashboard!$B$5*12)/G141)^2) * SQRT(1 + 0.078 * (H141*1)/(E141*I141) * ((Dashboard!$B$5*12)/G141)^2)</f>
        <v>1115.7028736981561</v>
      </c>
      <c r="N141">
        <f>MIN( IF(Dashboard!$B$5 &lt;= J141, L141, IF(Dashboard!$B$5 &lt;= K141, Dashboard!$B$9 * (L141 - (L141 - 0.7*Dashboard!$B$8*E141/12) * ((Dashboard!$B$5 - J141)/(K141 - J141))), M141 * E141 / 12) ), L141 )</f>
        <v>2120.8333333333335</v>
      </c>
      <c r="O141">
        <f t="shared" si="4"/>
        <v>1269.9600798403194</v>
      </c>
      <c r="P141" t="str">
        <f>IF(AND(O141 &gt;= Dashboard!$B$11, C141 &lt;= Dashboard!$B$6), "Pass", "Fail")</f>
        <v>Fail</v>
      </c>
      <c r="Q141">
        <f t="shared" si="5"/>
        <v>9999999</v>
      </c>
    </row>
    <row r="142" spans="1:17" x14ac:dyDescent="0.25">
      <c r="A142" t="s">
        <v>157</v>
      </c>
      <c r="B142">
        <v>136</v>
      </c>
      <c r="C142">
        <v>13.4</v>
      </c>
      <c r="D142">
        <v>214</v>
      </c>
      <c r="E142">
        <v>186</v>
      </c>
      <c r="F142">
        <v>3.16</v>
      </c>
      <c r="G142">
        <v>3.61</v>
      </c>
      <c r="H142">
        <v>18.5</v>
      </c>
      <c r="I142">
        <v>12.2</v>
      </c>
      <c r="J142">
        <f>1.76 * F142 * SQRT(29000 / Dashboard!$B$8) / 12</f>
        <v>11.16175540156854</v>
      </c>
      <c r="K142">
        <f>1.95 * G142 * (29000 / (0.7 * Dashboard!$B$8)) / 12 * SQRT((H142*1)/(E142*I142) + SQRT(((H142*1)/(E142*I142))^2 + 6.76*((0.7*Dashboard!$B$8)/29000)^2))</f>
        <v>63.166105267370853</v>
      </c>
      <c r="L142">
        <f>Dashboard!$B$8 * D142 / 12</f>
        <v>891.66666666666663</v>
      </c>
      <c r="M142">
        <f>(Dashboard!$B$9 * PI()^2 * 29000 / ((Dashboard!$B$5*12)/G142)^2) * SQRT(1 + 0.078 * (H142*1)/(E142*I142) * ((Dashboard!$B$5*12)/G142)^2)</f>
        <v>1707.5167727875134</v>
      </c>
      <c r="N142">
        <f>MIN( IF(Dashboard!$B$5 &lt;= J142, L142, IF(Dashboard!$B$5 &lt;= K142, Dashboard!$B$9 * (L142 - (L142 - 0.7*Dashboard!$B$8*E142/12) * ((Dashboard!$B$5 - J142)/(K142 - J142))), M142 * E142 / 12) ), L142 )</f>
        <v>891.66666666666663</v>
      </c>
      <c r="O142">
        <f t="shared" si="4"/>
        <v>533.9321357285429</v>
      </c>
      <c r="P142" t="str">
        <f>IF(AND(O142 &gt;= Dashboard!$B$11, C142 &lt;= Dashboard!$B$6), "Pass", "Fail")</f>
        <v>Fail</v>
      </c>
      <c r="Q142">
        <f t="shared" si="5"/>
        <v>9999999</v>
      </c>
    </row>
    <row r="143" spans="1:17" x14ac:dyDescent="0.25">
      <c r="A143" t="s">
        <v>158</v>
      </c>
      <c r="B143">
        <v>141</v>
      </c>
      <c r="C143">
        <v>33.299999999999997</v>
      </c>
      <c r="D143">
        <v>514</v>
      </c>
      <c r="E143">
        <v>448</v>
      </c>
      <c r="F143">
        <v>2.4300000000000002</v>
      </c>
      <c r="G143">
        <v>2.98</v>
      </c>
      <c r="H143">
        <v>9.6999999999999993</v>
      </c>
      <c r="I143">
        <v>32.299999999999997</v>
      </c>
      <c r="J143">
        <f>1.76 * F143 * SQRT(29000 / Dashboard!$B$8) / 12</f>
        <v>8.58324861576315</v>
      </c>
      <c r="K143">
        <f>1.95 * G143 * (29000 / (0.7 * Dashboard!$B$8)) / 12 * SQRT((H143*1)/(E143*I143) + SQRT(((H143*1)/(E143*I143))^2 + 6.76*((0.7*Dashboard!$B$8)/29000)^2))</f>
        <v>24.98982086703791</v>
      </c>
      <c r="L143">
        <f>Dashboard!$B$8 * D143 / 12</f>
        <v>2141.6666666666665</v>
      </c>
      <c r="M143">
        <f>(Dashboard!$B$9 * PI()^2 * 29000 / ((Dashboard!$B$5*12)/G143)^2) * SQRT(1 + 0.078 * (H143*1)/(E143*I143) * ((Dashboard!$B$5*12)/G143)^2)</f>
        <v>1110.6410111644057</v>
      </c>
      <c r="N143">
        <f>MIN( IF(Dashboard!$B$5 &lt;= J143, L143, IF(Dashboard!$B$5 &lt;= K143, Dashboard!$B$9 * (L143 - (L143 - 0.7*Dashboard!$B$8*E143/12) * ((Dashboard!$B$5 - J143)/(K143 - J143))), M143 * E143 / 12) ), L143 )</f>
        <v>2141.6666666666665</v>
      </c>
      <c r="O143">
        <f t="shared" si="4"/>
        <v>1282.435129740519</v>
      </c>
      <c r="P143" t="str">
        <f>IF(AND(O143 &gt;= Dashboard!$B$11, C143 &lt;= Dashboard!$B$6), "Pass", "Fail")</f>
        <v>Fail</v>
      </c>
      <c r="Q143">
        <f t="shared" si="5"/>
        <v>9999999</v>
      </c>
    </row>
    <row r="144" spans="1:17" x14ac:dyDescent="0.25">
      <c r="A144" t="s">
        <v>159</v>
      </c>
      <c r="B144">
        <v>143</v>
      </c>
      <c r="C144">
        <v>19.5</v>
      </c>
      <c r="D144">
        <v>322</v>
      </c>
      <c r="E144">
        <v>282</v>
      </c>
      <c r="F144">
        <v>2.72</v>
      </c>
      <c r="G144">
        <v>3.17</v>
      </c>
      <c r="H144">
        <v>19.2</v>
      </c>
      <c r="I144">
        <v>18.2</v>
      </c>
      <c r="J144">
        <f>1.76 * F144 * SQRT(29000 / Dashboard!$B$8) / 12</f>
        <v>9.6075869279324149</v>
      </c>
      <c r="K144">
        <f>1.95 * G144 * (29000 / (0.7 * Dashboard!$B$8)) / 12 * SQRT((H144*1)/(E144*I144) + SQRT(((H144*1)/(E144*I144))^2 + 6.76*((0.7*Dashboard!$B$8)/29000)^2))</f>
        <v>39.635937434302853</v>
      </c>
      <c r="L144">
        <f>Dashboard!$B$8 * D144 / 12</f>
        <v>1341.6666666666667</v>
      </c>
      <c r="M144">
        <f>(Dashboard!$B$9 * PI()^2 * 29000 / ((Dashboard!$B$5*12)/G144)^2) * SQRT(1 + 0.078 * (H144*1)/(E144*I144) * ((Dashboard!$B$5*12)/G144)^2)</f>
        <v>1289.4249320415031</v>
      </c>
      <c r="N144">
        <f>MIN( IF(Dashboard!$B$5 &lt;= J144, L144, IF(Dashboard!$B$5 &lt;= K144, Dashboard!$B$9 * (L144 - (L144 - 0.7*Dashboard!$B$8*E144/12) * ((Dashboard!$B$5 - J144)/(K144 - J144))), M144 * E144 / 12) ), L144 )</f>
        <v>1341.6666666666667</v>
      </c>
      <c r="O144">
        <f t="shared" si="4"/>
        <v>803.39321357285439</v>
      </c>
      <c r="P144" t="str">
        <f>IF(AND(O144 &gt;= Dashboard!$B$11, C144 &lt;= Dashboard!$B$6), "Pass", "Fail")</f>
        <v>Fail</v>
      </c>
      <c r="Q144">
        <f t="shared" si="5"/>
        <v>9999999</v>
      </c>
    </row>
    <row r="145" spans="1:17" x14ac:dyDescent="0.25">
      <c r="A145" t="s">
        <v>160</v>
      </c>
      <c r="B145">
        <v>145</v>
      </c>
      <c r="C145">
        <v>14.8</v>
      </c>
      <c r="D145">
        <v>260</v>
      </c>
      <c r="E145">
        <v>232</v>
      </c>
      <c r="F145">
        <v>3.98</v>
      </c>
      <c r="G145">
        <v>4.47</v>
      </c>
      <c r="H145">
        <v>15.2</v>
      </c>
      <c r="I145">
        <v>13.7</v>
      </c>
      <c r="J145">
        <f>1.76 * F145 * SQRT(29000 / Dashboard!$B$8) / 12</f>
        <v>14.058160284254045</v>
      </c>
      <c r="K145">
        <f>1.95 * G145 * (29000 / (0.7 * Dashboard!$B$8)) / 12 * SQRT((H145*1)/(E145*I145) + SQRT(((H145*1)/(E145*I145))^2 + 6.76*((0.7*Dashboard!$B$8)/29000)^2))</f>
        <v>61.677929365660155</v>
      </c>
      <c r="L145">
        <f>Dashboard!$B$8 * D145 / 12</f>
        <v>1083.3333333333333</v>
      </c>
      <c r="M145">
        <f>(Dashboard!$B$9 * PI()^2 * 29000 / ((Dashboard!$B$5*12)/G145)^2) * SQRT(1 + 0.078 * (H145*1)/(E145*I145) * ((Dashboard!$B$5*12)/G145)^2)</f>
        <v>2534.9834045417761</v>
      </c>
      <c r="N145">
        <f>MIN( IF(Dashboard!$B$5 &lt;= J145, L145, IF(Dashboard!$B$5 &lt;= K145, Dashboard!$B$9 * (L145 - (L145 - 0.7*Dashboard!$B$8*E145/12) * ((Dashboard!$B$5 - J145)/(K145 - J145))), M145 * E145 / 12) ), L145 )</f>
        <v>1083.3333333333333</v>
      </c>
      <c r="O145">
        <f t="shared" si="4"/>
        <v>648.7025948103792</v>
      </c>
      <c r="P145" t="str">
        <f>IF(AND(O145 &gt;= Dashboard!$B$11, C145 &lt;= Dashboard!$B$6), "Pass", "Fail")</f>
        <v>Fail</v>
      </c>
      <c r="Q145">
        <f t="shared" si="5"/>
        <v>9999999</v>
      </c>
    </row>
    <row r="146" spans="1:17" x14ac:dyDescent="0.25">
      <c r="A146" t="s">
        <v>161</v>
      </c>
      <c r="B146">
        <v>146</v>
      </c>
      <c r="C146">
        <v>27.4</v>
      </c>
      <c r="D146">
        <v>464</v>
      </c>
      <c r="E146">
        <v>414</v>
      </c>
      <c r="F146">
        <v>3.2</v>
      </c>
      <c r="G146">
        <v>3.76</v>
      </c>
      <c r="H146">
        <v>11.3</v>
      </c>
      <c r="I146">
        <v>26.4</v>
      </c>
      <c r="J146">
        <f>1.76 * F146 * SQRT(29000 / Dashboard!$B$8) / 12</f>
        <v>11.303043444626368</v>
      </c>
      <c r="K146">
        <f>1.95 * G146 * (29000 / (0.7 * Dashboard!$B$8)) / 12 * SQRT((H146*1)/(E146*I146) + SQRT(((H146*1)/(E146*I146))^2 + 6.76*((0.7*Dashboard!$B$8)/29000)^2))</f>
        <v>33.342930553886866</v>
      </c>
      <c r="L146">
        <f>Dashboard!$B$8 * D146 / 12</f>
        <v>1933.3333333333333</v>
      </c>
      <c r="M146">
        <f>(Dashboard!$B$9 * PI()^2 * 29000 / ((Dashboard!$B$5*12)/G146)^2) * SQRT(1 + 0.078 * (H146*1)/(E146*I146) * ((Dashboard!$B$5*12)/G146)^2)</f>
        <v>1767.7718324017685</v>
      </c>
      <c r="N146">
        <f>MIN( IF(Dashboard!$B$5 &lt;= J146, L146, IF(Dashboard!$B$5 &lt;= K146, Dashboard!$B$9 * (L146 - (L146 - 0.7*Dashboard!$B$8*E146/12) * ((Dashboard!$B$5 - J146)/(K146 - J146))), M146 * E146 / 12) ), L146 )</f>
        <v>1933.3333333333333</v>
      </c>
      <c r="O146">
        <f t="shared" si="4"/>
        <v>1157.6846307385229</v>
      </c>
      <c r="P146" t="str">
        <f>IF(AND(O146 &gt;= Dashboard!$B$11, C146 &lt;= Dashboard!$B$6), "Pass", "Fail")</f>
        <v>Fail</v>
      </c>
      <c r="Q146">
        <f t="shared" si="5"/>
        <v>9999999</v>
      </c>
    </row>
    <row r="147" spans="1:17" x14ac:dyDescent="0.25">
      <c r="A147" t="s">
        <v>162</v>
      </c>
      <c r="B147">
        <v>146</v>
      </c>
      <c r="C147">
        <v>24.7</v>
      </c>
      <c r="D147">
        <v>418</v>
      </c>
      <c r="E147">
        <v>371</v>
      </c>
      <c r="F147">
        <v>3.01</v>
      </c>
      <c r="G147">
        <v>3.53</v>
      </c>
      <c r="H147">
        <v>13.4</v>
      </c>
      <c r="I147">
        <v>23.6</v>
      </c>
      <c r="J147">
        <f>1.76 * F147 * SQRT(29000 / Dashboard!$B$8) / 12</f>
        <v>10.631925240101678</v>
      </c>
      <c r="K147">
        <f>1.95 * G147 * (29000 / (0.7 * Dashboard!$B$8)) / 12 * SQRT((H147*1)/(E147*I147) + SQRT(((H147*1)/(E147*I147))^2 + 6.76*((0.7*Dashboard!$B$8)/29000)^2))</f>
        <v>33.68090342926817</v>
      </c>
      <c r="L147">
        <f>Dashboard!$B$8 * D147 / 12</f>
        <v>1741.6666666666667</v>
      </c>
      <c r="M147">
        <f>(Dashboard!$B$9 * PI()^2 * 29000 / ((Dashboard!$B$5*12)/G147)^2) * SQRT(1 + 0.078 * (H147*1)/(E147*I147) * ((Dashboard!$B$5*12)/G147)^2)</f>
        <v>1564.9680562081919</v>
      </c>
      <c r="N147">
        <f>MIN( IF(Dashboard!$B$5 &lt;= J147, L147, IF(Dashboard!$B$5 &lt;= K147, Dashboard!$B$9 * (L147 - (L147 - 0.7*Dashboard!$B$8*E147/12) * ((Dashboard!$B$5 - J147)/(K147 - J147))), M147 * E147 / 12) ), L147 )</f>
        <v>1741.6666666666667</v>
      </c>
      <c r="O147">
        <f t="shared" si="4"/>
        <v>1042.9141716566867</v>
      </c>
      <c r="P147" t="str">
        <f>IF(AND(O147 &gt;= Dashboard!$B$11, C147 &lt;= Dashboard!$B$6), "Pass", "Fail")</f>
        <v>Fail</v>
      </c>
      <c r="Q147">
        <f t="shared" si="5"/>
        <v>9999999</v>
      </c>
    </row>
    <row r="148" spans="1:17" x14ac:dyDescent="0.25">
      <c r="A148" t="s">
        <v>163</v>
      </c>
      <c r="B148">
        <v>147</v>
      </c>
      <c r="C148">
        <v>22.1</v>
      </c>
      <c r="D148">
        <v>373</v>
      </c>
      <c r="E148">
        <v>329</v>
      </c>
      <c r="F148">
        <v>2.95</v>
      </c>
      <c r="G148">
        <v>3.46</v>
      </c>
      <c r="H148">
        <v>15.4</v>
      </c>
      <c r="I148">
        <v>21</v>
      </c>
      <c r="J148">
        <f>1.76 * F148 * SQRT(29000 / Dashboard!$B$8) / 12</f>
        <v>10.419993175514934</v>
      </c>
      <c r="K148">
        <f>1.95 * G148 * (29000 / (0.7 * Dashboard!$B$8)) / 12 * SQRT((H148*1)/(E148*I148) + SQRT(((H148*1)/(E148*I148))^2 + 6.76*((0.7*Dashboard!$B$8)/29000)^2))</f>
        <v>36.319479552623392</v>
      </c>
      <c r="L148">
        <f>Dashboard!$B$8 * D148 / 12</f>
        <v>1554.1666666666667</v>
      </c>
      <c r="M148">
        <f>(Dashboard!$B$9 * PI()^2 * 29000 / ((Dashboard!$B$5*12)/G148)^2) * SQRT(1 + 0.078 * (H148*1)/(E148*I148) * ((Dashboard!$B$5*12)/G148)^2)</f>
        <v>1511.8697391017411</v>
      </c>
      <c r="N148">
        <f>MIN( IF(Dashboard!$B$5 &lt;= J148, L148, IF(Dashboard!$B$5 &lt;= K148, Dashboard!$B$9 * (L148 - (L148 - 0.7*Dashboard!$B$8*E148/12) * ((Dashboard!$B$5 - J148)/(K148 - J148))), M148 * E148 / 12) ), L148 )</f>
        <v>1554.1666666666667</v>
      </c>
      <c r="O148">
        <f t="shared" si="4"/>
        <v>930.63872255489025</v>
      </c>
      <c r="P148" t="str">
        <f>IF(AND(O148 &gt;= Dashboard!$B$11, C148 &lt;= Dashboard!$B$6), "Pass", "Fail")</f>
        <v>Fail</v>
      </c>
      <c r="Q148">
        <f t="shared" si="5"/>
        <v>9999999</v>
      </c>
    </row>
    <row r="149" spans="1:17" x14ac:dyDescent="0.25">
      <c r="A149" t="s">
        <v>164</v>
      </c>
      <c r="B149">
        <v>148</v>
      </c>
      <c r="C149">
        <v>30.7</v>
      </c>
      <c r="D149">
        <v>500</v>
      </c>
      <c r="E149">
        <v>436</v>
      </c>
      <c r="F149">
        <v>2.2799999999999998</v>
      </c>
      <c r="G149">
        <v>2.77</v>
      </c>
      <c r="H149">
        <v>14.5</v>
      </c>
      <c r="I149">
        <v>29.5</v>
      </c>
      <c r="J149">
        <f>1.76 * F149 * SQRT(29000 / Dashboard!$B$8) / 12</f>
        <v>8.0534184542962866</v>
      </c>
      <c r="K149">
        <f>1.95 * G149 * (29000 / (0.7 * Dashboard!$B$8)) / 12 * SQRT((H149*1)/(E149*I149) + SQRT(((H149*1)/(E149*I149))^2 + 6.76*((0.7*Dashboard!$B$8)/29000)^2))</f>
        <v>24.912124235576915</v>
      </c>
      <c r="L149">
        <f>Dashboard!$B$8 * D149 / 12</f>
        <v>2083.3333333333335</v>
      </c>
      <c r="M149">
        <f>(Dashboard!$B$9 * PI()^2 * 29000 / ((Dashboard!$B$5*12)/G149)^2) * SQRT(1 + 0.078 * (H149*1)/(E149*I149) * ((Dashboard!$B$5*12)/G149)^2)</f>
        <v>965.6818494112872</v>
      </c>
      <c r="N149">
        <f>MIN( IF(Dashboard!$B$5 &lt;= J149, L149, IF(Dashboard!$B$5 &lt;= K149, Dashboard!$B$9 * (L149 - (L149 - 0.7*Dashboard!$B$8*E149/12) * ((Dashboard!$B$5 - J149)/(K149 - J149))), M149 * E149 / 12) ), L149 )</f>
        <v>2083.3333333333335</v>
      </c>
      <c r="O149">
        <f t="shared" si="4"/>
        <v>1247.5049900199601</v>
      </c>
      <c r="P149" t="str">
        <f>IF(AND(O149 &gt;= Dashboard!$B$11, C149 &lt;= Dashboard!$B$6), "Pass", "Fail")</f>
        <v>Fail</v>
      </c>
      <c r="Q149">
        <f t="shared" si="5"/>
        <v>9999999</v>
      </c>
    </row>
    <row r="150" spans="1:17" x14ac:dyDescent="0.25">
      <c r="A150" t="s">
        <v>165</v>
      </c>
      <c r="B150">
        <v>149</v>
      </c>
      <c r="C150">
        <v>38.200000000000003</v>
      </c>
      <c r="D150">
        <v>598</v>
      </c>
      <c r="E150">
        <v>513</v>
      </c>
      <c r="F150">
        <v>2.29</v>
      </c>
      <c r="G150">
        <v>2.89</v>
      </c>
      <c r="H150">
        <v>9.36</v>
      </c>
      <c r="I150">
        <v>37.4</v>
      </c>
      <c r="J150">
        <f>1.76 * F150 * SQRT(29000 / Dashboard!$B$8) / 12</f>
        <v>8.0887404650607451</v>
      </c>
      <c r="K150">
        <f>1.95 * G150 * (29000 / (0.7 * Dashboard!$B$8)) / 12 * SQRT((H150*1)/(E150*I150) + SQRT(((H150*1)/(E150*I150))^2 + 6.76*((0.7*Dashboard!$B$8)/29000)^2))</f>
        <v>23.552008992318214</v>
      </c>
      <c r="L150">
        <f>Dashboard!$B$8 * D150 / 12</f>
        <v>2491.6666666666665</v>
      </c>
      <c r="M150">
        <f>(Dashboard!$B$9 * PI()^2 * 29000 / ((Dashboard!$B$5*12)/G150)^2) * SQRT(1 + 0.078 * (H150*1)/(E150*I150) * ((Dashboard!$B$5*12)/G150)^2)</f>
        <v>1042.9860128422176</v>
      </c>
      <c r="N150">
        <f>MIN( IF(Dashboard!$B$5 &lt;= J150, L150, IF(Dashboard!$B$5 &lt;= K150, Dashboard!$B$9 * (L150 - (L150 - 0.7*Dashboard!$B$8*E150/12) * ((Dashboard!$B$5 - J150)/(K150 - J150))), M150 * E150 / 12) ), L150 )</f>
        <v>2491.6666666666665</v>
      </c>
      <c r="O150">
        <f t="shared" si="4"/>
        <v>1492.0159680638722</v>
      </c>
      <c r="P150" t="str">
        <f>IF(AND(O150 &gt;= Dashboard!$B$11, C150 &lt;= Dashboard!$B$6), "Pass", "Fail")</f>
        <v>Fail</v>
      </c>
      <c r="Q150">
        <f t="shared" si="5"/>
        <v>9999999</v>
      </c>
    </row>
    <row r="151" spans="1:17" x14ac:dyDescent="0.25">
      <c r="A151" t="s">
        <v>166</v>
      </c>
      <c r="B151">
        <v>150</v>
      </c>
      <c r="C151">
        <v>35.9</v>
      </c>
      <c r="D151">
        <v>581</v>
      </c>
      <c r="E151">
        <v>504</v>
      </c>
      <c r="F151">
        <v>2.4700000000000002</v>
      </c>
      <c r="G151">
        <v>3.06</v>
      </c>
      <c r="H151">
        <v>10.1</v>
      </c>
      <c r="I151">
        <v>35</v>
      </c>
      <c r="J151">
        <f>1.76 * F151 * SQRT(29000 / Dashboard!$B$8) / 12</f>
        <v>8.7245366588209787</v>
      </c>
      <c r="K151">
        <f>1.95 * G151 * (29000 / (0.7 * Dashboard!$B$8)) / 12 * SQRT((H151*1)/(E151*I151) + SQRT(((H151*1)/(E151*I151))^2 + 6.76*((0.7*Dashboard!$B$8)/29000)^2))</f>
        <v>25.271532021322923</v>
      </c>
      <c r="L151">
        <f>Dashboard!$B$8 * D151 / 12</f>
        <v>2420.8333333333335</v>
      </c>
      <c r="M151">
        <f>(Dashboard!$B$9 * PI()^2 * 29000 / ((Dashboard!$B$5*12)/G151)^2) * SQRT(1 + 0.078 * (H151*1)/(E151*I151) * ((Dashboard!$B$5*12)/G151)^2)</f>
        <v>1169.5837627323024</v>
      </c>
      <c r="N151">
        <f>MIN( IF(Dashboard!$B$5 &lt;= J151, L151, IF(Dashboard!$B$5 &lt;= K151, Dashboard!$B$9 * (L151 - (L151 - 0.7*Dashboard!$B$8*E151/12) * ((Dashboard!$B$5 - J151)/(K151 - J151))), M151 * E151 / 12) ), L151 )</f>
        <v>2420.8333333333335</v>
      </c>
      <c r="O151">
        <f t="shared" si="4"/>
        <v>1449.6007984031937</v>
      </c>
      <c r="P151" t="str">
        <f>IF(AND(O151 &gt;= Dashboard!$B$11, C151 &lt;= Dashboard!$B$6), "Pass", "Fail")</f>
        <v>Fail</v>
      </c>
      <c r="Q151">
        <f t="shared" si="5"/>
        <v>9999999</v>
      </c>
    </row>
    <row r="152" spans="1:17" x14ac:dyDescent="0.25">
      <c r="A152" t="s">
        <v>167</v>
      </c>
      <c r="B152">
        <v>152</v>
      </c>
      <c r="C152">
        <v>33.5</v>
      </c>
      <c r="D152">
        <v>559</v>
      </c>
      <c r="E152">
        <v>487</v>
      </c>
      <c r="F152">
        <v>2.4700000000000002</v>
      </c>
      <c r="G152">
        <v>3.01</v>
      </c>
      <c r="H152">
        <v>12.4</v>
      </c>
      <c r="I152">
        <v>32.4</v>
      </c>
      <c r="J152">
        <f>1.76 * F152 * SQRT(29000 / Dashboard!$B$8) / 12</f>
        <v>8.7245366588209787</v>
      </c>
      <c r="K152">
        <f>1.95 * G152 * (29000 / (0.7 * Dashboard!$B$8)) / 12 * SQRT((H152*1)/(E152*I152) + SQRT(((H152*1)/(E152*I152))^2 + 6.76*((0.7*Dashboard!$B$8)/29000)^2))</f>
        <v>25.69809522658278</v>
      </c>
      <c r="L152">
        <f>Dashboard!$B$8 * D152 / 12</f>
        <v>2329.1666666666665</v>
      </c>
      <c r="M152">
        <f>(Dashboard!$B$9 * PI()^2 * 29000 / ((Dashboard!$B$5*12)/G152)^2) * SQRT(1 + 0.078 * (H152*1)/(E152*I152) * ((Dashboard!$B$5*12)/G152)^2)</f>
        <v>1134.2454632027652</v>
      </c>
      <c r="N152">
        <f>MIN( IF(Dashboard!$B$5 &lt;= J152, L152, IF(Dashboard!$B$5 &lt;= K152, Dashboard!$B$9 * (L152 - (L152 - 0.7*Dashboard!$B$8*E152/12) * ((Dashboard!$B$5 - J152)/(K152 - J152))), M152 * E152 / 12) ), L152 )</f>
        <v>2329.1666666666665</v>
      </c>
      <c r="O152">
        <f t="shared" si="4"/>
        <v>1394.7105788423153</v>
      </c>
      <c r="P152" t="str">
        <f>IF(AND(O152 &gt;= Dashboard!$B$11, C152 &lt;= Dashboard!$B$6), "Pass", "Fail")</f>
        <v>Fail</v>
      </c>
      <c r="Q152">
        <f t="shared" si="5"/>
        <v>9999999</v>
      </c>
    </row>
    <row r="153" spans="1:17" x14ac:dyDescent="0.25">
      <c r="A153" t="s">
        <v>168</v>
      </c>
      <c r="B153">
        <v>152</v>
      </c>
      <c r="C153">
        <v>13.7</v>
      </c>
      <c r="D153">
        <v>243</v>
      </c>
      <c r="E153">
        <v>209</v>
      </c>
      <c r="F153">
        <v>3.19</v>
      </c>
      <c r="G153">
        <v>3.66</v>
      </c>
      <c r="H153">
        <v>25.8</v>
      </c>
      <c r="I153">
        <v>12.3</v>
      </c>
      <c r="J153">
        <f>1.76 * F153 * SQRT(29000 / Dashboard!$B$8) / 12</f>
        <v>11.26772143386191</v>
      </c>
      <c r="K153">
        <f>1.95 * G153 * (29000 / (0.7 * Dashboard!$B$8)) / 12 * SQRT((H153*1)/(E153*I153) + SQRT(((H153*1)/(E153*I153))^2 + 6.76*((0.7*Dashboard!$B$8)/29000)^2))</f>
        <v>70.645724762681169</v>
      </c>
      <c r="L153">
        <f>Dashboard!$B$8 * D153 / 12</f>
        <v>1012.5</v>
      </c>
      <c r="M153">
        <f>(Dashboard!$B$9 * PI()^2 * 29000 / ((Dashboard!$B$5*12)/G153)^2) * SQRT(1 + 0.078 * (H153*1)/(E153*I153) * ((Dashboard!$B$5*12)/G153)^2)</f>
        <v>1772.5848164099523</v>
      </c>
      <c r="N153">
        <f>MIN( IF(Dashboard!$B$5 &lt;= J153, L153, IF(Dashboard!$B$5 &lt;= K153, Dashboard!$B$9 * (L153 - (L153 - 0.7*Dashboard!$B$8*E153/12) * ((Dashboard!$B$5 - J153)/(K153 - J153))), M153 * E153 / 12) ), L153 )</f>
        <v>1012.5</v>
      </c>
      <c r="O153">
        <f t="shared" si="4"/>
        <v>606.28742514970065</v>
      </c>
      <c r="P153" t="str">
        <f>IF(AND(O153 &gt;= Dashboard!$B$11, C153 &lt;= Dashboard!$B$6), "Pass", "Fail")</f>
        <v>Fail</v>
      </c>
      <c r="Q153">
        <f t="shared" si="5"/>
        <v>9999999</v>
      </c>
    </row>
    <row r="154" spans="1:17" x14ac:dyDescent="0.25">
      <c r="A154" t="s">
        <v>169</v>
      </c>
      <c r="B154">
        <v>158</v>
      </c>
      <c r="C154">
        <v>19.7</v>
      </c>
      <c r="D154">
        <v>356</v>
      </c>
      <c r="E154">
        <v>310</v>
      </c>
      <c r="F154">
        <v>2.74</v>
      </c>
      <c r="G154">
        <v>3.2</v>
      </c>
      <c r="H154">
        <v>25.2</v>
      </c>
      <c r="I154">
        <v>18.3</v>
      </c>
      <c r="J154">
        <f>1.76 * F154 * SQRT(29000 / Dashboard!$B$8) / 12</f>
        <v>9.6782309494613283</v>
      </c>
      <c r="K154">
        <f>1.95 * G154 * (29000 / (0.7 * Dashboard!$B$8)) / 12 * SQRT((H154*1)/(E154*I154) + SQRT(((H154*1)/(E154*I154))^2 + 6.76*((0.7*Dashboard!$B$8)/29000)^2))</f>
        <v>42.828012113330878</v>
      </c>
      <c r="L154">
        <f>Dashboard!$B$8 * D154 / 12</f>
        <v>1483.3333333333333</v>
      </c>
      <c r="M154">
        <f>(Dashboard!$B$9 * PI()^2 * 29000 / ((Dashboard!$B$5*12)/G154)^2) * SQRT(1 + 0.078 * (H154*1)/(E154*I154) * ((Dashboard!$B$5*12)/G154)^2)</f>
        <v>1320.7368540630698</v>
      </c>
      <c r="N154">
        <f>MIN( IF(Dashboard!$B$5 &lt;= J154, L154, IF(Dashboard!$B$5 &lt;= K154, Dashboard!$B$9 * (L154 - (L154 - 0.7*Dashboard!$B$8*E154/12) * ((Dashboard!$B$5 - J154)/(K154 - J154))), M154 * E154 / 12) ), L154 )</f>
        <v>1483.3333333333333</v>
      </c>
      <c r="O154">
        <f t="shared" si="4"/>
        <v>888.22355289421159</v>
      </c>
      <c r="P154" t="str">
        <f>IF(AND(O154 &gt;= Dashboard!$B$11, C154 &lt;= Dashboard!$B$6), "Pass", "Fail")</f>
        <v>Fail</v>
      </c>
      <c r="Q154">
        <f t="shared" si="5"/>
        <v>9999999</v>
      </c>
    </row>
    <row r="155" spans="1:17" x14ac:dyDescent="0.25">
      <c r="A155" t="s">
        <v>170</v>
      </c>
      <c r="B155">
        <v>159</v>
      </c>
      <c r="C155">
        <v>15</v>
      </c>
      <c r="D155">
        <v>287</v>
      </c>
      <c r="E155">
        <v>254</v>
      </c>
      <c r="F155">
        <v>4</v>
      </c>
      <c r="G155">
        <v>4.51</v>
      </c>
      <c r="H155">
        <v>19.7</v>
      </c>
      <c r="I155">
        <v>13.8</v>
      </c>
      <c r="J155">
        <f>1.76 * F155 * SQRT(29000 / Dashboard!$B$8) / 12</f>
        <v>14.128804305782962</v>
      </c>
      <c r="K155">
        <f>1.95 * G155 * (29000 / (0.7 * Dashboard!$B$8)) / 12 * SQRT((H155*1)/(E155*I155) + SQRT(((H155*1)/(E155*I155))^2 + 6.76*((0.7*Dashboard!$B$8)/29000)^2))</f>
        <v>66.677824664611293</v>
      </c>
      <c r="L155">
        <f>Dashboard!$B$8 * D155 / 12</f>
        <v>1195.8333333333333</v>
      </c>
      <c r="M155">
        <f>(Dashboard!$B$9 * PI()^2 * 29000 / ((Dashboard!$B$5*12)/G155)^2) * SQRT(1 + 0.078 * (H155*1)/(E155*I155) * ((Dashboard!$B$5*12)/G155)^2)</f>
        <v>2588.7611536349823</v>
      </c>
      <c r="N155">
        <f>MIN( IF(Dashboard!$B$5 &lt;= J155, L155, IF(Dashboard!$B$5 &lt;= K155, Dashboard!$B$9 * (L155 - (L155 - 0.7*Dashboard!$B$8*E155/12) * ((Dashboard!$B$5 - J155)/(K155 - J155))), M155 * E155 / 12) ), L155 )</f>
        <v>1195.8333333333333</v>
      </c>
      <c r="O155">
        <f t="shared" si="4"/>
        <v>716.0678642714571</v>
      </c>
      <c r="P155" t="str">
        <f>IF(AND(O155 &gt;= Dashboard!$B$11, C155 &lt;= Dashboard!$B$6), "Pass", "Fail")</f>
        <v>Fail</v>
      </c>
      <c r="Q155">
        <f t="shared" si="5"/>
        <v>9999999</v>
      </c>
    </row>
    <row r="156" spans="1:17" x14ac:dyDescent="0.25">
      <c r="A156" t="s">
        <v>171</v>
      </c>
      <c r="B156">
        <v>160</v>
      </c>
      <c r="C156">
        <v>36</v>
      </c>
      <c r="D156">
        <v>624</v>
      </c>
      <c r="E156">
        <v>542</v>
      </c>
      <c r="F156">
        <v>2.5</v>
      </c>
      <c r="G156">
        <v>3.09</v>
      </c>
      <c r="H156">
        <v>12.4</v>
      </c>
      <c r="I156">
        <v>35</v>
      </c>
      <c r="J156">
        <f>1.76 * F156 * SQRT(29000 / Dashboard!$B$8) / 12</f>
        <v>8.8305026911143507</v>
      </c>
      <c r="K156">
        <f>1.95 * G156 * (29000 / (0.7 * Dashboard!$B$8)) / 12 * SQRT((H156*1)/(E156*I156) + SQRT(((H156*1)/(E156*I156))^2 + 6.76*((0.7*Dashboard!$B$8)/29000)^2))</f>
        <v>25.845004428736633</v>
      </c>
      <c r="L156">
        <f>Dashboard!$B$8 * D156 / 12</f>
        <v>2600</v>
      </c>
      <c r="M156">
        <f>(Dashboard!$B$9 * PI()^2 * 29000 / ((Dashboard!$B$5*12)/G156)^2) * SQRT(1 + 0.078 * (H156*1)/(E156*I156) * ((Dashboard!$B$5*12)/G156)^2)</f>
        <v>1193.4040580723636</v>
      </c>
      <c r="N156">
        <f>MIN( IF(Dashboard!$B$5 &lt;= J156, L156, IF(Dashboard!$B$5 &lt;= K156, Dashboard!$B$9 * (L156 - (L156 - 0.7*Dashboard!$B$8*E156/12) * ((Dashboard!$B$5 - J156)/(K156 - J156))), M156 * E156 / 12) ), L156 )</f>
        <v>2600</v>
      </c>
      <c r="O156">
        <f t="shared" si="4"/>
        <v>1556.8862275449103</v>
      </c>
      <c r="P156" t="str">
        <f>IF(AND(O156 &gt;= Dashboard!$B$11, C156 &lt;= Dashboard!$B$6), "Pass", "Fail")</f>
        <v>Fail</v>
      </c>
      <c r="Q156">
        <f t="shared" si="5"/>
        <v>9999999</v>
      </c>
    </row>
    <row r="157" spans="1:17" x14ac:dyDescent="0.25">
      <c r="A157" t="s">
        <v>172</v>
      </c>
      <c r="B157">
        <v>161</v>
      </c>
      <c r="C157">
        <v>27.6</v>
      </c>
      <c r="D157">
        <v>515</v>
      </c>
      <c r="E157">
        <v>458</v>
      </c>
      <c r="F157">
        <v>3.23</v>
      </c>
      <c r="G157">
        <v>3.79</v>
      </c>
      <c r="H157">
        <v>15.1</v>
      </c>
      <c r="I157">
        <v>26.5</v>
      </c>
      <c r="J157">
        <f>1.76 * F157 * SQRT(29000 / Dashboard!$B$8) / 12</f>
        <v>11.40900947691974</v>
      </c>
      <c r="K157">
        <f>1.95 * G157 * (29000 / (0.7 * Dashboard!$B$8)) / 12 * SQRT((H157*1)/(E157*I157) + SQRT(((H157*1)/(E157*I157))^2 + 6.76*((0.7*Dashboard!$B$8)/29000)^2))</f>
        <v>34.684015340247818</v>
      </c>
      <c r="L157">
        <f>Dashboard!$B$8 * D157 / 12</f>
        <v>2145.8333333333335</v>
      </c>
      <c r="M157">
        <f>(Dashboard!$B$9 * PI()^2 * 29000 / ((Dashboard!$B$5*12)/G157)^2) * SQRT(1 + 0.078 * (H157*1)/(E157*I157) * ((Dashboard!$B$5*12)/G157)^2)</f>
        <v>1798.2400542041239</v>
      </c>
      <c r="N157">
        <f>MIN( IF(Dashboard!$B$5 &lt;= J157, L157, IF(Dashboard!$B$5 &lt;= K157, Dashboard!$B$9 * (L157 - (L157 - 0.7*Dashboard!$B$8*E157/12) * ((Dashboard!$B$5 - J157)/(K157 - J157))), M157 * E157 / 12) ), L157 )</f>
        <v>2145.8333333333335</v>
      </c>
      <c r="O157">
        <f t="shared" si="4"/>
        <v>1284.9301397205591</v>
      </c>
      <c r="P157" t="str">
        <f>IF(AND(O157 &gt;= Dashboard!$B$11, C157 &lt;= Dashboard!$B$6), "Pass", "Fail")</f>
        <v>Fail</v>
      </c>
      <c r="Q157">
        <f t="shared" si="5"/>
        <v>9999999</v>
      </c>
    </row>
    <row r="158" spans="1:17" x14ac:dyDescent="0.25">
      <c r="A158" t="s">
        <v>173</v>
      </c>
      <c r="B158">
        <v>162</v>
      </c>
      <c r="C158">
        <v>25</v>
      </c>
      <c r="D158">
        <v>468</v>
      </c>
      <c r="E158">
        <v>414</v>
      </c>
      <c r="F158">
        <v>3.05</v>
      </c>
      <c r="G158">
        <v>3.57</v>
      </c>
      <c r="H158">
        <v>18.5</v>
      </c>
      <c r="I158">
        <v>23.8</v>
      </c>
      <c r="J158">
        <f>1.76 * F158 * SQRT(29000 / Dashboard!$B$8) / 12</f>
        <v>10.773213283159507</v>
      </c>
      <c r="K158">
        <f>1.95 * G158 * (29000 / (0.7 * Dashboard!$B$8)) / 12 * SQRT((H158*1)/(E158*I158) + SQRT(((H158*1)/(E158*I158))^2 + 6.76*((0.7*Dashboard!$B$8)/29000)^2))</f>
        <v>35.758850578441056</v>
      </c>
      <c r="L158">
        <f>Dashboard!$B$8 * D158 / 12</f>
        <v>1950</v>
      </c>
      <c r="M158">
        <f>(Dashboard!$B$9 * PI()^2 * 29000 / ((Dashboard!$B$5*12)/G158)^2) * SQRT(1 + 0.078 * (H158*1)/(E158*I158) * ((Dashboard!$B$5*12)/G158)^2)</f>
        <v>1604.0794589469729</v>
      </c>
      <c r="N158">
        <f>MIN( IF(Dashboard!$B$5 &lt;= J158, L158, IF(Dashboard!$B$5 &lt;= K158, Dashboard!$B$9 * (L158 - (L158 - 0.7*Dashboard!$B$8*E158/12) * ((Dashboard!$B$5 - J158)/(K158 - J158))), M158 * E158 / 12) ), L158 )</f>
        <v>1950</v>
      </c>
      <c r="O158">
        <f t="shared" si="4"/>
        <v>1167.6646706586828</v>
      </c>
      <c r="P158" t="str">
        <f>IF(AND(O158 &gt;= Dashboard!$B$11, C158 &lt;= Dashboard!$B$6), "Pass", "Fail")</f>
        <v>Fail</v>
      </c>
      <c r="Q158">
        <f t="shared" si="5"/>
        <v>9999999</v>
      </c>
    </row>
    <row r="159" spans="1:17" x14ac:dyDescent="0.25">
      <c r="A159" t="s">
        <v>174</v>
      </c>
      <c r="B159">
        <v>166</v>
      </c>
      <c r="C159">
        <v>22.5</v>
      </c>
      <c r="D159">
        <v>432</v>
      </c>
      <c r="E159">
        <v>380</v>
      </c>
      <c r="F159">
        <v>2.99</v>
      </c>
      <c r="G159">
        <v>3.48</v>
      </c>
      <c r="H159">
        <v>23.6</v>
      </c>
      <c r="I159">
        <v>21.1</v>
      </c>
      <c r="J159">
        <f>1.76 * F159 * SQRT(29000 / Dashboard!$B$8) / 12</f>
        <v>10.561281218572764</v>
      </c>
      <c r="K159">
        <f>1.95 * G159 * (29000 / (0.7 * Dashboard!$B$8)) / 12 * SQRT((H159*1)/(E159*I159) + SQRT(((H159*1)/(E159*I159))^2 + 6.76*((0.7*Dashboard!$B$8)/29000)^2))</f>
        <v>39.884402669365791</v>
      </c>
      <c r="L159">
        <f>Dashboard!$B$8 * D159 / 12</f>
        <v>1800</v>
      </c>
      <c r="M159">
        <f>(Dashboard!$B$9 * PI()^2 * 29000 / ((Dashboard!$B$5*12)/G159)^2) * SQRT(1 + 0.078 * (H159*1)/(E159*I159) * ((Dashboard!$B$5*12)/G159)^2)</f>
        <v>1536.9405128495553</v>
      </c>
      <c r="N159">
        <f>MIN( IF(Dashboard!$B$5 &lt;= J159, L159, IF(Dashboard!$B$5 &lt;= K159, Dashboard!$B$9 * (L159 - (L159 - 0.7*Dashboard!$B$8*E159/12) * ((Dashboard!$B$5 - J159)/(K159 - J159))), M159 * E159 / 12) ), L159 )</f>
        <v>1800</v>
      </c>
      <c r="O159">
        <f t="shared" si="4"/>
        <v>1077.8443113772455</v>
      </c>
      <c r="P159" t="str">
        <f>IF(AND(O159 &gt;= Dashboard!$B$11, C159 &lt;= Dashboard!$B$6), "Pass", "Fail")</f>
        <v>Fail</v>
      </c>
      <c r="Q159">
        <f t="shared" si="5"/>
        <v>9999999</v>
      </c>
    </row>
    <row r="160" spans="1:17" x14ac:dyDescent="0.25">
      <c r="A160" t="s">
        <v>175</v>
      </c>
      <c r="B160">
        <v>167</v>
      </c>
      <c r="C160">
        <v>38.6</v>
      </c>
      <c r="D160">
        <v>693</v>
      </c>
      <c r="E160">
        <v>600</v>
      </c>
      <c r="F160">
        <v>2.4</v>
      </c>
      <c r="G160">
        <v>2.98</v>
      </c>
      <c r="H160">
        <v>14</v>
      </c>
      <c r="I160">
        <v>37.6</v>
      </c>
      <c r="J160">
        <f>1.76 * F160 * SQRT(29000 / Dashboard!$B$8) / 12</f>
        <v>8.4772825834697763</v>
      </c>
      <c r="K160">
        <f>1.95 * G160 * (29000 / (0.7 * Dashboard!$B$8)) / 12 * SQRT((H160*1)/(E160*I160) + SQRT(((H160*1)/(E160*I160))^2 + 6.76*((0.7*Dashboard!$B$8)/29000)^2))</f>
        <v>24.796472936893799</v>
      </c>
      <c r="L160">
        <f>Dashboard!$B$8 * D160 / 12</f>
        <v>2887.5</v>
      </c>
      <c r="M160">
        <f>(Dashboard!$B$9 * PI()^2 * 29000 / ((Dashboard!$B$5*12)/G160)^2) * SQRT(1 + 0.078 * (H160*1)/(E160*I160) * ((Dashboard!$B$5*12)/G160)^2)</f>
        <v>1110.0890838662822</v>
      </c>
      <c r="N160">
        <f>MIN( IF(Dashboard!$B$5 &lt;= J160, L160, IF(Dashboard!$B$5 &lt;= K160, Dashboard!$B$9 * (L160 - (L160 - 0.7*Dashboard!$B$8*E160/12) * ((Dashboard!$B$5 - J160)/(K160 - J160))), M160 * E160 / 12) ), L160 )</f>
        <v>2887.5</v>
      </c>
      <c r="O160">
        <f t="shared" si="4"/>
        <v>1729.0419161676648</v>
      </c>
      <c r="P160" t="str">
        <f>IF(AND(O160 &gt;= Dashboard!$B$11, C160 &lt;= Dashboard!$B$6), "Pass", "Fail")</f>
        <v>Fail</v>
      </c>
      <c r="Q160">
        <f t="shared" si="5"/>
        <v>9999999</v>
      </c>
    </row>
    <row r="161" spans="1:17" x14ac:dyDescent="0.25">
      <c r="A161" t="s">
        <v>176</v>
      </c>
      <c r="B161">
        <v>169</v>
      </c>
      <c r="C161">
        <v>33.799999999999997</v>
      </c>
      <c r="D161">
        <v>629</v>
      </c>
      <c r="E161">
        <v>549</v>
      </c>
      <c r="F161">
        <v>2.5</v>
      </c>
      <c r="G161">
        <v>3.03</v>
      </c>
      <c r="H161">
        <v>17.7</v>
      </c>
      <c r="I161">
        <v>32.6</v>
      </c>
      <c r="J161">
        <f>1.76 * F161 * SQRT(29000 / Dashboard!$B$8) / 12</f>
        <v>8.8305026911143507</v>
      </c>
      <c r="K161">
        <f>1.95 * G161 * (29000 / (0.7 * Dashboard!$B$8)) / 12 * SQRT((H161*1)/(E161*I161) + SQRT(((H161*1)/(E161*I161))^2 + 6.76*((0.7*Dashboard!$B$8)/29000)^2))</f>
        <v>26.687016044174491</v>
      </c>
      <c r="L161">
        <f>Dashboard!$B$8 * D161 / 12</f>
        <v>2620.8333333333335</v>
      </c>
      <c r="M161">
        <f>(Dashboard!$B$9 * PI()^2 * 29000 / ((Dashboard!$B$5*12)/G161)^2) * SQRT(1 + 0.078 * (H161*1)/(E161*I161) * ((Dashboard!$B$5*12)/G161)^2)</f>
        <v>1151.5002392483025</v>
      </c>
      <c r="N161">
        <f>MIN( IF(Dashboard!$B$5 &lt;= J161, L161, IF(Dashboard!$B$5 &lt;= K161, Dashboard!$B$9 * (L161 - (L161 - 0.7*Dashboard!$B$8*E161/12) * ((Dashboard!$B$5 - J161)/(K161 - J161))), M161 * E161 / 12) ), L161 )</f>
        <v>2620.8333333333335</v>
      </c>
      <c r="O161">
        <f t="shared" si="4"/>
        <v>1569.3612774451099</v>
      </c>
      <c r="P161" t="str">
        <f>IF(AND(O161 &gt;= Dashboard!$B$11, C161 &lt;= Dashboard!$B$6), "Pass", "Fail")</f>
        <v>Fail</v>
      </c>
      <c r="Q161">
        <f t="shared" si="5"/>
        <v>9999999</v>
      </c>
    </row>
    <row r="162" spans="1:17" x14ac:dyDescent="0.25">
      <c r="A162" t="s">
        <v>177</v>
      </c>
      <c r="B162">
        <v>170</v>
      </c>
      <c r="C162">
        <v>36.200000000000003</v>
      </c>
      <c r="D162">
        <v>668</v>
      </c>
      <c r="E162">
        <v>581</v>
      </c>
      <c r="F162">
        <v>2.5299999999999998</v>
      </c>
      <c r="G162">
        <v>3.11</v>
      </c>
      <c r="H162">
        <v>15.1</v>
      </c>
      <c r="I162">
        <v>35.1</v>
      </c>
      <c r="J162">
        <f>1.76 * F162 * SQRT(29000 / Dashboard!$B$8) / 12</f>
        <v>8.9364687234077227</v>
      </c>
      <c r="K162">
        <f>1.95 * G162 * (29000 / (0.7 * Dashboard!$B$8)) / 12 * SQRT((H162*1)/(E162*I162) + SQRT(((H162*1)/(E162*I162))^2 + 6.76*((0.7*Dashboard!$B$8)/29000)^2))</f>
        <v>26.365797001389716</v>
      </c>
      <c r="L162">
        <f>Dashboard!$B$8 * D162 / 12</f>
        <v>2783.3333333333335</v>
      </c>
      <c r="M162">
        <f>(Dashboard!$B$9 * PI()^2 * 29000 / ((Dashboard!$B$5*12)/G162)^2) * SQRT(1 + 0.078 * (H162*1)/(E162*I162) * ((Dashboard!$B$5*12)/G162)^2)</f>
        <v>1209.7709670742865</v>
      </c>
      <c r="N162">
        <f>MIN( IF(Dashboard!$B$5 &lt;= J162, L162, IF(Dashboard!$B$5 &lt;= K162, Dashboard!$B$9 * (L162 - (L162 - 0.7*Dashboard!$B$8*E162/12) * ((Dashboard!$B$5 - J162)/(K162 - J162))), M162 * E162 / 12) ), L162 )</f>
        <v>2783.3333333333335</v>
      </c>
      <c r="O162">
        <f t="shared" si="4"/>
        <v>1666.6666666666667</v>
      </c>
      <c r="P162" t="str">
        <f>IF(AND(O162 &gt;= Dashboard!$B$11, C162 &lt;= Dashboard!$B$6), "Pass", "Fail")</f>
        <v>Fail</v>
      </c>
      <c r="Q162">
        <f t="shared" si="5"/>
        <v>9999999</v>
      </c>
    </row>
    <row r="163" spans="1:17" x14ac:dyDescent="0.25">
      <c r="A163" t="s">
        <v>178</v>
      </c>
      <c r="B163">
        <v>170</v>
      </c>
      <c r="C163">
        <v>14</v>
      </c>
      <c r="D163">
        <v>275</v>
      </c>
      <c r="E163">
        <v>235</v>
      </c>
      <c r="F163">
        <v>3.22</v>
      </c>
      <c r="G163">
        <v>3.7</v>
      </c>
      <c r="H163">
        <v>35.6</v>
      </c>
      <c r="I163">
        <v>12.4</v>
      </c>
      <c r="J163">
        <f>1.76 * F163 * SQRT(29000 / Dashboard!$B$8) / 12</f>
        <v>11.373687466155284</v>
      </c>
      <c r="K163">
        <f>1.95 * G163 * (29000 / (0.7 * Dashboard!$B$8)) / 12 * SQRT((H163*1)/(E163*I163) + SQRT(((H163*1)/(E163*I163))^2 + 6.76*((0.7*Dashboard!$B$8)/29000)^2))</f>
        <v>78.50118911308131</v>
      </c>
      <c r="L163">
        <f>Dashboard!$B$8 * D163 / 12</f>
        <v>1145.8333333333333</v>
      </c>
      <c r="M163">
        <f>(Dashboard!$B$9 * PI()^2 * 29000 / ((Dashboard!$B$5*12)/G163)^2) * SQRT(1 + 0.078 * (H163*1)/(E163*I163) * ((Dashboard!$B$5*12)/G163)^2)</f>
        <v>1831.9673086943826</v>
      </c>
      <c r="N163">
        <f>MIN( IF(Dashboard!$B$5 &lt;= J163, L163, IF(Dashboard!$B$5 &lt;= K163, Dashboard!$B$9 * (L163 - (L163 - 0.7*Dashboard!$B$8*E163/12) * ((Dashboard!$B$5 - J163)/(K163 - J163))), M163 * E163 / 12) ), L163 )</f>
        <v>1145.8333333333333</v>
      </c>
      <c r="O163">
        <f t="shared" si="4"/>
        <v>686.127744510978</v>
      </c>
      <c r="P163" t="str">
        <f>IF(AND(O163 &gt;= Dashboard!$B$11, C163 &lt;= Dashboard!$B$6), "Pass", "Fail")</f>
        <v>Fail</v>
      </c>
      <c r="Q163">
        <f t="shared" si="5"/>
        <v>9999999</v>
      </c>
    </row>
    <row r="164" spans="1:17" x14ac:dyDescent="0.25">
      <c r="A164" t="s">
        <v>179</v>
      </c>
      <c r="B164">
        <v>173</v>
      </c>
      <c r="C164">
        <v>30.4</v>
      </c>
      <c r="D164">
        <v>607</v>
      </c>
      <c r="E164">
        <v>541</v>
      </c>
      <c r="F164">
        <v>3.42</v>
      </c>
      <c r="G164">
        <v>4.03</v>
      </c>
      <c r="H164">
        <v>15.6</v>
      </c>
      <c r="I164">
        <v>29.3</v>
      </c>
      <c r="J164">
        <f>1.76 * F164 * SQRT(29000 / Dashboard!$B$8) / 12</f>
        <v>12.080127681444431</v>
      </c>
      <c r="K164">
        <f>1.95 * G164 * (29000 / (0.7 * Dashboard!$B$8)) / 12 * SQRT((H164*1)/(E164*I164) + SQRT(((H164*1)/(E164*I164))^2 + 6.76*((0.7*Dashboard!$B$8)/29000)^2))</f>
        <v>35.468594118256334</v>
      </c>
      <c r="L164">
        <f>Dashboard!$B$8 * D164 / 12</f>
        <v>2529.1666666666665</v>
      </c>
      <c r="M164">
        <f>(Dashboard!$B$9 * PI()^2 * 29000 / ((Dashboard!$B$5*12)/G164)^2) * SQRT(1 + 0.078 * (H164*1)/(E164*I164) * ((Dashboard!$B$5*12)/G164)^2)</f>
        <v>2028.5107083642999</v>
      </c>
      <c r="N164">
        <f>MIN( IF(Dashboard!$B$5 &lt;= J164, L164, IF(Dashboard!$B$5 &lt;= K164, Dashboard!$B$9 * (L164 - (L164 - 0.7*Dashboard!$B$8*E164/12) * ((Dashboard!$B$5 - J164)/(K164 - J164))), M164 * E164 / 12) ), L164 )</f>
        <v>2529.1666666666665</v>
      </c>
      <c r="O164">
        <f t="shared" si="4"/>
        <v>1514.4710578842314</v>
      </c>
      <c r="P164" t="str">
        <f>IF(AND(O164 &gt;= Dashboard!$B$11, C164 &lt;= Dashboard!$B$6), "Pass", "Fail")</f>
        <v>Fail</v>
      </c>
      <c r="Q164">
        <f t="shared" si="5"/>
        <v>9999999</v>
      </c>
    </row>
    <row r="165" spans="1:17" x14ac:dyDescent="0.25">
      <c r="A165" t="s">
        <v>180</v>
      </c>
      <c r="B165">
        <v>175</v>
      </c>
      <c r="C165">
        <v>20</v>
      </c>
      <c r="D165">
        <v>398</v>
      </c>
      <c r="E165">
        <v>344</v>
      </c>
      <c r="F165">
        <v>2.76</v>
      </c>
      <c r="G165">
        <v>3.24</v>
      </c>
      <c r="H165">
        <v>33.799999999999997</v>
      </c>
      <c r="I165">
        <v>18.399999999999999</v>
      </c>
      <c r="J165">
        <f>1.76 * F165 * SQRT(29000 / Dashboard!$B$8) / 12</f>
        <v>9.7488749709902418</v>
      </c>
      <c r="K165">
        <f>1.95 * G165 * (29000 / (0.7 * Dashboard!$B$8)) / 12 * SQRT((H165*1)/(E165*I165) + SQRT(((H165*1)/(E165*I165))^2 + 6.76*((0.7*Dashboard!$B$8)/29000)^2))</f>
        <v>46.850339576513832</v>
      </c>
      <c r="L165">
        <f>Dashboard!$B$8 * D165 / 12</f>
        <v>1658.3333333333333</v>
      </c>
      <c r="M165">
        <f>(Dashboard!$B$9 * PI()^2 * 29000 / ((Dashboard!$B$5*12)/G165)^2) * SQRT(1 + 0.078 * (H165*1)/(E165*I165) * ((Dashboard!$B$5*12)/G165)^2)</f>
        <v>1362.3875557344716</v>
      </c>
      <c r="N165">
        <f>MIN( IF(Dashboard!$B$5 &lt;= J165, L165, IF(Dashboard!$B$5 &lt;= K165, Dashboard!$B$9 * (L165 - (L165 - 0.7*Dashboard!$B$8*E165/12) * ((Dashboard!$B$5 - J165)/(K165 - J165))), M165 * E165 / 12) ), L165 )</f>
        <v>1658.3333333333333</v>
      </c>
      <c r="O165">
        <f t="shared" si="4"/>
        <v>993.01397205588819</v>
      </c>
      <c r="P165" t="str">
        <f>IF(AND(O165 &gt;= Dashboard!$B$11, C165 &lt;= Dashboard!$B$6), "Pass", "Fail")</f>
        <v>Fail</v>
      </c>
      <c r="Q165">
        <f t="shared" si="5"/>
        <v>9999999</v>
      </c>
    </row>
    <row r="166" spans="1:17" x14ac:dyDescent="0.25">
      <c r="A166" t="s">
        <v>181</v>
      </c>
      <c r="B166">
        <v>176</v>
      </c>
      <c r="C166">
        <v>25.2</v>
      </c>
      <c r="D166">
        <v>511</v>
      </c>
      <c r="E166">
        <v>450</v>
      </c>
      <c r="F166">
        <v>3.04</v>
      </c>
      <c r="G166">
        <v>3.57</v>
      </c>
      <c r="H166">
        <v>23.9</v>
      </c>
      <c r="I166">
        <v>23.9</v>
      </c>
      <c r="J166">
        <f>1.76 * F166 * SQRT(29000 / Dashboard!$B$8) / 12</f>
        <v>10.737891272395052</v>
      </c>
      <c r="K166">
        <f>1.95 * G166 * (29000 / (0.7 * Dashboard!$B$8)) / 12 * SQRT((H166*1)/(E166*I166) + SQRT(((H166*1)/(E166*I166))^2 + 6.76*((0.7*Dashboard!$B$8)/29000)^2))</f>
        <v>37.441261949032672</v>
      </c>
      <c r="L166">
        <f>Dashboard!$B$8 * D166 / 12</f>
        <v>2129.1666666666665</v>
      </c>
      <c r="M166">
        <f>(Dashboard!$B$9 * PI()^2 * 29000 / ((Dashboard!$B$5*12)/G166)^2) * SQRT(1 + 0.078 * (H166*1)/(E166*I166) * ((Dashboard!$B$5*12)/G166)^2)</f>
        <v>1607.8723067445353</v>
      </c>
      <c r="N166">
        <f>MIN( IF(Dashboard!$B$5 &lt;= J166, L166, IF(Dashboard!$B$5 &lt;= K166, Dashboard!$B$9 * (L166 - (L166 - 0.7*Dashboard!$B$8*E166/12) * ((Dashboard!$B$5 - J166)/(K166 - J166))), M166 * E166 / 12) ), L166 )</f>
        <v>2129.1666666666665</v>
      </c>
      <c r="O166">
        <f t="shared" si="4"/>
        <v>1274.9500998003991</v>
      </c>
      <c r="P166" t="str">
        <f>IF(AND(O166 &gt;= Dashboard!$B$11, C166 &lt;= Dashboard!$B$6), "Pass", "Fail")</f>
        <v>Fail</v>
      </c>
      <c r="Q166">
        <f t="shared" si="5"/>
        <v>9999999</v>
      </c>
    </row>
    <row r="167" spans="1:17" x14ac:dyDescent="0.25">
      <c r="A167" t="s">
        <v>182</v>
      </c>
      <c r="B167">
        <v>176</v>
      </c>
      <c r="C167">
        <v>15.2</v>
      </c>
      <c r="D167">
        <v>320</v>
      </c>
      <c r="E167">
        <v>281</v>
      </c>
      <c r="F167">
        <v>4.0199999999999996</v>
      </c>
      <c r="G167">
        <v>4.55</v>
      </c>
      <c r="H167">
        <v>26.5</v>
      </c>
      <c r="I167">
        <v>13.9</v>
      </c>
      <c r="J167">
        <f>1.76 * F167 * SQRT(29000 / Dashboard!$B$8) / 12</f>
        <v>14.199448327311876</v>
      </c>
      <c r="K167">
        <f>1.95 * G167 * (29000 / (0.7 * Dashboard!$B$8)) / 12 * SQRT((H167*1)/(E167*I167) + SQRT(((H167*1)/(E167*I167))^2 + 6.76*((0.7*Dashboard!$B$8)/29000)^2))</f>
        <v>73.156081170769582</v>
      </c>
      <c r="L167">
        <f>Dashboard!$B$8 * D167 / 12</f>
        <v>1333.3333333333333</v>
      </c>
      <c r="M167">
        <f>(Dashboard!$B$9 * PI()^2 * 29000 / ((Dashboard!$B$5*12)/G167)^2) * SQRT(1 + 0.078 * (H167*1)/(E167*I167) * ((Dashboard!$B$5*12)/G167)^2)</f>
        <v>2646.4550851356644</v>
      </c>
      <c r="N167">
        <f>MIN( IF(Dashboard!$B$5 &lt;= J167, L167, IF(Dashboard!$B$5 &lt;= K167, Dashboard!$B$9 * (L167 - (L167 - 0.7*Dashboard!$B$8*E167/12) * ((Dashboard!$B$5 - J167)/(K167 - J167))), M167 * E167 / 12) ), L167 )</f>
        <v>1333.3333333333333</v>
      </c>
      <c r="O167">
        <f t="shared" si="4"/>
        <v>798.40319361277443</v>
      </c>
      <c r="P167" t="str">
        <f>IF(AND(O167 &gt;= Dashboard!$B$11, C167 &lt;= Dashboard!$B$6), "Pass", "Fail")</f>
        <v>Fail</v>
      </c>
      <c r="Q167">
        <f t="shared" si="5"/>
        <v>9999999</v>
      </c>
    </row>
    <row r="168" spans="1:17" x14ac:dyDescent="0.25">
      <c r="A168" t="s">
        <v>183</v>
      </c>
      <c r="B168">
        <v>178</v>
      </c>
      <c r="C168">
        <v>27.8</v>
      </c>
      <c r="D168">
        <v>570</v>
      </c>
      <c r="E168">
        <v>505</v>
      </c>
      <c r="F168">
        <v>3.25</v>
      </c>
      <c r="G168">
        <v>3.83</v>
      </c>
      <c r="H168">
        <v>20.100000000000001</v>
      </c>
      <c r="I168">
        <v>26.6</v>
      </c>
      <c r="J168">
        <f>1.76 * F168 * SQRT(29000 / Dashboard!$B$8) / 12</f>
        <v>11.479653498448656</v>
      </c>
      <c r="K168">
        <f>1.95 * G168 * (29000 / (0.7 * Dashboard!$B$8)) / 12 * SQRT((H168*1)/(E168*I168) + SQRT(((H168*1)/(E168*I168))^2 + 6.76*((0.7*Dashboard!$B$8)/29000)^2))</f>
        <v>36.364717390680276</v>
      </c>
      <c r="L168">
        <f>Dashboard!$B$8 * D168 / 12</f>
        <v>2375</v>
      </c>
      <c r="M168">
        <f>(Dashboard!$B$9 * PI()^2 * 29000 / ((Dashboard!$B$5*12)/G168)^2) * SQRT(1 + 0.078 * (H168*1)/(E168*I168) * ((Dashboard!$B$5*12)/G168)^2)</f>
        <v>1838.8971791233325</v>
      </c>
      <c r="N168">
        <f>MIN( IF(Dashboard!$B$5 &lt;= J168, L168, IF(Dashboard!$B$5 &lt;= K168, Dashboard!$B$9 * (L168 - (L168 - 0.7*Dashboard!$B$8*E168/12) * ((Dashboard!$B$5 - J168)/(K168 - J168))), M168 * E168 / 12) ), L168 )</f>
        <v>2375</v>
      </c>
      <c r="O168">
        <f t="shared" si="4"/>
        <v>1422.1556886227545</v>
      </c>
      <c r="P168" t="str">
        <f>IF(AND(O168 &gt;= Dashboard!$B$11, C168 &lt;= Dashboard!$B$6), "Pass", "Fail")</f>
        <v>Fail</v>
      </c>
      <c r="Q168">
        <f t="shared" si="5"/>
        <v>9999999</v>
      </c>
    </row>
    <row r="169" spans="1:17" x14ac:dyDescent="0.25">
      <c r="A169" t="s">
        <v>184</v>
      </c>
      <c r="B169">
        <v>182</v>
      </c>
      <c r="C169">
        <v>36.299999999999997</v>
      </c>
      <c r="D169">
        <v>718</v>
      </c>
      <c r="E169">
        <v>623</v>
      </c>
      <c r="F169">
        <v>2.5499999999999998</v>
      </c>
      <c r="G169">
        <v>3.13</v>
      </c>
      <c r="H169">
        <v>18.5</v>
      </c>
      <c r="I169">
        <v>35.1</v>
      </c>
      <c r="J169">
        <f>1.76 * F169 * SQRT(29000 / Dashboard!$B$8) / 12</f>
        <v>9.0071127449366362</v>
      </c>
      <c r="K169">
        <f>1.95 * G169 * (29000 / (0.7 * Dashboard!$B$8)) / 12 * SQRT((H169*1)/(E169*I169) + SQRT(((H169*1)/(E169*I169))^2 + 6.76*((0.7*Dashboard!$B$8)/29000)^2))</f>
        <v>26.971619736798477</v>
      </c>
      <c r="L169">
        <f>Dashboard!$B$8 * D169 / 12</f>
        <v>2991.6666666666665</v>
      </c>
      <c r="M169">
        <f>(Dashboard!$B$9 * PI()^2 * 29000 / ((Dashboard!$B$5*12)/G169)^2) * SQRT(1 + 0.078 * (H169*1)/(E169*I169) * ((Dashboard!$B$5*12)/G169)^2)</f>
        <v>1226.4447252282966</v>
      </c>
      <c r="N169">
        <f>MIN( IF(Dashboard!$B$5 &lt;= J169, L169, IF(Dashboard!$B$5 &lt;= K169, Dashboard!$B$9 * (L169 - (L169 - 0.7*Dashboard!$B$8*E169/12) * ((Dashboard!$B$5 - J169)/(K169 - J169))), M169 * E169 / 12) ), L169 )</f>
        <v>2991.6666666666665</v>
      </c>
      <c r="O169">
        <f t="shared" si="4"/>
        <v>1791.4171656686626</v>
      </c>
      <c r="P169" t="str">
        <f>IF(AND(O169 &gt;= Dashboard!$B$11, C169 &lt;= Dashboard!$B$6), "Pass", "Fail")</f>
        <v>Fail</v>
      </c>
      <c r="Q169">
        <f t="shared" si="5"/>
        <v>9999999</v>
      </c>
    </row>
    <row r="170" spans="1:17" x14ac:dyDescent="0.25">
      <c r="A170" t="s">
        <v>185</v>
      </c>
      <c r="B170">
        <v>182</v>
      </c>
      <c r="C170">
        <v>22.7</v>
      </c>
      <c r="D170">
        <v>476</v>
      </c>
      <c r="E170">
        <v>417</v>
      </c>
      <c r="F170">
        <v>3</v>
      </c>
      <c r="G170">
        <v>3.51</v>
      </c>
      <c r="H170">
        <v>30.7</v>
      </c>
      <c r="I170">
        <v>21.2</v>
      </c>
      <c r="J170">
        <f>1.76 * F170 * SQRT(29000 / Dashboard!$B$8) / 12</f>
        <v>10.596603229337221</v>
      </c>
      <c r="K170">
        <f>1.95 * G170 * (29000 / (0.7 * Dashboard!$B$8)) / 12 * SQRT((H170*1)/(E170*I170) + SQRT(((H170*1)/(E170*I170))^2 + 6.76*((0.7*Dashboard!$B$8)/29000)^2))</f>
        <v>42.672868739766841</v>
      </c>
      <c r="L170">
        <f>Dashboard!$B$8 * D170 / 12</f>
        <v>1983.3333333333333</v>
      </c>
      <c r="M170">
        <f>(Dashboard!$B$9 * PI()^2 * 29000 / ((Dashboard!$B$5*12)/G170)^2) * SQRT(1 + 0.078 * (H170*1)/(E170*I170) * ((Dashboard!$B$5*12)/G170)^2)</f>
        <v>1568.7716617874287</v>
      </c>
      <c r="N170">
        <f>MIN( IF(Dashboard!$B$5 &lt;= J170, L170, IF(Dashboard!$B$5 &lt;= K170, Dashboard!$B$9 * (L170 - (L170 - 0.7*Dashboard!$B$8*E170/12) * ((Dashboard!$B$5 - J170)/(K170 - J170))), M170 * E170 / 12) ), L170 )</f>
        <v>1983.3333333333333</v>
      </c>
      <c r="O170">
        <f t="shared" si="4"/>
        <v>1187.6247504990019</v>
      </c>
      <c r="P170" t="str">
        <f>IF(AND(O170 &gt;= Dashboard!$B$11, C170 &lt;= Dashboard!$B$6), "Pass", "Fail")</f>
        <v>Fail</v>
      </c>
      <c r="Q170">
        <f t="shared" si="5"/>
        <v>9999999</v>
      </c>
    </row>
    <row r="171" spans="1:17" x14ac:dyDescent="0.25">
      <c r="A171" t="s">
        <v>186</v>
      </c>
      <c r="B171">
        <v>183</v>
      </c>
      <c r="C171">
        <v>39</v>
      </c>
      <c r="D171">
        <v>774</v>
      </c>
      <c r="E171">
        <v>675</v>
      </c>
      <c r="F171">
        <v>2.4900000000000002</v>
      </c>
      <c r="G171">
        <v>3.04</v>
      </c>
      <c r="H171">
        <v>19.3</v>
      </c>
      <c r="I171">
        <v>37.799999999999997</v>
      </c>
      <c r="J171">
        <f>1.76 * F171 * SQRT(29000 / Dashboard!$B$8) / 12</f>
        <v>8.795180680349894</v>
      </c>
      <c r="K171">
        <f>1.95 * G171 * (29000 / (0.7 * Dashboard!$B$8)) / 12 * SQRT((H171*1)/(E171*I171) + SQRT(((H171*1)/(E171*I171))^2 + 6.76*((0.7*Dashboard!$B$8)/29000)^2))</f>
        <v>25.836231405106485</v>
      </c>
      <c r="L171">
        <f>Dashboard!$B$8 * D171 / 12</f>
        <v>3225</v>
      </c>
      <c r="M171">
        <f>(Dashboard!$B$9 * PI()^2 * 29000 / ((Dashboard!$B$5*12)/G171)^2) * SQRT(1 + 0.078 * (H171*1)/(E171*I171) * ((Dashboard!$B$5*12)/G171)^2)</f>
        <v>1156.467023786269</v>
      </c>
      <c r="N171">
        <f>MIN( IF(Dashboard!$B$5 &lt;= J171, L171, IF(Dashboard!$B$5 &lt;= K171, Dashboard!$B$9 * (L171 - (L171 - 0.7*Dashboard!$B$8*E171/12) * ((Dashboard!$B$5 - J171)/(K171 - J171))), M171 * E171 / 12) ), L171 )</f>
        <v>3225</v>
      </c>
      <c r="O171">
        <f t="shared" si="4"/>
        <v>1931.1377245508984</v>
      </c>
      <c r="P171" t="str">
        <f>IF(AND(O171 &gt;= Dashboard!$B$11, C171 &lt;= Dashboard!$B$6), "Pass", "Fail")</f>
        <v>Fail</v>
      </c>
      <c r="Q171">
        <f t="shared" si="5"/>
        <v>9999999</v>
      </c>
    </row>
    <row r="172" spans="1:17" x14ac:dyDescent="0.25">
      <c r="A172" t="s">
        <v>187</v>
      </c>
      <c r="B172">
        <v>190</v>
      </c>
      <c r="C172">
        <v>14.4</v>
      </c>
      <c r="D172">
        <v>311</v>
      </c>
      <c r="E172">
        <v>263</v>
      </c>
      <c r="F172">
        <v>3.25</v>
      </c>
      <c r="G172">
        <v>3.77</v>
      </c>
      <c r="H172">
        <v>48.8</v>
      </c>
      <c r="I172">
        <v>12.7</v>
      </c>
      <c r="J172">
        <f>1.76 * F172 * SQRT(29000 / Dashboard!$B$8) / 12</f>
        <v>11.479653498448656</v>
      </c>
      <c r="K172">
        <f>1.95 * G172 * (29000 / (0.7 * Dashboard!$B$8)) / 12 * SQRT((H172*1)/(E172*I172) + SQRT(((H172*1)/(E172*I172))^2 + 6.76*((0.7*Dashboard!$B$8)/29000)^2))</f>
        <v>87.26332445045648</v>
      </c>
      <c r="L172">
        <f>Dashboard!$B$8 * D172 / 12</f>
        <v>1295.8333333333333</v>
      </c>
      <c r="M172">
        <f>(Dashboard!$B$9 * PI()^2 * 29000 / ((Dashboard!$B$5*12)/G172)^2) * SQRT(1 + 0.078 * (H172*1)/(E172*I172) * ((Dashboard!$B$5*12)/G172)^2)</f>
        <v>1921.8036355829659</v>
      </c>
      <c r="N172">
        <f>MIN( IF(Dashboard!$B$5 &lt;= J172, L172, IF(Dashboard!$B$5 &lt;= K172, Dashboard!$B$9 * (L172 - (L172 - 0.7*Dashboard!$B$8*E172/12) * ((Dashboard!$B$5 - J172)/(K172 - J172))), M172 * E172 / 12) ), L172 )</f>
        <v>1295.8333333333333</v>
      </c>
      <c r="O172">
        <f t="shared" si="4"/>
        <v>775.94810379241517</v>
      </c>
      <c r="P172" t="str">
        <f>IF(AND(O172 &gt;= Dashboard!$B$11, C172 &lt;= Dashboard!$B$6), "Pass", "Fail")</f>
        <v>Fail</v>
      </c>
      <c r="Q172">
        <f t="shared" si="5"/>
        <v>9999999</v>
      </c>
    </row>
    <row r="173" spans="1:17" x14ac:dyDescent="0.25">
      <c r="A173" t="s">
        <v>188</v>
      </c>
      <c r="B173">
        <v>191</v>
      </c>
      <c r="C173">
        <v>30.7</v>
      </c>
      <c r="D173">
        <v>675</v>
      </c>
      <c r="E173">
        <v>600</v>
      </c>
      <c r="F173">
        <v>3.46</v>
      </c>
      <c r="G173">
        <v>4.0599999999999996</v>
      </c>
      <c r="H173">
        <v>21</v>
      </c>
      <c r="I173">
        <v>29.5</v>
      </c>
      <c r="J173">
        <f>1.76 * F173 * SQRT(29000 / Dashboard!$B$8) / 12</f>
        <v>12.221415724502259</v>
      </c>
      <c r="K173">
        <f>1.95 * G173 * (29000 / (0.7 * Dashboard!$B$8)) / 12 * SQRT((H173*1)/(E173*I173) + SQRT(((H173*1)/(E173*I173))^2 + 6.76*((0.7*Dashboard!$B$8)/29000)^2))</f>
        <v>36.837788060241536</v>
      </c>
      <c r="L173">
        <f>Dashboard!$B$8 * D173 / 12</f>
        <v>2812.5</v>
      </c>
      <c r="M173">
        <f>(Dashboard!$B$9 * PI()^2 * 29000 / ((Dashboard!$B$5*12)/G173)^2) * SQRT(1 + 0.078 * (H173*1)/(E173*I173) * ((Dashboard!$B$5*12)/G173)^2)</f>
        <v>2060.90585892944</v>
      </c>
      <c r="N173">
        <f>MIN( IF(Dashboard!$B$5 &lt;= J173, L173, IF(Dashboard!$B$5 &lt;= K173, Dashboard!$B$9 * (L173 - (L173 - 0.7*Dashboard!$B$8*E173/12) * ((Dashboard!$B$5 - J173)/(K173 - J173))), M173 * E173 / 12) ), L173 )</f>
        <v>2812.5</v>
      </c>
      <c r="O173">
        <f t="shared" si="4"/>
        <v>1684.1317365269463</v>
      </c>
      <c r="P173" t="str">
        <f>IF(AND(O173 &gt;= Dashboard!$B$11, C173 &lt;= Dashboard!$B$6), "Pass", "Fail")</f>
        <v>Fail</v>
      </c>
      <c r="Q173">
        <f t="shared" si="5"/>
        <v>9999999</v>
      </c>
    </row>
    <row r="174" spans="1:17" x14ac:dyDescent="0.25">
      <c r="A174" t="s">
        <v>189</v>
      </c>
      <c r="B174">
        <v>192</v>
      </c>
      <c r="C174">
        <v>25.5</v>
      </c>
      <c r="D174">
        <v>559</v>
      </c>
      <c r="E174">
        <v>491</v>
      </c>
      <c r="F174">
        <v>3.07</v>
      </c>
      <c r="G174">
        <v>3.6</v>
      </c>
      <c r="H174">
        <v>30.8</v>
      </c>
      <c r="I174">
        <v>24</v>
      </c>
      <c r="J174">
        <f>1.76 * F174 * SQRT(29000 / Dashboard!$B$8) / 12</f>
        <v>10.843857304688422</v>
      </c>
      <c r="K174">
        <f>1.95 * G174 * (29000 / (0.7 * Dashboard!$B$8)) / 12 * SQRT((H174*1)/(E174*I174) + SQRT(((H174*1)/(E174*I174))^2 + 6.76*((0.7*Dashboard!$B$8)/29000)^2))</f>
        <v>39.668460486815732</v>
      </c>
      <c r="L174">
        <f>Dashboard!$B$8 * D174 / 12</f>
        <v>2329.1666666666665</v>
      </c>
      <c r="M174">
        <f>(Dashboard!$B$9 * PI()^2 * 29000 / ((Dashboard!$B$5*12)/G174)^2) * SQRT(1 + 0.078 * (H174*1)/(E174*I174) * ((Dashboard!$B$5*12)/G174)^2)</f>
        <v>1638.8951820138898</v>
      </c>
      <c r="N174">
        <f>MIN( IF(Dashboard!$B$5 &lt;= J174, L174, IF(Dashboard!$B$5 &lt;= K174, Dashboard!$B$9 * (L174 - (L174 - 0.7*Dashboard!$B$8*E174/12) * ((Dashboard!$B$5 - J174)/(K174 - J174))), M174 * E174 / 12) ), L174 )</f>
        <v>2329.1666666666665</v>
      </c>
      <c r="O174">
        <f t="shared" si="4"/>
        <v>1394.7105788423153</v>
      </c>
      <c r="P174" t="str">
        <f>IF(AND(O174 &gt;= Dashboard!$B$11, C174 &lt;= Dashboard!$B$6), "Pass", "Fail")</f>
        <v>Fail</v>
      </c>
      <c r="Q174">
        <f t="shared" si="5"/>
        <v>9999999</v>
      </c>
    </row>
    <row r="175" spans="1:17" x14ac:dyDescent="0.25">
      <c r="A175" t="s">
        <v>190</v>
      </c>
      <c r="B175">
        <v>192</v>
      </c>
      <c r="C175">
        <v>20.399999999999999</v>
      </c>
      <c r="D175">
        <v>442</v>
      </c>
      <c r="E175">
        <v>380</v>
      </c>
      <c r="F175">
        <v>2.79</v>
      </c>
      <c r="G175">
        <v>3.28</v>
      </c>
      <c r="H175">
        <v>44.7</v>
      </c>
      <c r="I175">
        <v>18.7</v>
      </c>
      <c r="J175">
        <f>1.76 * F175 * SQRT(29000 / Dashboard!$B$8) / 12</f>
        <v>9.8548410032836156</v>
      </c>
      <c r="K175">
        <f>1.95 * G175 * (29000 / (0.7 * Dashboard!$B$8)) / 12 * SQRT((H175*1)/(E175*I175) + SQRT(((H175*1)/(E175*I175))^2 + 6.76*((0.7*Dashboard!$B$8)/29000)^2))</f>
        <v>50.96964773053466</v>
      </c>
      <c r="L175">
        <f>Dashboard!$B$8 * D175 / 12</f>
        <v>1841.6666666666667</v>
      </c>
      <c r="M175">
        <f>(Dashboard!$B$9 * PI()^2 * 29000 / ((Dashboard!$B$5*12)/G175)^2) * SQRT(1 + 0.078 * (H175*1)/(E175*I175) * ((Dashboard!$B$5*12)/G175)^2)</f>
        <v>1404.9453080570991</v>
      </c>
      <c r="N175">
        <f>MIN( IF(Dashboard!$B$5 &lt;= J175, L175, IF(Dashboard!$B$5 &lt;= K175, Dashboard!$B$9 * (L175 - (L175 - 0.7*Dashboard!$B$8*E175/12) * ((Dashboard!$B$5 - J175)/(K175 - J175))), M175 * E175 / 12) ), L175 )</f>
        <v>1841.6666666666667</v>
      </c>
      <c r="O175">
        <f t="shared" si="4"/>
        <v>1102.7944111776449</v>
      </c>
      <c r="P175" t="str">
        <f>IF(AND(O175 &gt;= Dashboard!$B$11, C175 &lt;= Dashboard!$B$6), "Pass", "Fail")</f>
        <v>Fail</v>
      </c>
      <c r="Q175">
        <f t="shared" si="5"/>
        <v>9999999</v>
      </c>
    </row>
    <row r="176" spans="1:17" x14ac:dyDescent="0.25">
      <c r="A176" t="s">
        <v>191</v>
      </c>
      <c r="B176">
        <v>193</v>
      </c>
      <c r="C176">
        <v>15.5</v>
      </c>
      <c r="D176">
        <v>355</v>
      </c>
      <c r="E176">
        <v>310</v>
      </c>
      <c r="F176">
        <v>4.05</v>
      </c>
      <c r="G176">
        <v>4.59</v>
      </c>
      <c r="H176">
        <v>34.799999999999997</v>
      </c>
      <c r="I176">
        <v>14.1</v>
      </c>
      <c r="J176">
        <f>1.76 * F176 * SQRT(29000 / Dashboard!$B$8) / 12</f>
        <v>14.305414359605246</v>
      </c>
      <c r="K176">
        <f>1.95 * G176 * (29000 / (0.7 * Dashboard!$B$8)) / 12 * SQRT((H176*1)/(E176*I176) + SQRT(((H176*1)/(E176*I176))^2 + 6.76*((0.7*Dashboard!$B$8)/29000)^2))</f>
        <v>79.431088749739033</v>
      </c>
      <c r="L176">
        <f>Dashboard!$B$8 * D176 / 12</f>
        <v>1479.1666666666667</v>
      </c>
      <c r="M176">
        <f>(Dashboard!$B$9 * PI()^2 * 29000 / ((Dashboard!$B$5*12)/G176)^2) * SQRT(1 + 0.078 * (H176*1)/(E176*I176) * ((Dashboard!$B$5*12)/G176)^2)</f>
        <v>2704.6339058956432</v>
      </c>
      <c r="N176">
        <f>MIN( IF(Dashboard!$B$5 &lt;= J176, L176, IF(Dashboard!$B$5 &lt;= K176, Dashboard!$B$9 * (L176 - (L176 - 0.7*Dashboard!$B$8*E176/12) * ((Dashboard!$B$5 - J176)/(K176 - J176))), M176 * E176 / 12) ), L176 )</f>
        <v>1479.1666666666667</v>
      </c>
      <c r="O176">
        <f t="shared" si="4"/>
        <v>885.72854291417173</v>
      </c>
      <c r="P176" t="str">
        <f>IF(AND(O176 &gt;= Dashboard!$B$11, C176 &lt;= Dashboard!$B$6), "Pass", "Fail")</f>
        <v>Fail</v>
      </c>
      <c r="Q176">
        <f t="shared" si="5"/>
        <v>9999999</v>
      </c>
    </row>
    <row r="177" spans="1:17" x14ac:dyDescent="0.25">
      <c r="A177" t="s">
        <v>192</v>
      </c>
      <c r="B177">
        <v>194</v>
      </c>
      <c r="C177">
        <v>36.5</v>
      </c>
      <c r="D177">
        <v>767</v>
      </c>
      <c r="E177">
        <v>664</v>
      </c>
      <c r="F177">
        <v>2.56</v>
      </c>
      <c r="G177">
        <v>3.15</v>
      </c>
      <c r="H177">
        <v>22.2</v>
      </c>
      <c r="I177">
        <v>35.200000000000003</v>
      </c>
      <c r="J177">
        <f>1.76 * F177 * SQRT(29000 / Dashboard!$B$8) / 12</f>
        <v>9.0424347557010947</v>
      </c>
      <c r="K177">
        <f>1.95 * G177 * (29000 / (0.7 * Dashboard!$B$8)) / 12 * SQRT((H177*1)/(E177*I177) + SQRT(((H177*1)/(E177*I177))^2 + 6.76*((0.7*Dashboard!$B$8)/29000)^2))</f>
        <v>27.579065783153727</v>
      </c>
      <c r="L177">
        <f>Dashboard!$B$8 * D177 / 12</f>
        <v>3195.8333333333335</v>
      </c>
      <c r="M177">
        <f>(Dashboard!$B$9 * PI()^2 * 29000 / ((Dashboard!$B$5*12)/G177)^2) * SQRT(1 + 0.078 * (H177*1)/(E177*I177) * ((Dashboard!$B$5*12)/G177)^2)</f>
        <v>1243.1975387683535</v>
      </c>
      <c r="N177">
        <f>MIN( IF(Dashboard!$B$5 &lt;= J177, L177, IF(Dashboard!$B$5 &lt;= K177, Dashboard!$B$9 * (L177 - (L177 - 0.7*Dashboard!$B$8*E177/12) * ((Dashboard!$B$5 - J177)/(K177 - J177))), M177 * E177 / 12) ), L177 )</f>
        <v>3195.8333333333335</v>
      </c>
      <c r="O177">
        <f t="shared" si="4"/>
        <v>1913.6726546906189</v>
      </c>
      <c r="P177" t="str">
        <f>IF(AND(O177 &gt;= Dashboard!$B$11, C177 &lt;= Dashboard!$B$6), "Pass", "Fail")</f>
        <v>Fail</v>
      </c>
      <c r="Q177">
        <f t="shared" si="5"/>
        <v>9999999</v>
      </c>
    </row>
    <row r="178" spans="1:17" x14ac:dyDescent="0.25">
      <c r="A178" t="s">
        <v>193</v>
      </c>
      <c r="B178">
        <v>194</v>
      </c>
      <c r="C178">
        <v>28.1</v>
      </c>
      <c r="D178">
        <v>631</v>
      </c>
      <c r="E178">
        <v>559</v>
      </c>
      <c r="F178">
        <v>3.29</v>
      </c>
      <c r="G178">
        <v>3.85</v>
      </c>
      <c r="H178">
        <v>27.1</v>
      </c>
      <c r="I178">
        <v>26.8</v>
      </c>
      <c r="J178">
        <f>1.76 * F178 * SQRT(29000 / Dashboard!$B$8) / 12</f>
        <v>11.620941541506484</v>
      </c>
      <c r="K178">
        <f>1.95 * G178 * (29000 / (0.7 * Dashboard!$B$8)) / 12 * SQRT((H178*1)/(E178*I178) + SQRT(((H178*1)/(E178*I178))^2 + 6.76*((0.7*Dashboard!$B$8)/29000)^2))</f>
        <v>38.201563135301143</v>
      </c>
      <c r="L178">
        <f>Dashboard!$B$8 * D178 / 12</f>
        <v>2629.1666666666665</v>
      </c>
      <c r="M178">
        <f>(Dashboard!$B$9 * PI()^2 * 29000 / ((Dashboard!$B$5*12)/G178)^2) * SQRT(1 + 0.078 * (H178*1)/(E178*I178) * ((Dashboard!$B$5*12)/G178)^2)</f>
        <v>1861.4343656988763</v>
      </c>
      <c r="N178">
        <f>MIN( IF(Dashboard!$B$5 &lt;= J178, L178, IF(Dashboard!$B$5 &lt;= K178, Dashboard!$B$9 * (L178 - (L178 - 0.7*Dashboard!$B$8*E178/12) * ((Dashboard!$B$5 - J178)/(K178 - J178))), M178 * E178 / 12) ), L178 )</f>
        <v>2629.1666666666665</v>
      </c>
      <c r="O178">
        <f t="shared" si="4"/>
        <v>1574.3512974051896</v>
      </c>
      <c r="P178" t="str">
        <f>IF(AND(O178 &gt;= Dashboard!$B$11, C178 &lt;= Dashboard!$B$6), "Pass", "Fail")</f>
        <v>Fail</v>
      </c>
      <c r="Q178">
        <f t="shared" si="5"/>
        <v>9999999</v>
      </c>
    </row>
    <row r="179" spans="1:17" x14ac:dyDescent="0.25">
      <c r="A179" t="s">
        <v>194</v>
      </c>
      <c r="B179">
        <v>199</v>
      </c>
      <c r="C179">
        <v>38.700000000000003</v>
      </c>
      <c r="D179">
        <v>869</v>
      </c>
      <c r="E179">
        <v>770</v>
      </c>
      <c r="F179">
        <v>3.45</v>
      </c>
      <c r="G179">
        <v>4.12</v>
      </c>
      <c r="H179">
        <v>18.3</v>
      </c>
      <c r="I179">
        <v>37.6</v>
      </c>
      <c r="J179">
        <f>1.76 * F179 * SQRT(29000 / Dashboard!$B$8) / 12</f>
        <v>12.186093713737804</v>
      </c>
      <c r="K179">
        <f>1.95 * G179 * (29000 / (0.7 * Dashboard!$B$8)) / 12 * SQRT((H179*1)/(E179*I179) + SQRT(((H179*1)/(E179*I179))^2 + 6.76*((0.7*Dashboard!$B$8)/29000)^2))</f>
        <v>34.344103227011097</v>
      </c>
      <c r="L179">
        <f>Dashboard!$B$8 * D179 / 12</f>
        <v>3620.8333333333335</v>
      </c>
      <c r="M179">
        <f>(Dashboard!$B$9 * PI()^2 * 29000 / ((Dashboard!$B$5*12)/G179)^2) * SQRT(1 + 0.078 * (H179*1)/(E179*I179) * ((Dashboard!$B$5*12)/G179)^2)</f>
        <v>2115.7190999815639</v>
      </c>
      <c r="N179">
        <f>MIN( IF(Dashboard!$B$5 &lt;= J179, L179, IF(Dashboard!$B$5 &lt;= K179, Dashboard!$B$9 * (L179 - (L179 - 0.7*Dashboard!$B$8*E179/12) * ((Dashboard!$B$5 - J179)/(K179 - J179))), M179 * E179 / 12) ), L179 )</f>
        <v>3620.8333333333335</v>
      </c>
      <c r="O179">
        <f t="shared" si="4"/>
        <v>2168.1636726546908</v>
      </c>
      <c r="P179" t="str">
        <f>IF(AND(O179 &gt;= Dashboard!$B$11, C179 &lt;= Dashboard!$B$6), "Pass", "Fail")</f>
        <v>Fail</v>
      </c>
      <c r="Q179">
        <f t="shared" si="5"/>
        <v>9999999</v>
      </c>
    </row>
    <row r="180" spans="1:17" x14ac:dyDescent="0.25">
      <c r="A180" t="s">
        <v>195</v>
      </c>
      <c r="B180">
        <v>201</v>
      </c>
      <c r="C180">
        <v>33.700000000000003</v>
      </c>
      <c r="D180">
        <v>773</v>
      </c>
      <c r="E180">
        <v>686</v>
      </c>
      <c r="F180">
        <v>3.56</v>
      </c>
      <c r="G180">
        <v>4.21</v>
      </c>
      <c r="H180">
        <v>20.8</v>
      </c>
      <c r="I180">
        <v>32.6</v>
      </c>
      <c r="J180">
        <f>1.76 * F180 * SQRT(29000 / Dashboard!$B$8) / 12</f>
        <v>12.574635832146834</v>
      </c>
      <c r="K180">
        <f>1.95 * G180 * (29000 / (0.7 * Dashboard!$B$8)) / 12 * SQRT((H180*1)/(E180*I180) + SQRT(((H180*1)/(E180*I180))^2 + 6.76*((0.7*Dashboard!$B$8)/29000)^2))</f>
        <v>36.748749944871726</v>
      </c>
      <c r="L180">
        <f>Dashboard!$B$8 * D180 / 12</f>
        <v>3220.8333333333335</v>
      </c>
      <c r="M180">
        <f>(Dashboard!$B$9 * PI()^2 * 29000 / ((Dashboard!$B$5*12)/G180)^2) * SQRT(1 + 0.078 * (H180*1)/(E180*I180) * ((Dashboard!$B$5*12)/G180)^2)</f>
        <v>2212.1657834686125</v>
      </c>
      <c r="N180">
        <f>MIN( IF(Dashboard!$B$5 &lt;= J180, L180, IF(Dashboard!$B$5 &lt;= K180, Dashboard!$B$9 * (L180 - (L180 - 0.7*Dashboard!$B$8*E180/12) * ((Dashboard!$B$5 - J180)/(K180 - J180))), M180 * E180 / 12) ), L180 )</f>
        <v>3220.8333333333335</v>
      </c>
      <c r="O180">
        <f t="shared" si="4"/>
        <v>1928.6427145708585</v>
      </c>
      <c r="P180" t="str">
        <f>IF(AND(O180 &gt;= Dashboard!$B$11, C180 &lt;= Dashboard!$B$6), "Pass", "Fail")</f>
        <v>Fail</v>
      </c>
      <c r="Q180">
        <f t="shared" si="5"/>
        <v>9999999</v>
      </c>
    </row>
    <row r="181" spans="1:17" x14ac:dyDescent="0.25">
      <c r="A181" t="s">
        <v>196</v>
      </c>
      <c r="B181">
        <v>201</v>
      </c>
      <c r="C181">
        <v>23</v>
      </c>
      <c r="D181">
        <v>530</v>
      </c>
      <c r="E181">
        <v>461</v>
      </c>
      <c r="F181">
        <v>3.02</v>
      </c>
      <c r="G181">
        <v>3.55</v>
      </c>
      <c r="H181">
        <v>40.9</v>
      </c>
      <c r="I181">
        <v>21.4</v>
      </c>
      <c r="J181">
        <f>1.76 * F181 * SQRT(29000 / Dashboard!$B$8) / 12</f>
        <v>10.667247250866135</v>
      </c>
      <c r="K181">
        <f>1.95 * G181 * (29000 / (0.7 * Dashboard!$B$8)) / 12 * SQRT((H181*1)/(E181*I181) + SQRT(((H181*1)/(E181*I181))^2 + 6.76*((0.7*Dashboard!$B$8)/29000)^2))</f>
        <v>46.206940411074093</v>
      </c>
      <c r="L181">
        <f>Dashboard!$B$8 * D181 / 12</f>
        <v>2208.3333333333335</v>
      </c>
      <c r="M181">
        <f>(Dashboard!$B$9 * PI()^2 * 29000 / ((Dashboard!$B$5*12)/G181)^2) * SQRT(1 + 0.078 * (H181*1)/(E181*I181) * ((Dashboard!$B$5*12)/G181)^2)</f>
        <v>1611.1812800240382</v>
      </c>
      <c r="N181">
        <f>MIN( IF(Dashboard!$B$5 &lt;= J181, L181, IF(Dashboard!$B$5 &lt;= K181, Dashboard!$B$9 * (L181 - (L181 - 0.7*Dashboard!$B$8*E181/12) * ((Dashboard!$B$5 - J181)/(K181 - J181))), M181 * E181 / 12) ), L181 )</f>
        <v>2208.3333333333335</v>
      </c>
      <c r="O181">
        <f t="shared" si="4"/>
        <v>1322.3552894211577</v>
      </c>
      <c r="P181" t="str">
        <f>IF(AND(O181 &gt;= Dashboard!$B$11, C181 &lt;= Dashboard!$B$6), "Pass", "Fail")</f>
        <v>Fail</v>
      </c>
      <c r="Q181">
        <f t="shared" si="5"/>
        <v>9999999</v>
      </c>
    </row>
    <row r="182" spans="1:17" x14ac:dyDescent="0.25">
      <c r="A182" t="s">
        <v>197</v>
      </c>
      <c r="B182">
        <v>207</v>
      </c>
      <c r="C182">
        <v>25.7</v>
      </c>
      <c r="D182">
        <v>606</v>
      </c>
      <c r="E182">
        <v>531</v>
      </c>
      <c r="F182">
        <v>3.08</v>
      </c>
      <c r="G182">
        <v>3.62</v>
      </c>
      <c r="H182">
        <v>38.299999999999997</v>
      </c>
      <c r="I182">
        <v>24.1</v>
      </c>
      <c r="J182">
        <f>1.76 * F182 * SQRT(29000 / Dashboard!$B$8) / 12</f>
        <v>10.879179315452879</v>
      </c>
      <c r="K182">
        <f>1.95 * G182 * (29000 / (0.7 * Dashboard!$B$8)) / 12 * SQRT((H182*1)/(E182*I182) + SQRT(((H182*1)/(E182*I182))^2 + 6.76*((0.7*Dashboard!$B$8)/29000)^2))</f>
        <v>41.727309027141246</v>
      </c>
      <c r="L182">
        <f>Dashboard!$B$8 * D182 / 12</f>
        <v>2525</v>
      </c>
      <c r="M182">
        <f>(Dashboard!$B$9 * PI()^2 * 29000 / ((Dashboard!$B$5*12)/G182)^2) * SQRT(1 + 0.078 * (H182*1)/(E182*I182) * ((Dashboard!$B$5*12)/G182)^2)</f>
        <v>1660.9895587689211</v>
      </c>
      <c r="N182">
        <f>MIN( IF(Dashboard!$B$5 &lt;= J182, L182, IF(Dashboard!$B$5 &lt;= K182, Dashboard!$B$9 * (L182 - (L182 - 0.7*Dashboard!$B$8*E182/12) * ((Dashboard!$B$5 - J182)/(K182 - J182))), M182 * E182 / 12) ), L182 )</f>
        <v>2525</v>
      </c>
      <c r="O182">
        <f t="shared" si="4"/>
        <v>1511.9760479041918</v>
      </c>
      <c r="P182" t="str">
        <f>IF(AND(O182 &gt;= Dashboard!$B$11, C182 &lt;= Dashboard!$B$6), "Pass", "Fail")</f>
        <v>Fail</v>
      </c>
      <c r="Q182">
        <f t="shared" si="5"/>
        <v>9999999</v>
      </c>
    </row>
    <row r="183" spans="1:17" x14ac:dyDescent="0.25">
      <c r="A183" t="s">
        <v>198</v>
      </c>
      <c r="B183">
        <v>210</v>
      </c>
      <c r="C183">
        <v>36.700000000000003</v>
      </c>
      <c r="D183">
        <v>833</v>
      </c>
      <c r="E183">
        <v>719</v>
      </c>
      <c r="F183">
        <v>2.58</v>
      </c>
      <c r="G183">
        <v>3.18</v>
      </c>
      <c r="H183">
        <v>28</v>
      </c>
      <c r="I183">
        <v>35.299999999999997</v>
      </c>
      <c r="J183">
        <f>1.76 * F183 * SQRT(29000 / Dashboard!$B$8) / 12</f>
        <v>9.1130787772300099</v>
      </c>
      <c r="K183">
        <f>1.95 * G183 * (29000 / (0.7 * Dashboard!$B$8)) / 12 * SQRT((H183*1)/(E183*I183) + SQRT(((H183*1)/(E183*I183))^2 + 6.76*((0.7*Dashboard!$B$8)/29000)^2))</f>
        <v>28.495962126220501</v>
      </c>
      <c r="L183">
        <f>Dashboard!$B$8 * D183 / 12</f>
        <v>3470.8333333333335</v>
      </c>
      <c r="M183">
        <f>(Dashboard!$B$9 * PI()^2 * 29000 / ((Dashboard!$B$5*12)/G183)^2) * SQRT(1 + 0.078 * (H183*1)/(E183*I183) * ((Dashboard!$B$5*12)/G183)^2)</f>
        <v>1268.4857331407063</v>
      </c>
      <c r="N183">
        <f>MIN( IF(Dashboard!$B$5 &lt;= J183, L183, IF(Dashboard!$B$5 &lt;= K183, Dashboard!$B$9 * (L183 - (L183 - 0.7*Dashboard!$B$8*E183/12) * ((Dashboard!$B$5 - J183)/(K183 - J183))), M183 * E183 / 12) ), L183 )</f>
        <v>3470.8333333333335</v>
      </c>
      <c r="O183">
        <f t="shared" si="4"/>
        <v>2078.3433133732537</v>
      </c>
      <c r="P183" t="str">
        <f>IF(AND(O183 &gt;= Dashboard!$B$11, C183 &lt;= Dashboard!$B$6), "Pass", "Fail")</f>
        <v>Fail</v>
      </c>
      <c r="Q183">
        <f t="shared" si="5"/>
        <v>9999999</v>
      </c>
    </row>
    <row r="184" spans="1:17" x14ac:dyDescent="0.25">
      <c r="A184" t="s">
        <v>199</v>
      </c>
      <c r="B184">
        <v>210</v>
      </c>
      <c r="C184">
        <v>14.7</v>
      </c>
      <c r="D184">
        <v>348</v>
      </c>
      <c r="E184">
        <v>292</v>
      </c>
      <c r="F184">
        <v>3.28</v>
      </c>
      <c r="G184">
        <v>3.81</v>
      </c>
      <c r="H184">
        <v>64.7</v>
      </c>
      <c r="I184">
        <v>12.8</v>
      </c>
      <c r="J184">
        <f>1.76 * F184 * SQRT(29000 / Dashboard!$B$8) / 12</f>
        <v>11.585619530742028</v>
      </c>
      <c r="K184">
        <f>1.95 * G184 * (29000 / (0.7 * Dashboard!$B$8)) / 12 * SQRT((H184*1)/(E184*I184) + SQRT(((H184*1)/(E184*I184))^2 + 6.76*((0.7*Dashboard!$B$8)/29000)^2))</f>
        <v>95.838781429243511</v>
      </c>
      <c r="L184">
        <f>Dashboard!$B$8 * D184 / 12</f>
        <v>1450</v>
      </c>
      <c r="M184">
        <f>(Dashboard!$B$9 * PI()^2 * 29000 / ((Dashboard!$B$5*12)/G184)^2) * SQRT(1 + 0.078 * (H184*1)/(E184*I184) * ((Dashboard!$B$5*12)/G184)^2)</f>
        <v>1987.1454920704052</v>
      </c>
      <c r="N184">
        <f>MIN( IF(Dashboard!$B$5 &lt;= J184, L184, IF(Dashboard!$B$5 &lt;= K184, Dashboard!$B$9 * (L184 - (L184 - 0.7*Dashboard!$B$8*E184/12) * ((Dashboard!$B$5 - J184)/(K184 - J184))), M184 * E184 / 12) ), L184 )</f>
        <v>1450</v>
      </c>
      <c r="O184">
        <f t="shared" si="4"/>
        <v>868.2634730538922</v>
      </c>
      <c r="P184" t="str">
        <f>IF(AND(O184 &gt;= Dashboard!$B$11, C184 &lt;= Dashboard!$B$6), "Pass", "Fail")</f>
        <v>Fail</v>
      </c>
      <c r="Q184">
        <f t="shared" si="5"/>
        <v>9999999</v>
      </c>
    </row>
    <row r="185" spans="1:17" x14ac:dyDescent="0.25">
      <c r="A185" t="s">
        <v>200</v>
      </c>
      <c r="B185">
        <v>211</v>
      </c>
      <c r="C185">
        <v>39.4</v>
      </c>
      <c r="D185">
        <v>906</v>
      </c>
      <c r="E185">
        <v>786</v>
      </c>
      <c r="F185">
        <v>2.5099999999999998</v>
      </c>
      <c r="G185">
        <v>3.07</v>
      </c>
      <c r="H185">
        <v>30.4</v>
      </c>
      <c r="I185">
        <v>38</v>
      </c>
      <c r="J185">
        <f>1.76 * F185 * SQRT(29000 / Dashboard!$B$8) / 12</f>
        <v>8.8658247018788057</v>
      </c>
      <c r="K185">
        <f>1.95 * G185 * (29000 / (0.7 * Dashboard!$B$8)) / 12 * SQRT((H185*1)/(E185*I185) + SQRT(((H185*1)/(E185*I185))^2 + 6.76*((0.7*Dashboard!$B$8)/29000)^2))</f>
        <v>27.157936779089344</v>
      </c>
      <c r="L185">
        <f>Dashboard!$B$8 * D185 / 12</f>
        <v>3775</v>
      </c>
      <c r="M185">
        <f>(Dashboard!$B$9 * PI()^2 * 29000 / ((Dashboard!$B$5*12)/G185)^2) * SQRT(1 + 0.078 * (H185*1)/(E185*I185) * ((Dashboard!$B$5*12)/G185)^2)</f>
        <v>1182.1318383098626</v>
      </c>
      <c r="N185">
        <f>MIN( IF(Dashboard!$B$5 &lt;= J185, L185, IF(Dashboard!$B$5 &lt;= K185, Dashboard!$B$9 * (L185 - (L185 - 0.7*Dashboard!$B$8*E185/12) * ((Dashboard!$B$5 - J185)/(K185 - J185))), M185 * E185 / 12) ), L185 )</f>
        <v>3775</v>
      </c>
      <c r="O185">
        <f t="shared" si="4"/>
        <v>2260.4790419161677</v>
      </c>
      <c r="P185" t="str">
        <f>IF(AND(O185 &gt;= Dashboard!$B$11, C185 &lt;= Dashboard!$B$6), "Pass", "Fail")</f>
        <v>Fail</v>
      </c>
      <c r="Q185">
        <f t="shared" si="5"/>
        <v>9999999</v>
      </c>
    </row>
    <row r="186" spans="1:17" x14ac:dyDescent="0.25">
      <c r="A186" t="s">
        <v>201</v>
      </c>
      <c r="B186">
        <v>211</v>
      </c>
      <c r="C186">
        <v>30.9</v>
      </c>
      <c r="D186">
        <v>751</v>
      </c>
      <c r="E186">
        <v>665</v>
      </c>
      <c r="F186">
        <v>3.49</v>
      </c>
      <c r="G186">
        <v>4.1100000000000003</v>
      </c>
      <c r="H186">
        <v>28.4</v>
      </c>
      <c r="I186">
        <v>29.6</v>
      </c>
      <c r="J186">
        <f>1.76 * F186 * SQRT(29000 / Dashboard!$B$8) / 12</f>
        <v>12.327381756795633</v>
      </c>
      <c r="K186">
        <f>1.95 * G186 * (29000 / (0.7 * Dashboard!$B$8)) / 12 * SQRT((H186*1)/(E186*I186) + SQRT(((H186*1)/(E186*I186))^2 + 6.76*((0.7*Dashboard!$B$8)/29000)^2))</f>
        <v>38.723028560206721</v>
      </c>
      <c r="L186">
        <f>Dashboard!$B$8 * D186 / 12</f>
        <v>3129.1666666666665</v>
      </c>
      <c r="M186">
        <f>(Dashboard!$B$9 * PI()^2 * 29000 / ((Dashboard!$B$5*12)/G186)^2) * SQRT(1 + 0.078 * (H186*1)/(E186*I186) * ((Dashboard!$B$5*12)/G186)^2)</f>
        <v>2114.4952971028024</v>
      </c>
      <c r="N186">
        <f>MIN( IF(Dashboard!$B$5 &lt;= J186, L186, IF(Dashboard!$B$5 &lt;= K186, Dashboard!$B$9 * (L186 - (L186 - 0.7*Dashboard!$B$8*E186/12) * ((Dashboard!$B$5 - J186)/(K186 - J186))), M186 * E186 / 12) ), L186 )</f>
        <v>3129.1666666666665</v>
      </c>
      <c r="O186">
        <f t="shared" si="4"/>
        <v>1873.7524950099801</v>
      </c>
      <c r="P186" t="str">
        <f>IF(AND(O186 &gt;= Dashboard!$B$11, C186 &lt;= Dashboard!$B$6), "Pass", "Fail")</f>
        <v>Fail</v>
      </c>
      <c r="Q186">
        <f t="shared" si="5"/>
        <v>9999999</v>
      </c>
    </row>
    <row r="187" spans="1:17" x14ac:dyDescent="0.25">
      <c r="A187" t="s">
        <v>202</v>
      </c>
      <c r="B187">
        <v>211</v>
      </c>
      <c r="C187">
        <v>20.7</v>
      </c>
      <c r="D187">
        <v>490</v>
      </c>
      <c r="E187">
        <v>419</v>
      </c>
      <c r="F187">
        <v>2.82</v>
      </c>
      <c r="G187">
        <v>3.32</v>
      </c>
      <c r="H187">
        <v>58.6</v>
      </c>
      <c r="I187">
        <v>18.8</v>
      </c>
      <c r="J187">
        <f>1.76 * F187 * SQRT(29000 / Dashboard!$B$8) / 12</f>
        <v>9.9608070355769858</v>
      </c>
      <c r="K187">
        <f>1.95 * G187 * (29000 / (0.7 * Dashboard!$B$8)) / 12 * SQRT((H187*1)/(E187*I187) + SQRT(((H187*1)/(E187*I187))^2 + 6.76*((0.7*Dashboard!$B$8)/29000)^2))</f>
        <v>55.676363239091742</v>
      </c>
      <c r="L187">
        <f>Dashboard!$B$8 * D187 / 12</f>
        <v>2041.6666666666667</v>
      </c>
      <c r="M187">
        <f>(Dashboard!$B$9 * PI()^2 * 29000 / ((Dashboard!$B$5*12)/G187)^2) * SQRT(1 + 0.078 * (H187*1)/(E187*I187) * ((Dashboard!$B$5*12)/G187)^2)</f>
        <v>1449.9415659707843</v>
      </c>
      <c r="N187">
        <f>MIN( IF(Dashboard!$B$5 &lt;= J187, L187, IF(Dashboard!$B$5 &lt;= K187, Dashboard!$B$9 * (L187 - (L187 - 0.7*Dashboard!$B$8*E187/12) * ((Dashboard!$B$5 - J187)/(K187 - J187))), M187 * E187 / 12) ), L187 )</f>
        <v>2041.6666666666667</v>
      </c>
      <c r="O187">
        <f t="shared" si="4"/>
        <v>1222.554890219561</v>
      </c>
      <c r="P187" t="str">
        <f>IF(AND(O187 &gt;= Dashboard!$B$11, C187 &lt;= Dashboard!$B$6), "Pass", "Fail")</f>
        <v>Fail</v>
      </c>
      <c r="Q187">
        <f t="shared" si="5"/>
        <v>9999999</v>
      </c>
    </row>
    <row r="188" spans="1:17" x14ac:dyDescent="0.25">
      <c r="A188" t="s">
        <v>203</v>
      </c>
      <c r="B188">
        <v>211</v>
      </c>
      <c r="C188">
        <v>15.7</v>
      </c>
      <c r="D188">
        <v>390</v>
      </c>
      <c r="E188">
        <v>338</v>
      </c>
      <c r="F188">
        <v>4.07</v>
      </c>
      <c r="G188">
        <v>4.6399999999999997</v>
      </c>
      <c r="H188">
        <v>44.6</v>
      </c>
      <c r="I188">
        <v>14.1</v>
      </c>
      <c r="J188">
        <f>1.76 * F188 * SQRT(29000 / Dashboard!$B$8) / 12</f>
        <v>14.376058381134165</v>
      </c>
      <c r="K188">
        <f>1.95 * G188 * (29000 / (0.7 * Dashboard!$B$8)) / 12 * SQRT((H188*1)/(E188*I188) + SQRT(((H188*1)/(E188*I188))^2 + 6.76*((0.7*Dashboard!$B$8)/29000)^2))</f>
        <v>86.631735793368705</v>
      </c>
      <c r="L188">
        <f>Dashboard!$B$8 * D188 / 12</f>
        <v>1625</v>
      </c>
      <c r="M188">
        <f>(Dashboard!$B$9 * PI()^2 * 29000 / ((Dashboard!$B$5*12)/G188)^2) * SQRT(1 + 0.078 * (H188*1)/(E188*I188) * ((Dashboard!$B$5*12)/G188)^2)</f>
        <v>2777.0518040406137</v>
      </c>
      <c r="N188">
        <f>MIN( IF(Dashboard!$B$5 &lt;= J188, L188, IF(Dashboard!$B$5 &lt;= K188, Dashboard!$B$9 * (L188 - (L188 - 0.7*Dashboard!$B$8*E188/12) * ((Dashboard!$B$5 - J188)/(K188 - J188))), M188 * E188 / 12) ), L188 )</f>
        <v>1625</v>
      </c>
      <c r="O188">
        <f t="shared" si="4"/>
        <v>973.05389221556891</v>
      </c>
      <c r="P188" t="str">
        <f>IF(AND(O188 &gt;= Dashboard!$B$11, C188 &lt;= Dashboard!$B$6), "Pass", "Fail")</f>
        <v>Fail</v>
      </c>
      <c r="Q188">
        <f t="shared" si="5"/>
        <v>9999999</v>
      </c>
    </row>
    <row r="189" spans="1:17" x14ac:dyDescent="0.25">
      <c r="A189" t="s">
        <v>204</v>
      </c>
      <c r="B189">
        <v>215</v>
      </c>
      <c r="C189">
        <v>39</v>
      </c>
      <c r="D189">
        <v>964</v>
      </c>
      <c r="E189">
        <v>859</v>
      </c>
      <c r="F189">
        <v>3.54</v>
      </c>
      <c r="G189">
        <v>4.1900000000000004</v>
      </c>
      <c r="H189">
        <v>24.8</v>
      </c>
      <c r="I189">
        <v>37.799999999999997</v>
      </c>
      <c r="J189">
        <f>1.76 * F189 * SQRT(29000 / Dashboard!$B$8) / 12</f>
        <v>12.50399181061792</v>
      </c>
      <c r="K189">
        <f>1.95 * G189 * (29000 / (0.7 * Dashboard!$B$8)) / 12 * SQRT((H189*1)/(E189*I189) + SQRT(((H189*1)/(E189*I189))^2 + 6.76*((0.7*Dashboard!$B$8)/29000)^2))</f>
        <v>35.650413446794722</v>
      </c>
      <c r="L189">
        <f>Dashboard!$B$8 * D189 / 12</f>
        <v>4016.6666666666665</v>
      </c>
      <c r="M189">
        <f>(Dashboard!$B$9 * PI()^2 * 29000 / ((Dashboard!$B$5*12)/G189)^2) * SQRT(1 + 0.078 * (H189*1)/(E189*I189) * ((Dashboard!$B$5*12)/G189)^2)</f>
        <v>2189.4470557609111</v>
      </c>
      <c r="N189">
        <f>MIN( IF(Dashboard!$B$5 &lt;= J189, L189, IF(Dashboard!$B$5 &lt;= K189, Dashboard!$B$9 * (L189 - (L189 - 0.7*Dashboard!$B$8*E189/12) * ((Dashboard!$B$5 - J189)/(K189 - J189))), M189 * E189 / 12) ), L189 )</f>
        <v>4016.6666666666665</v>
      </c>
      <c r="O189">
        <f t="shared" si="4"/>
        <v>2405.1896207584832</v>
      </c>
      <c r="P189" t="str">
        <f>IF(AND(O189 &gt;= Dashboard!$B$11, C189 &lt;= Dashboard!$B$6), "Pass", "Fail")</f>
        <v>Fail</v>
      </c>
      <c r="Q189">
        <f t="shared" si="5"/>
        <v>9999999</v>
      </c>
    </row>
    <row r="190" spans="1:17" x14ac:dyDescent="0.25">
      <c r="A190" t="s">
        <v>205</v>
      </c>
      <c r="B190">
        <v>217</v>
      </c>
      <c r="C190">
        <v>28.4</v>
      </c>
      <c r="D190">
        <v>711</v>
      </c>
      <c r="E190">
        <v>627</v>
      </c>
      <c r="F190">
        <v>3.32</v>
      </c>
      <c r="G190">
        <v>3.89</v>
      </c>
      <c r="H190">
        <v>37.6</v>
      </c>
      <c r="I190">
        <v>26.9</v>
      </c>
      <c r="J190">
        <f>1.76 * F190 * SQRT(29000 / Dashboard!$B$8) / 12</f>
        <v>11.726907573799856</v>
      </c>
      <c r="K190">
        <f>1.95 * G190 * (29000 / (0.7 * Dashboard!$B$8)) / 12 * SQRT((H190*1)/(E190*I190) + SQRT(((H190*1)/(E190*I190))^2 + 6.76*((0.7*Dashboard!$B$8)/29000)^2))</f>
        <v>40.834873613662801</v>
      </c>
      <c r="L190">
        <f>Dashboard!$B$8 * D190 / 12</f>
        <v>2962.5</v>
      </c>
      <c r="M190">
        <f>(Dashboard!$B$9 * PI()^2 * 29000 / ((Dashboard!$B$5*12)/G190)^2) * SQRT(1 + 0.078 * (H190*1)/(E190*I190) * ((Dashboard!$B$5*12)/G190)^2)</f>
        <v>1904.5342515087536</v>
      </c>
      <c r="N190">
        <f>MIN( IF(Dashboard!$B$5 &lt;= J190, L190, IF(Dashboard!$B$5 &lt;= K190, Dashboard!$B$9 * (L190 - (L190 - 0.7*Dashboard!$B$8*E190/12) * ((Dashboard!$B$5 - J190)/(K190 - J190))), M190 * E190 / 12) ), L190 )</f>
        <v>2962.5</v>
      </c>
      <c r="O190">
        <f t="shared" si="4"/>
        <v>1773.9520958083833</v>
      </c>
      <c r="P190" t="str">
        <f>IF(AND(O190 &gt;= Dashboard!$B$11, C190 &lt;= Dashboard!$B$6), "Pass", "Fail")</f>
        <v>Fail</v>
      </c>
      <c r="Q190">
        <f t="shared" si="5"/>
        <v>9999999</v>
      </c>
    </row>
    <row r="191" spans="1:17" x14ac:dyDescent="0.25">
      <c r="A191" t="s">
        <v>206</v>
      </c>
      <c r="B191">
        <v>221</v>
      </c>
      <c r="C191">
        <v>33.9</v>
      </c>
      <c r="D191">
        <v>857</v>
      </c>
      <c r="E191">
        <v>759</v>
      </c>
      <c r="F191">
        <v>3.59</v>
      </c>
      <c r="G191">
        <v>4.25</v>
      </c>
      <c r="H191">
        <v>27.8</v>
      </c>
      <c r="I191">
        <v>32.6</v>
      </c>
      <c r="J191">
        <f>1.76 * F191 * SQRT(29000 / Dashboard!$B$8) / 12</f>
        <v>12.680601864440206</v>
      </c>
      <c r="K191">
        <f>1.95 * G191 * (29000 / (0.7 * Dashboard!$B$8)) / 12 * SQRT((H191*1)/(E191*I191) + SQRT(((H191*1)/(E191*I191))^2 + 6.76*((0.7*Dashboard!$B$8)/29000)^2))</f>
        <v>38.200680356280337</v>
      </c>
      <c r="L191">
        <f>Dashboard!$B$8 * D191 / 12</f>
        <v>3570.8333333333335</v>
      </c>
      <c r="M191">
        <f>(Dashboard!$B$9 * PI()^2 * 29000 / ((Dashboard!$B$5*12)/G191)^2) * SQRT(1 + 0.078 * (H191*1)/(E191*I191) * ((Dashboard!$B$5*12)/G191)^2)</f>
        <v>2256.3530179439208</v>
      </c>
      <c r="N191">
        <f>MIN( IF(Dashboard!$B$5 &lt;= J191, L191, IF(Dashboard!$B$5 &lt;= K191, Dashboard!$B$9 * (L191 - (L191 - 0.7*Dashboard!$B$8*E191/12) * ((Dashboard!$B$5 - J191)/(K191 - J191))), M191 * E191 / 12) ), L191 )</f>
        <v>3570.8333333333335</v>
      </c>
      <c r="O191">
        <f t="shared" si="4"/>
        <v>2138.2235528942119</v>
      </c>
      <c r="P191" t="str">
        <f>IF(AND(O191 &gt;= Dashboard!$B$11, C191 &lt;= Dashboard!$B$6), "Pass", "Fail")</f>
        <v>Fail</v>
      </c>
      <c r="Q191">
        <f t="shared" si="5"/>
        <v>9999999</v>
      </c>
    </row>
    <row r="192" spans="1:17" x14ac:dyDescent="0.25">
      <c r="A192" t="s">
        <v>207</v>
      </c>
      <c r="B192">
        <v>223</v>
      </c>
      <c r="C192">
        <v>23.4</v>
      </c>
      <c r="D192">
        <v>601</v>
      </c>
      <c r="E192">
        <v>520</v>
      </c>
      <c r="F192">
        <v>3.04</v>
      </c>
      <c r="G192">
        <v>3.57</v>
      </c>
      <c r="H192">
        <v>59.5</v>
      </c>
      <c r="I192">
        <v>21.6</v>
      </c>
      <c r="J192">
        <f>1.76 * F192 * SQRT(29000 / Dashboard!$B$8) / 12</f>
        <v>10.737891272395052</v>
      </c>
      <c r="K192">
        <f>1.95 * G192 * (29000 / (0.7 * Dashboard!$B$8)) / 12 * SQRT((H192*1)/(E192*I192) + SQRT(((H192*1)/(E192*I192))^2 + 6.76*((0.7*Dashboard!$B$8)/29000)^2))</f>
        <v>51.44427973876617</v>
      </c>
      <c r="L192">
        <f>Dashboard!$B$8 * D192 / 12</f>
        <v>2504.1666666666665</v>
      </c>
      <c r="M192">
        <f>(Dashboard!$B$9 * PI()^2 * 29000 / ((Dashboard!$B$5*12)/G192)^2) * SQRT(1 + 0.078 * (H192*1)/(E192*I192) * ((Dashboard!$B$5*12)/G192)^2)</f>
        <v>1641.32516104924</v>
      </c>
      <c r="N192">
        <f>MIN( IF(Dashboard!$B$5 &lt;= J192, L192, IF(Dashboard!$B$5 &lt;= K192, Dashboard!$B$9 * (L192 - (L192 - 0.7*Dashboard!$B$8*E192/12) * ((Dashboard!$B$5 - J192)/(K192 - J192))), M192 * E192 / 12) ), L192 )</f>
        <v>2504.1666666666665</v>
      </c>
      <c r="O192">
        <f t="shared" si="4"/>
        <v>1499.500998003992</v>
      </c>
      <c r="P192" t="str">
        <f>IF(AND(O192 &gt;= Dashboard!$B$11, C192 &lt;= Dashboard!$B$6), "Pass", "Fail")</f>
        <v>Fail</v>
      </c>
      <c r="Q192">
        <f t="shared" si="5"/>
        <v>9999999</v>
      </c>
    </row>
    <row r="193" spans="1:17" x14ac:dyDescent="0.25">
      <c r="A193" t="s">
        <v>208</v>
      </c>
      <c r="B193">
        <v>229</v>
      </c>
      <c r="C193">
        <v>26</v>
      </c>
      <c r="D193">
        <v>675</v>
      </c>
      <c r="E193">
        <v>588</v>
      </c>
      <c r="F193">
        <v>3.11</v>
      </c>
      <c r="G193">
        <v>3.67</v>
      </c>
      <c r="H193">
        <v>51.3</v>
      </c>
      <c r="I193">
        <v>24.3</v>
      </c>
      <c r="J193">
        <f>1.76 * F193 * SQRT(29000 / Dashboard!$B$8) / 12</f>
        <v>10.985145347746252</v>
      </c>
      <c r="K193">
        <f>1.95 * G193 * (29000 / (0.7 * Dashboard!$B$8)) / 12 * SQRT((H193*1)/(E193*I193) + SQRT(((H193*1)/(E193*I193))^2 + 6.76*((0.7*Dashboard!$B$8)/29000)^2))</f>
        <v>45.177041310401705</v>
      </c>
      <c r="L193">
        <f>Dashboard!$B$8 * D193 / 12</f>
        <v>2812.5</v>
      </c>
      <c r="M193">
        <f>(Dashboard!$B$9 * PI()^2 * 29000 / ((Dashboard!$B$5*12)/G193)^2) * SQRT(1 + 0.078 * (H193*1)/(E193*I193) * ((Dashboard!$B$5*12)/G193)^2)</f>
        <v>1712.8065087643843</v>
      </c>
      <c r="N193">
        <f>MIN( IF(Dashboard!$B$5 &lt;= J193, L193, IF(Dashboard!$B$5 &lt;= K193, Dashboard!$B$9 * (L193 - (L193 - 0.7*Dashboard!$B$8*E193/12) * ((Dashboard!$B$5 - J193)/(K193 - J193))), M193 * E193 / 12) ), L193 )</f>
        <v>2812.5</v>
      </c>
      <c r="O193">
        <f t="shared" si="4"/>
        <v>1684.1317365269463</v>
      </c>
      <c r="P193" t="str">
        <f>IF(AND(O193 &gt;= Dashboard!$B$11, C193 &lt;= Dashboard!$B$6), "Pass", "Fail")</f>
        <v>Fail</v>
      </c>
      <c r="Q193">
        <f t="shared" si="5"/>
        <v>9999999</v>
      </c>
    </row>
    <row r="194" spans="1:17" x14ac:dyDescent="0.25">
      <c r="A194" t="s">
        <v>209</v>
      </c>
      <c r="B194">
        <v>230</v>
      </c>
      <c r="C194">
        <v>42.9</v>
      </c>
      <c r="D194">
        <v>1100</v>
      </c>
      <c r="E194">
        <v>971</v>
      </c>
      <c r="F194">
        <v>3.43</v>
      </c>
      <c r="G194">
        <v>4.13</v>
      </c>
      <c r="H194">
        <v>24.9</v>
      </c>
      <c r="I194">
        <v>41.7</v>
      </c>
      <c r="J194">
        <f>1.76 * F194 * SQRT(29000 / Dashboard!$B$8) / 12</f>
        <v>12.115449692208889</v>
      </c>
      <c r="K194">
        <f>1.95 * G194 * (29000 / (0.7 * Dashboard!$B$8)) / 12 * SQRT((H194*1)/(E194*I194) + SQRT(((H194*1)/(E194*I194))^2 + 6.76*((0.7*Dashboard!$B$8)/29000)^2))</f>
        <v>34.335446705247541</v>
      </c>
      <c r="L194">
        <f>Dashboard!$B$8 * D194 / 12</f>
        <v>4583.333333333333</v>
      </c>
      <c r="M194">
        <f>(Dashboard!$B$9 * PI()^2 * 29000 / ((Dashboard!$B$5*12)/G194)^2) * SQRT(1 + 0.078 * (H194*1)/(E194*I194) * ((Dashboard!$B$5*12)/G194)^2)</f>
        <v>2125.7773374185322</v>
      </c>
      <c r="N194">
        <f>MIN( IF(Dashboard!$B$5 &lt;= J194, L194, IF(Dashboard!$B$5 &lt;= K194, Dashboard!$B$9 * (L194 - (L194 - 0.7*Dashboard!$B$8*E194/12) * ((Dashboard!$B$5 - J194)/(K194 - J194))), M194 * E194 / 12) ), L194 )</f>
        <v>4583.333333333333</v>
      </c>
      <c r="O194">
        <f t="shared" ref="O194:O257" si="6">N194 / 1.67</f>
        <v>2744.510978043912</v>
      </c>
      <c r="P194" t="str">
        <f>IF(AND(O194 &gt;= Dashboard!$B$11, C194 &lt;= Dashboard!$B$6), "Pass", "Fail")</f>
        <v>Fail</v>
      </c>
      <c r="Q194">
        <f t="shared" ref="Q194:Q257" si="7">IF(P194="Pass", B194 + ROW()/100000, 9999999)</f>
        <v>9999999</v>
      </c>
    </row>
    <row r="195" spans="1:17" x14ac:dyDescent="0.25">
      <c r="A195" t="s">
        <v>210</v>
      </c>
      <c r="B195">
        <v>230</v>
      </c>
      <c r="C195">
        <v>15.1</v>
      </c>
      <c r="D195">
        <v>386</v>
      </c>
      <c r="E195">
        <v>321</v>
      </c>
      <c r="F195">
        <v>3.31</v>
      </c>
      <c r="G195">
        <v>3.87</v>
      </c>
      <c r="H195">
        <v>83.8</v>
      </c>
      <c r="I195">
        <v>13</v>
      </c>
      <c r="J195">
        <f>1.76 * F195 * SQRT(29000 / Dashboard!$B$8) / 12</f>
        <v>11.691585563035401</v>
      </c>
      <c r="K195">
        <f>1.95 * G195 * (29000 / (0.7 * Dashboard!$B$8)) / 12 * SQRT((H195*1)/(E195*I195) + SQRT(((H195*1)/(E195*I195))^2 + 6.76*((0.7*Dashboard!$B$8)/29000)^2))</f>
        <v>104.74194987013024</v>
      </c>
      <c r="L195">
        <f>Dashboard!$B$8 * D195 / 12</f>
        <v>1608.3333333333333</v>
      </c>
      <c r="M195">
        <f>(Dashboard!$B$9 * PI()^2 * 29000 / ((Dashboard!$B$5*12)/G195)^2) * SQRT(1 + 0.078 * (H195*1)/(E195*I195) * ((Dashboard!$B$5*12)/G195)^2)</f>
        <v>2072.6055454230145</v>
      </c>
      <c r="N195">
        <f>MIN( IF(Dashboard!$B$5 &lt;= J195, L195, IF(Dashboard!$B$5 &lt;= K195, Dashboard!$B$9 * (L195 - (L195 - 0.7*Dashboard!$B$8*E195/12) * ((Dashboard!$B$5 - J195)/(K195 - J195))), M195 * E195 / 12) ), L195 )</f>
        <v>1608.3333333333333</v>
      </c>
      <c r="O195">
        <f t="shared" si="6"/>
        <v>963.07385229540921</v>
      </c>
      <c r="P195" t="str">
        <f>IF(AND(O195 &gt;= Dashboard!$B$11, C195 &lt;= Dashboard!$B$6), "Pass", "Fail")</f>
        <v>Fail</v>
      </c>
      <c r="Q195">
        <f t="shared" si="7"/>
        <v>9999999</v>
      </c>
    </row>
    <row r="196" spans="1:17" x14ac:dyDescent="0.25">
      <c r="A196" t="s">
        <v>211</v>
      </c>
      <c r="B196">
        <v>231</v>
      </c>
      <c r="C196">
        <v>36.5</v>
      </c>
      <c r="D196">
        <v>963</v>
      </c>
      <c r="E196">
        <v>854</v>
      </c>
      <c r="F196">
        <v>3.71</v>
      </c>
      <c r="G196">
        <v>4.4000000000000004</v>
      </c>
      <c r="H196">
        <v>28.7</v>
      </c>
      <c r="I196">
        <v>35.200000000000003</v>
      </c>
      <c r="J196">
        <f>1.76 * F196 * SQRT(29000 / Dashboard!$B$8) / 12</f>
        <v>13.104465993613696</v>
      </c>
      <c r="K196">
        <f>1.95 * G196 * (29000 / (0.7 * Dashboard!$B$8)) / 12 * SQRT((H196*1)/(E196*I196) + SQRT(((H196*1)/(E196*I196))^2 + 6.76*((0.7*Dashboard!$B$8)/29000)^2))</f>
        <v>38.551988982031254</v>
      </c>
      <c r="L196">
        <f>Dashboard!$B$8 * D196 / 12</f>
        <v>4012.5</v>
      </c>
      <c r="M196">
        <f>(Dashboard!$B$9 * PI()^2 * 29000 / ((Dashboard!$B$5*12)/G196)^2) * SQRT(1 + 0.078 * (H196*1)/(E196*I196) * ((Dashboard!$B$5*12)/G196)^2)</f>
        <v>2415.6643900508448</v>
      </c>
      <c r="N196">
        <f>MIN( IF(Dashboard!$B$5 &lt;= J196, L196, IF(Dashboard!$B$5 &lt;= K196, Dashboard!$B$9 * (L196 - (L196 - 0.7*Dashboard!$B$8*E196/12) * ((Dashboard!$B$5 - J196)/(K196 - J196))), M196 * E196 / 12) ), L196 )</f>
        <v>4012.5</v>
      </c>
      <c r="O196">
        <f t="shared" si="6"/>
        <v>2402.6946107784433</v>
      </c>
      <c r="P196" t="str">
        <f>IF(AND(O196 &gt;= Dashboard!$B$11, C196 &lt;= Dashboard!$B$6), "Pass", "Fail")</f>
        <v>Fail</v>
      </c>
      <c r="Q196">
        <f t="shared" si="7"/>
        <v>9999999</v>
      </c>
    </row>
    <row r="197" spans="1:17" x14ac:dyDescent="0.25">
      <c r="A197" t="s">
        <v>212</v>
      </c>
      <c r="B197">
        <v>232</v>
      </c>
      <c r="C197">
        <v>37.1</v>
      </c>
      <c r="D197">
        <v>936</v>
      </c>
      <c r="E197">
        <v>809</v>
      </c>
      <c r="F197">
        <v>2.62</v>
      </c>
      <c r="G197">
        <v>3.21</v>
      </c>
      <c r="H197">
        <v>39.6</v>
      </c>
      <c r="I197">
        <v>35.5</v>
      </c>
      <c r="J197">
        <f>1.76 * F197 * SQRT(29000 / Dashboard!$B$8) / 12</f>
        <v>9.2543668202878404</v>
      </c>
      <c r="K197">
        <f>1.95 * G197 * (29000 / (0.7 * Dashboard!$B$8)) / 12 * SQRT((H197*1)/(E197*I197) + SQRT(((H197*1)/(E197*I197))^2 + 6.76*((0.7*Dashboard!$B$8)/29000)^2))</f>
        <v>29.963797192933196</v>
      </c>
      <c r="L197">
        <f>Dashboard!$B$8 * D197 / 12</f>
        <v>3900</v>
      </c>
      <c r="M197">
        <f>(Dashboard!$B$9 * PI()^2 * 29000 / ((Dashboard!$B$5*12)/G197)^2) * SQRT(1 + 0.078 * (H197*1)/(E197*I197) * ((Dashboard!$B$5*12)/G197)^2)</f>
        <v>1295.3453334786848</v>
      </c>
      <c r="N197">
        <f>MIN( IF(Dashboard!$B$5 &lt;= J197, L197, IF(Dashboard!$B$5 &lt;= K197, Dashboard!$B$9 * (L197 - (L197 - 0.7*Dashboard!$B$8*E197/12) * ((Dashboard!$B$5 - J197)/(K197 - J197))), M197 * E197 / 12) ), L197 )</f>
        <v>3900</v>
      </c>
      <c r="O197">
        <f t="shared" si="6"/>
        <v>2335.3293413173656</v>
      </c>
      <c r="P197" t="str">
        <f>IF(AND(O197 &gt;= Dashboard!$B$11, C197 &lt;= Dashboard!$B$6), "Pass", "Fail")</f>
        <v>Fail</v>
      </c>
      <c r="Q197">
        <f t="shared" si="7"/>
        <v>9999999</v>
      </c>
    </row>
    <row r="198" spans="1:17" x14ac:dyDescent="0.25">
      <c r="A198" t="s">
        <v>213</v>
      </c>
      <c r="B198">
        <v>233</v>
      </c>
      <c r="C198">
        <v>16</v>
      </c>
      <c r="D198">
        <v>436</v>
      </c>
      <c r="E198">
        <v>375</v>
      </c>
      <c r="F198">
        <v>4.0999999999999996</v>
      </c>
      <c r="G198">
        <v>4.6900000000000004</v>
      </c>
      <c r="H198">
        <v>59.5</v>
      </c>
      <c r="I198">
        <v>14.3</v>
      </c>
      <c r="J198">
        <f>1.76 * F198 * SQRT(29000 / Dashboard!$B$8) / 12</f>
        <v>14.482024413427533</v>
      </c>
      <c r="K198">
        <f>1.95 * G198 * (29000 / (0.7 * Dashboard!$B$8)) / 12 * SQRT((H198*1)/(E198*I198) + SQRT(((H198*1)/(E198*I198))^2 + 6.76*((0.7*Dashboard!$B$8)/29000)^2))</f>
        <v>94.986783556547991</v>
      </c>
      <c r="L198">
        <f>Dashboard!$B$8 * D198 / 12</f>
        <v>1816.6666666666667</v>
      </c>
      <c r="M198">
        <f>(Dashboard!$B$9 * PI()^2 * 29000 / ((Dashboard!$B$5*12)/G198)^2) * SQRT(1 + 0.078 * (H198*1)/(E198*I198) * ((Dashboard!$B$5*12)/G198)^2)</f>
        <v>2853.6730002050958</v>
      </c>
      <c r="N198">
        <f>MIN( IF(Dashboard!$B$5 &lt;= J198, L198, IF(Dashboard!$B$5 &lt;= K198, Dashboard!$B$9 * (L198 - (L198 - 0.7*Dashboard!$B$8*E198/12) * ((Dashboard!$B$5 - J198)/(K198 - J198))), M198 * E198 / 12) ), L198 )</f>
        <v>1816.6666666666667</v>
      </c>
      <c r="O198">
        <f t="shared" si="6"/>
        <v>1087.8243512974052</v>
      </c>
      <c r="P198" t="str">
        <f>IF(AND(O198 &gt;= Dashboard!$B$11, C198 &lt;= Dashboard!$B$6), "Pass", "Fail")</f>
        <v>Fail</v>
      </c>
      <c r="Q198">
        <f t="shared" si="7"/>
        <v>9999999</v>
      </c>
    </row>
    <row r="199" spans="1:17" x14ac:dyDescent="0.25">
      <c r="A199" t="s">
        <v>214</v>
      </c>
      <c r="B199">
        <v>234</v>
      </c>
      <c r="C199">
        <v>21.1</v>
      </c>
      <c r="D199">
        <v>549</v>
      </c>
      <c r="E199">
        <v>466</v>
      </c>
      <c r="F199">
        <v>2.85</v>
      </c>
      <c r="G199">
        <v>3.37</v>
      </c>
      <c r="H199">
        <v>78.7</v>
      </c>
      <c r="I199">
        <v>19</v>
      </c>
      <c r="J199">
        <f>1.76 * F199 * SQRT(29000 / Dashboard!$B$8) / 12</f>
        <v>10.06677306787036</v>
      </c>
      <c r="K199">
        <f>1.95 * G199 * (29000 / (0.7 * Dashboard!$B$8)) / 12 * SQRT((H199*1)/(E199*I199) + SQRT(((H199*1)/(E199*I199))^2 + 6.76*((0.7*Dashboard!$B$8)/29000)^2))</f>
        <v>61.406669681369131</v>
      </c>
      <c r="L199">
        <f>Dashboard!$B$8 * D199 / 12</f>
        <v>2287.5</v>
      </c>
      <c r="M199">
        <f>(Dashboard!$B$9 * PI()^2 * 29000 / ((Dashboard!$B$5*12)/G199)^2) * SQRT(1 + 0.078 * (H199*1)/(E199*I199) * ((Dashboard!$B$5*12)/G199)^2)</f>
        <v>1506.7876744850564</v>
      </c>
      <c r="N199">
        <f>MIN( IF(Dashboard!$B$5 &lt;= J199, L199, IF(Dashboard!$B$5 &lt;= K199, Dashboard!$B$9 * (L199 - (L199 - 0.7*Dashboard!$B$8*E199/12) * ((Dashboard!$B$5 - J199)/(K199 - J199))), M199 * E199 / 12) ), L199 )</f>
        <v>2287.5</v>
      </c>
      <c r="O199">
        <f t="shared" si="6"/>
        <v>1369.7604790419161</v>
      </c>
      <c r="P199" t="str">
        <f>IF(AND(O199 &gt;= Dashboard!$B$11, C199 &lt;= Dashboard!$B$6), "Pass", "Fail")</f>
        <v>Fail</v>
      </c>
      <c r="Q199">
        <f t="shared" si="7"/>
        <v>9999999</v>
      </c>
    </row>
    <row r="200" spans="1:17" x14ac:dyDescent="0.25">
      <c r="A200" t="s">
        <v>215</v>
      </c>
      <c r="B200">
        <v>235</v>
      </c>
      <c r="C200">
        <v>39.700000000000003</v>
      </c>
      <c r="D200">
        <v>1010</v>
      </c>
      <c r="E200">
        <v>875</v>
      </c>
      <c r="F200">
        <v>2.54</v>
      </c>
      <c r="G200">
        <v>3.11</v>
      </c>
      <c r="H200">
        <v>41.3</v>
      </c>
      <c r="I200">
        <v>38.1</v>
      </c>
      <c r="J200">
        <f>1.76 * F200 * SQRT(29000 / Dashboard!$B$8) / 12</f>
        <v>8.9717907341721794</v>
      </c>
      <c r="K200">
        <f>1.95 * G200 * (29000 / (0.7 * Dashboard!$B$8)) / 12 * SQRT((H200*1)/(E200*I200) + SQRT(((H200*1)/(E200*I200))^2 + 6.76*((0.7*Dashboard!$B$8)/29000)^2))</f>
        <v>28.438750537644335</v>
      </c>
      <c r="L200">
        <f>Dashboard!$B$8 * D200 / 12</f>
        <v>4208.333333333333</v>
      </c>
      <c r="M200">
        <f>(Dashboard!$B$9 * PI()^2 * 29000 / ((Dashboard!$B$5*12)/G200)^2) * SQRT(1 + 0.078 * (H200*1)/(E200*I200) * ((Dashboard!$B$5*12)/G200)^2)</f>
        <v>1215.2839119916905</v>
      </c>
      <c r="N200">
        <f>MIN( IF(Dashboard!$B$5 &lt;= J200, L200, IF(Dashboard!$B$5 &lt;= K200, Dashboard!$B$9 * (L200 - (L200 - 0.7*Dashboard!$B$8*E200/12) * ((Dashboard!$B$5 - J200)/(K200 - J200))), M200 * E200 / 12) ), L200 )</f>
        <v>4208.333333333333</v>
      </c>
      <c r="O200">
        <f t="shared" si="6"/>
        <v>2519.9600798403194</v>
      </c>
      <c r="P200" t="str">
        <f>IF(AND(O200 &gt;= Dashboard!$B$11, C200 &lt;= Dashboard!$B$6), "Pass", "Fail")</f>
        <v>Fail</v>
      </c>
      <c r="Q200">
        <f t="shared" si="7"/>
        <v>9999999</v>
      </c>
    </row>
    <row r="201" spans="1:17" x14ac:dyDescent="0.25">
      <c r="A201" t="s">
        <v>216</v>
      </c>
      <c r="B201">
        <v>235</v>
      </c>
      <c r="C201">
        <v>31.3</v>
      </c>
      <c r="D201">
        <v>847</v>
      </c>
      <c r="E201">
        <v>748</v>
      </c>
      <c r="F201">
        <v>3.51</v>
      </c>
      <c r="G201">
        <v>4.13</v>
      </c>
      <c r="H201">
        <v>40.299999999999997</v>
      </c>
      <c r="I201">
        <v>29.8</v>
      </c>
      <c r="J201">
        <f>1.76 * F201 * SQRT(29000 / Dashboard!$B$8) / 12</f>
        <v>12.398025778324547</v>
      </c>
      <c r="K201">
        <f>1.95 * G201 * (29000 / (0.7 * Dashboard!$B$8)) / 12 * SQRT((H201*1)/(E201*I201) + SQRT(((H201*1)/(E201*I201))^2 + 6.76*((0.7*Dashboard!$B$8)/29000)^2))</f>
        <v>40.974310938075035</v>
      </c>
      <c r="L201">
        <f>Dashboard!$B$8 * D201 / 12</f>
        <v>3529.1666666666665</v>
      </c>
      <c r="M201">
        <f>(Dashboard!$B$9 * PI()^2 * 29000 / ((Dashboard!$B$5*12)/G201)^2) * SQRT(1 + 0.078 * (H201*1)/(E201*I201) * ((Dashboard!$B$5*12)/G201)^2)</f>
        <v>2139.0100763504602</v>
      </c>
      <c r="N201">
        <f>MIN( IF(Dashboard!$B$5 &lt;= J201, L201, IF(Dashboard!$B$5 &lt;= K201, Dashboard!$B$9 * (L201 - (L201 - 0.7*Dashboard!$B$8*E201/12) * ((Dashboard!$B$5 - J201)/(K201 - J201))), M201 * E201 / 12) ), L201 )</f>
        <v>3529.1666666666665</v>
      </c>
      <c r="O201">
        <f t="shared" si="6"/>
        <v>2113.2734530938123</v>
      </c>
      <c r="P201" t="str">
        <f>IF(AND(O201 &gt;= Dashboard!$B$11, C201 &lt;= Dashboard!$B$6), "Pass", "Fail")</f>
        <v>Fail</v>
      </c>
      <c r="Q201">
        <f t="shared" si="7"/>
        <v>9999999</v>
      </c>
    </row>
    <row r="202" spans="1:17" x14ac:dyDescent="0.25">
      <c r="A202" t="s">
        <v>217</v>
      </c>
      <c r="B202">
        <v>235</v>
      </c>
      <c r="C202">
        <v>28.7</v>
      </c>
      <c r="D202">
        <v>772</v>
      </c>
      <c r="E202">
        <v>677</v>
      </c>
      <c r="F202">
        <v>3.33</v>
      </c>
      <c r="G202">
        <v>3.92</v>
      </c>
      <c r="H202">
        <v>47</v>
      </c>
      <c r="I202">
        <v>27.1</v>
      </c>
      <c r="J202">
        <f>1.76 * F202 * SQRT(29000 / Dashboard!$B$8) / 12</f>
        <v>11.762229584564315</v>
      </c>
      <c r="K202">
        <f>1.95 * G202 * (29000 / (0.7 * Dashboard!$B$8)) / 12 * SQRT((H202*1)/(E202*I202) + SQRT(((H202*1)/(E202*I202))^2 + 6.76*((0.7*Dashboard!$B$8)/29000)^2))</f>
        <v>42.919598657375488</v>
      </c>
      <c r="L202">
        <f>Dashboard!$B$8 * D202 / 12</f>
        <v>3216.6666666666665</v>
      </c>
      <c r="M202">
        <f>(Dashboard!$B$9 * PI()^2 * 29000 / ((Dashboard!$B$5*12)/G202)^2) * SQRT(1 + 0.078 * (H202*1)/(E202*I202) * ((Dashboard!$B$5*12)/G202)^2)</f>
        <v>1937.3033344772755</v>
      </c>
      <c r="N202">
        <f>MIN( IF(Dashboard!$B$5 &lt;= J202, L202, IF(Dashboard!$B$5 &lt;= K202, Dashboard!$B$9 * (L202 - (L202 - 0.7*Dashboard!$B$8*E202/12) * ((Dashboard!$B$5 - J202)/(K202 - J202))), M202 * E202 / 12) ), L202 )</f>
        <v>3216.6666666666665</v>
      </c>
      <c r="O202">
        <f t="shared" si="6"/>
        <v>1926.1477045908184</v>
      </c>
      <c r="P202" t="str">
        <f>IF(AND(O202 &gt;= Dashboard!$B$11, C202 &lt;= Dashboard!$B$6), "Pass", "Fail")</f>
        <v>Fail</v>
      </c>
      <c r="Q202">
        <f t="shared" si="7"/>
        <v>9999999</v>
      </c>
    </row>
    <row r="203" spans="1:17" x14ac:dyDescent="0.25">
      <c r="A203" t="s">
        <v>218</v>
      </c>
      <c r="B203">
        <v>241</v>
      </c>
      <c r="C203">
        <v>34.200000000000003</v>
      </c>
      <c r="D203">
        <v>940</v>
      </c>
      <c r="E203">
        <v>831</v>
      </c>
      <c r="F203">
        <v>3.62</v>
      </c>
      <c r="G203">
        <v>4.29</v>
      </c>
      <c r="H203">
        <v>36.200000000000003</v>
      </c>
      <c r="I203">
        <v>32.799999999999997</v>
      </c>
      <c r="J203">
        <f>1.76 * F203 * SQRT(29000 / Dashboard!$B$8) / 12</f>
        <v>12.78656789673358</v>
      </c>
      <c r="K203">
        <f>1.95 * G203 * (29000 / (0.7 * Dashboard!$B$8)) / 12 * SQRT((H203*1)/(E203*I203) + SQRT(((H203*1)/(E203*I203))^2 + 6.76*((0.7*Dashboard!$B$8)/29000)^2))</f>
        <v>39.74886028365303</v>
      </c>
      <c r="L203">
        <f>Dashboard!$B$8 * D203 / 12</f>
        <v>3916.6666666666665</v>
      </c>
      <c r="M203">
        <f>(Dashboard!$B$9 * PI()^2 * 29000 / ((Dashboard!$B$5*12)/G203)^2) * SQRT(1 + 0.078 * (H203*1)/(E203*I203) * ((Dashboard!$B$5*12)/G203)^2)</f>
        <v>2301.0595835004656</v>
      </c>
      <c r="N203">
        <f>MIN( IF(Dashboard!$B$5 &lt;= J203, L203, IF(Dashboard!$B$5 &lt;= K203, Dashboard!$B$9 * (L203 - (L203 - 0.7*Dashboard!$B$8*E203/12) * ((Dashboard!$B$5 - J203)/(K203 - J203))), M203 * E203 / 12) ), L203 )</f>
        <v>3916.6666666666665</v>
      </c>
      <c r="O203">
        <f t="shared" si="6"/>
        <v>2345.309381237525</v>
      </c>
      <c r="P203" t="str">
        <f>IF(AND(O203 &gt;= Dashboard!$B$11, C203 &lt;= Dashboard!$B$6), "Pass", "Fail")</f>
        <v>Fail</v>
      </c>
      <c r="Q203">
        <f t="shared" si="7"/>
        <v>9999999</v>
      </c>
    </row>
    <row r="204" spans="1:17" x14ac:dyDescent="0.25">
      <c r="A204" t="s">
        <v>219</v>
      </c>
      <c r="B204">
        <v>247</v>
      </c>
      <c r="C204">
        <v>36.700000000000003</v>
      </c>
      <c r="D204">
        <v>1030</v>
      </c>
      <c r="E204">
        <v>913</v>
      </c>
      <c r="F204">
        <v>3.74</v>
      </c>
      <c r="G204">
        <v>4.42</v>
      </c>
      <c r="H204">
        <v>34.700000000000003</v>
      </c>
      <c r="I204">
        <v>35.4</v>
      </c>
      <c r="J204">
        <f>1.76 * F204 * SQRT(29000 / Dashboard!$B$8) / 12</f>
        <v>13.210432025907069</v>
      </c>
      <c r="K204">
        <f>1.95 * G204 * (29000 / (0.7 * Dashboard!$B$8)) / 12 * SQRT((H204*1)/(E204*I204) + SQRT(((H204*1)/(E204*I204))^2 + 6.76*((0.7*Dashboard!$B$8)/29000)^2))</f>
        <v>39.431682173348719</v>
      </c>
      <c r="L204">
        <f>Dashboard!$B$8 * D204 / 12</f>
        <v>4291.666666666667</v>
      </c>
      <c r="M204">
        <f>(Dashboard!$B$9 * PI()^2 * 29000 / ((Dashboard!$B$5*12)/G204)^2) * SQRT(1 + 0.078 * (H204*1)/(E204*I204) * ((Dashboard!$B$5*12)/G204)^2)</f>
        <v>2438.8992858666616</v>
      </c>
      <c r="N204">
        <f>MIN( IF(Dashboard!$B$5 &lt;= J204, L204, IF(Dashboard!$B$5 &lt;= K204, Dashboard!$B$9 * (L204 - (L204 - 0.7*Dashboard!$B$8*E204/12) * ((Dashboard!$B$5 - J204)/(K204 - J204))), M204 * E204 / 12) ), L204 )</f>
        <v>4291.666666666667</v>
      </c>
      <c r="O204">
        <f t="shared" si="6"/>
        <v>2569.8602794411181</v>
      </c>
      <c r="P204" t="str">
        <f>IF(AND(O204 &gt;= Dashboard!$B$11, C204 &lt;= Dashboard!$B$6), "Pass", "Fail")</f>
        <v>Fail</v>
      </c>
      <c r="Q204">
        <f t="shared" si="7"/>
        <v>9999999</v>
      </c>
    </row>
    <row r="205" spans="1:17" x14ac:dyDescent="0.25">
      <c r="A205" t="s">
        <v>220</v>
      </c>
      <c r="B205">
        <v>248</v>
      </c>
      <c r="C205">
        <v>23.7</v>
      </c>
      <c r="D205">
        <v>671</v>
      </c>
      <c r="E205">
        <v>576</v>
      </c>
      <c r="F205">
        <v>3.08</v>
      </c>
      <c r="G205">
        <v>3.63</v>
      </c>
      <c r="H205">
        <v>80.7</v>
      </c>
      <c r="I205">
        <v>21.7</v>
      </c>
      <c r="J205">
        <f>1.76 * F205 * SQRT(29000 / Dashboard!$B$8) / 12</f>
        <v>10.879179315452879</v>
      </c>
      <c r="K205">
        <f>1.95 * G205 * (29000 / (0.7 * Dashboard!$B$8)) / 12 * SQRT((H205*1)/(E205*I205) + SQRT(((H205*1)/(E205*I205))^2 + 6.76*((0.7*Dashboard!$B$8)/29000)^2))</f>
        <v>57.071234237849531</v>
      </c>
      <c r="L205">
        <f>Dashboard!$B$8 * D205 / 12</f>
        <v>2795.8333333333335</v>
      </c>
      <c r="M205">
        <f>(Dashboard!$B$9 * PI()^2 * 29000 / ((Dashboard!$B$5*12)/G205)^2) * SQRT(1 + 0.078 * (H205*1)/(E205*I205) * ((Dashboard!$B$5*12)/G205)^2)</f>
        <v>1707.4735645948556</v>
      </c>
      <c r="N205">
        <f>MIN( IF(Dashboard!$B$5 &lt;= J205, L205, IF(Dashboard!$B$5 &lt;= K205, Dashboard!$B$9 * (L205 - (L205 - 0.7*Dashboard!$B$8*E205/12) * ((Dashboard!$B$5 - J205)/(K205 - J205))), M205 * E205 / 12) ), L205 )</f>
        <v>2795.8333333333335</v>
      </c>
      <c r="O205">
        <f t="shared" si="6"/>
        <v>1674.1516966067866</v>
      </c>
      <c r="P205" t="str">
        <f>IF(AND(O205 &gt;= Dashboard!$B$11, C205 &lt;= Dashboard!$B$6), "Pass", "Fail")</f>
        <v>Fail</v>
      </c>
      <c r="Q205">
        <f t="shared" si="7"/>
        <v>9999999</v>
      </c>
    </row>
    <row r="206" spans="1:17" x14ac:dyDescent="0.25">
      <c r="A206" t="s">
        <v>221</v>
      </c>
      <c r="B206">
        <v>249</v>
      </c>
      <c r="C206">
        <v>39.4</v>
      </c>
      <c r="D206">
        <v>1120</v>
      </c>
      <c r="E206">
        <v>993</v>
      </c>
      <c r="F206">
        <v>3.55</v>
      </c>
      <c r="G206">
        <v>4.21</v>
      </c>
      <c r="H206">
        <v>38.1</v>
      </c>
      <c r="I206">
        <v>38</v>
      </c>
      <c r="J206">
        <f>1.76 * F206 * SQRT(29000 / Dashboard!$B$8) / 12</f>
        <v>12.539313821382377</v>
      </c>
      <c r="K206">
        <f>1.95 * G206 * (29000 / (0.7 * Dashboard!$B$8)) / 12 * SQRT((H206*1)/(E206*I206) + SQRT(((H206*1)/(E206*I206))^2 + 6.76*((0.7*Dashboard!$B$8)/29000)^2))</f>
        <v>37.196862216180769</v>
      </c>
      <c r="L206">
        <f>Dashboard!$B$8 * D206 / 12</f>
        <v>4666.666666666667</v>
      </c>
      <c r="M206">
        <f>(Dashboard!$B$9 * PI()^2 * 29000 / ((Dashboard!$B$5*12)/G206)^2) * SQRT(1 + 0.078 * (H206*1)/(E206*I206) * ((Dashboard!$B$5*12)/G206)^2)</f>
        <v>2213.050168336601</v>
      </c>
      <c r="N206">
        <f>MIN( IF(Dashboard!$B$5 &lt;= J206, L206, IF(Dashboard!$B$5 &lt;= K206, Dashboard!$B$9 * (L206 - (L206 - 0.7*Dashboard!$B$8*E206/12) * ((Dashboard!$B$5 - J206)/(K206 - J206))), M206 * E206 / 12) ), L206 )</f>
        <v>4666.666666666667</v>
      </c>
      <c r="O206">
        <f t="shared" si="6"/>
        <v>2794.4111776447107</v>
      </c>
      <c r="P206" t="str">
        <f>IF(AND(O206 &gt;= Dashboard!$B$11, C206 &lt;= Dashboard!$B$6), "Pass", "Fail")</f>
        <v>Fail</v>
      </c>
      <c r="Q206">
        <f t="shared" si="7"/>
        <v>9999999</v>
      </c>
    </row>
    <row r="207" spans="1:17" x14ac:dyDescent="0.25">
      <c r="A207" t="s">
        <v>222</v>
      </c>
      <c r="B207">
        <v>250</v>
      </c>
      <c r="C207">
        <v>26.3</v>
      </c>
      <c r="D207">
        <v>744</v>
      </c>
      <c r="E207">
        <v>644</v>
      </c>
      <c r="F207">
        <v>3.14</v>
      </c>
      <c r="G207">
        <v>3.71</v>
      </c>
      <c r="H207">
        <v>66.599999999999994</v>
      </c>
      <c r="I207">
        <v>24.4</v>
      </c>
      <c r="J207">
        <f>1.76 * F207 * SQRT(29000 / Dashboard!$B$8) / 12</f>
        <v>11.091111380039626</v>
      </c>
      <c r="K207">
        <f>1.95 * G207 * (29000 / (0.7 * Dashboard!$B$8)) / 12 * SQRT((H207*1)/(E207*I207) + SQRT(((H207*1)/(E207*I207))^2 + 6.76*((0.7*Dashboard!$B$8)/29000)^2))</f>
        <v>48.718210055559297</v>
      </c>
      <c r="L207">
        <f>Dashboard!$B$8 * D207 / 12</f>
        <v>3100</v>
      </c>
      <c r="M207">
        <f>(Dashboard!$B$9 * PI()^2 * 29000 / ((Dashboard!$B$5*12)/G207)^2) * SQRT(1 + 0.078 * (H207*1)/(E207*I207) * ((Dashboard!$B$5*12)/G207)^2)</f>
        <v>1756.5438242543837</v>
      </c>
      <c r="N207">
        <f>MIN( IF(Dashboard!$B$5 &lt;= J207, L207, IF(Dashboard!$B$5 &lt;= K207, Dashboard!$B$9 * (L207 - (L207 - 0.7*Dashboard!$B$8*E207/12) * ((Dashboard!$B$5 - J207)/(K207 - J207))), M207 * E207 / 12) ), L207 )</f>
        <v>3100</v>
      </c>
      <c r="O207">
        <f t="shared" si="6"/>
        <v>1856.2874251497008</v>
      </c>
      <c r="P207" t="str">
        <f>IF(AND(O207 &gt;= Dashboard!$B$11, C207 &lt;= Dashboard!$B$6), "Pass", "Fail")</f>
        <v>Fail</v>
      </c>
      <c r="Q207">
        <f t="shared" si="7"/>
        <v>9999999</v>
      </c>
    </row>
    <row r="208" spans="1:17" x14ac:dyDescent="0.25">
      <c r="A208" t="s">
        <v>223</v>
      </c>
      <c r="B208">
        <v>252</v>
      </c>
      <c r="C208">
        <v>15.4</v>
      </c>
      <c r="D208">
        <v>428</v>
      </c>
      <c r="E208">
        <v>353</v>
      </c>
      <c r="F208">
        <v>3.34</v>
      </c>
      <c r="G208">
        <v>3.93</v>
      </c>
      <c r="H208">
        <v>108</v>
      </c>
      <c r="I208">
        <v>13.2</v>
      </c>
      <c r="J208">
        <f>1.76 * F208 * SQRT(29000 / Dashboard!$B$8) / 12</f>
        <v>11.797551595328772</v>
      </c>
      <c r="K208">
        <f>1.95 * G208 * (29000 / (0.7 * Dashboard!$B$8)) / 12 * SQRT((H208*1)/(E208*I208) + SQRT(((H208*1)/(E208*I208))^2 + 6.76*((0.7*Dashboard!$B$8)/29000)^2))</f>
        <v>114.18700291162313</v>
      </c>
      <c r="L208">
        <f>Dashboard!$B$8 * D208 / 12</f>
        <v>1783.3333333333333</v>
      </c>
      <c r="M208">
        <f>(Dashboard!$B$9 * PI()^2 * 29000 / ((Dashboard!$B$5*12)/G208)^2) * SQRT(1 + 0.078 * (H208*1)/(E208*I208) * ((Dashboard!$B$5*12)/G208)^2)</f>
        <v>2161.9689783135727</v>
      </c>
      <c r="N208">
        <f>MIN( IF(Dashboard!$B$5 &lt;= J208, L208, IF(Dashboard!$B$5 &lt;= K208, Dashboard!$B$9 * (L208 - (L208 - 0.7*Dashboard!$B$8*E208/12) * ((Dashboard!$B$5 - J208)/(K208 - J208))), M208 * E208 / 12) ), L208 )</f>
        <v>1783.3333333333333</v>
      </c>
      <c r="O208">
        <f t="shared" si="6"/>
        <v>1067.8642714570858</v>
      </c>
      <c r="P208" t="str">
        <f>IF(AND(O208 &gt;= Dashboard!$B$11, C208 &lt;= Dashboard!$B$6), "Pass", "Fail")</f>
        <v>Fail</v>
      </c>
      <c r="Q208">
        <f t="shared" si="7"/>
        <v>9999999</v>
      </c>
    </row>
    <row r="209" spans="1:17" x14ac:dyDescent="0.25">
      <c r="A209" t="s">
        <v>224</v>
      </c>
      <c r="B209">
        <v>256</v>
      </c>
      <c r="C209">
        <v>37.4</v>
      </c>
      <c r="D209">
        <v>1040</v>
      </c>
      <c r="E209">
        <v>895</v>
      </c>
      <c r="F209">
        <v>2.65</v>
      </c>
      <c r="G209">
        <v>3.24</v>
      </c>
      <c r="H209">
        <v>52.9</v>
      </c>
      <c r="I209">
        <v>35.700000000000003</v>
      </c>
      <c r="J209">
        <f>1.76 * F209 * SQRT(29000 / Dashboard!$B$8) / 12</f>
        <v>9.3603328525812106</v>
      </c>
      <c r="K209">
        <f>1.95 * G209 * (29000 / (0.7 * Dashboard!$B$8)) / 12 * SQRT((H209*1)/(E209*I209) + SQRT(((H209*1)/(E209*I209))^2 + 6.76*((0.7*Dashboard!$B$8)/29000)^2))</f>
        <v>31.468669010684536</v>
      </c>
      <c r="L209">
        <f>Dashboard!$B$8 * D209 / 12</f>
        <v>4333.333333333333</v>
      </c>
      <c r="M209">
        <f>(Dashboard!$B$9 * PI()^2 * 29000 / ((Dashboard!$B$5*12)/G209)^2) * SQRT(1 + 0.078 * (H209*1)/(E209*I209) * ((Dashboard!$B$5*12)/G209)^2)</f>
        <v>1322.4350917613772</v>
      </c>
      <c r="N209">
        <f>MIN( IF(Dashboard!$B$5 &lt;= J209, L209, IF(Dashboard!$B$5 &lt;= K209, Dashboard!$B$9 * (L209 - (L209 - 0.7*Dashboard!$B$8*E209/12) * ((Dashboard!$B$5 - J209)/(K209 - J209))), M209 * E209 / 12) ), L209 )</f>
        <v>4333.333333333333</v>
      </c>
      <c r="O209">
        <f t="shared" si="6"/>
        <v>2594.8103792415168</v>
      </c>
      <c r="P209" t="str">
        <f>IF(AND(O209 &gt;= Dashboard!$B$11, C209 &lt;= Dashboard!$B$6), "Pass", "Fail")</f>
        <v>Fail</v>
      </c>
      <c r="Q209">
        <f t="shared" si="7"/>
        <v>9999999</v>
      </c>
    </row>
    <row r="210" spans="1:17" x14ac:dyDescent="0.25">
      <c r="A210" t="s">
        <v>225</v>
      </c>
      <c r="B210">
        <v>257</v>
      </c>
      <c r="C210">
        <v>16.399999999999999</v>
      </c>
      <c r="D210">
        <v>487</v>
      </c>
      <c r="E210">
        <v>415</v>
      </c>
      <c r="F210">
        <v>4.13</v>
      </c>
      <c r="G210">
        <v>4.75</v>
      </c>
      <c r="H210">
        <v>79.099999999999994</v>
      </c>
      <c r="I210">
        <v>14.5</v>
      </c>
      <c r="J210">
        <f>1.76 * F210 * SQRT(29000 / Dashboard!$B$8) / 12</f>
        <v>14.587990445720905</v>
      </c>
      <c r="K210">
        <f>1.95 * G210 * (29000 / (0.7 * Dashboard!$B$8)) / 12 * SQRT((H210*1)/(E210*I210) + SQRT(((H210*1)/(E210*I210))^2 + 6.76*((0.7*Dashboard!$B$8)/29000)^2))</f>
        <v>104.42430670944047</v>
      </c>
      <c r="L210">
        <f>Dashboard!$B$8 * D210 / 12</f>
        <v>2029.1666666666667</v>
      </c>
      <c r="M210">
        <f>(Dashboard!$B$9 * PI()^2 * 29000 / ((Dashboard!$B$5*12)/G210)^2) * SQRT(1 + 0.078 * (H210*1)/(E210*I210) * ((Dashboard!$B$5*12)/G210)^2)</f>
        <v>2945.9463507066152</v>
      </c>
      <c r="N210">
        <f>MIN( IF(Dashboard!$B$5 &lt;= J210, L210, IF(Dashboard!$B$5 &lt;= K210, Dashboard!$B$9 * (L210 - (L210 - 0.7*Dashboard!$B$8*E210/12) * ((Dashboard!$B$5 - J210)/(K210 - J210))), M210 * E210 / 12) ), L210 )</f>
        <v>2029.1666666666667</v>
      </c>
      <c r="O210">
        <f t="shared" si="6"/>
        <v>1215.0698602794412</v>
      </c>
      <c r="P210" t="str">
        <f>IF(AND(O210 &gt;= Dashboard!$B$11, C210 &lt;= Dashboard!$B$6), "Pass", "Fail")</f>
        <v>Fail</v>
      </c>
      <c r="Q210">
        <f t="shared" si="7"/>
        <v>9999999</v>
      </c>
    </row>
    <row r="211" spans="1:17" x14ac:dyDescent="0.25">
      <c r="A211" t="s">
        <v>226</v>
      </c>
      <c r="B211">
        <v>258</v>
      </c>
      <c r="C211">
        <v>29</v>
      </c>
      <c r="D211">
        <v>852</v>
      </c>
      <c r="E211">
        <v>745</v>
      </c>
      <c r="F211">
        <v>3.36</v>
      </c>
      <c r="G211">
        <v>3.96</v>
      </c>
      <c r="H211">
        <v>61.6</v>
      </c>
      <c r="I211">
        <v>27.2</v>
      </c>
      <c r="J211">
        <f>1.76 * F211 * SQRT(29000 / Dashboard!$B$8) / 12</f>
        <v>11.868195616857685</v>
      </c>
      <c r="K211">
        <f>1.95 * G211 * (29000 / (0.7 * Dashboard!$B$8)) / 12 * SQRT((H211*1)/(E211*I211) + SQRT(((H211*1)/(E211*I211))^2 + 6.76*((0.7*Dashboard!$B$8)/29000)^2))</f>
        <v>45.893606909305447</v>
      </c>
      <c r="L211">
        <f>Dashboard!$B$8 * D211 / 12</f>
        <v>3550</v>
      </c>
      <c r="M211">
        <f>(Dashboard!$B$9 * PI()^2 * 29000 / ((Dashboard!$B$5*12)/G211)^2) * SQRT(1 + 0.078 * (H211*1)/(E211*I211) * ((Dashboard!$B$5*12)/G211)^2)</f>
        <v>1981.7170213909294</v>
      </c>
      <c r="N211">
        <f>MIN( IF(Dashboard!$B$5 &lt;= J211, L211, IF(Dashboard!$B$5 &lt;= K211, Dashboard!$B$9 * (L211 - (L211 - 0.7*Dashboard!$B$8*E211/12) * ((Dashboard!$B$5 - J211)/(K211 - J211))), M211 * E211 / 12) ), L211 )</f>
        <v>3550</v>
      </c>
      <c r="O211">
        <f t="shared" si="6"/>
        <v>2125.7485029940121</v>
      </c>
      <c r="P211" t="str">
        <f>IF(AND(O211 &gt;= Dashboard!$B$11, C211 &lt;= Dashboard!$B$6), "Pass", "Fail")</f>
        <v>Fail</v>
      </c>
      <c r="Q211">
        <f t="shared" si="7"/>
        <v>9999999</v>
      </c>
    </row>
    <row r="212" spans="1:17" x14ac:dyDescent="0.25">
      <c r="A212" t="s">
        <v>227</v>
      </c>
      <c r="B212">
        <v>258</v>
      </c>
      <c r="C212">
        <v>21.5</v>
      </c>
      <c r="D212">
        <v>611</v>
      </c>
      <c r="E212">
        <v>514</v>
      </c>
      <c r="F212">
        <v>2.88</v>
      </c>
      <c r="G212">
        <v>3.42</v>
      </c>
      <c r="H212">
        <v>103</v>
      </c>
      <c r="I212">
        <v>19.2</v>
      </c>
      <c r="J212">
        <f>1.76 * F212 * SQRT(29000 / Dashboard!$B$8) / 12</f>
        <v>10.17273910016373</v>
      </c>
      <c r="K212">
        <f>1.95 * G212 * (29000 / (0.7 * Dashboard!$B$8)) / 12 * SQRT((H212*1)/(E212*I212) + SQRT(((H212*1)/(E212*I212))^2 + 6.76*((0.7*Dashboard!$B$8)/29000)^2))</f>
        <v>67.260427515095657</v>
      </c>
      <c r="L212">
        <f>Dashboard!$B$8 * D212 / 12</f>
        <v>2545.8333333333335</v>
      </c>
      <c r="M212">
        <f>(Dashboard!$B$9 * PI()^2 * 29000 / ((Dashboard!$B$5*12)/G212)^2) * SQRT(1 + 0.078 * (H212*1)/(E212*I212) * ((Dashboard!$B$5*12)/G212)^2)</f>
        <v>1565.1788561875906</v>
      </c>
      <c r="N212">
        <f>MIN( IF(Dashboard!$B$5 &lt;= J212, L212, IF(Dashboard!$B$5 &lt;= K212, Dashboard!$B$9 * (L212 - (L212 - 0.7*Dashboard!$B$8*E212/12) * ((Dashboard!$B$5 - J212)/(K212 - J212))), M212 * E212 / 12) ), L212 )</f>
        <v>2545.8333333333335</v>
      </c>
      <c r="O212">
        <f t="shared" si="6"/>
        <v>1524.4510978043913</v>
      </c>
      <c r="P212" t="str">
        <f>IF(AND(O212 &gt;= Dashboard!$B$11, C212 &lt;= Dashboard!$B$6), "Pass", "Fail")</f>
        <v>Fail</v>
      </c>
      <c r="Q212">
        <f t="shared" si="7"/>
        <v>9999999</v>
      </c>
    </row>
    <row r="213" spans="1:17" x14ac:dyDescent="0.25">
      <c r="A213" t="s">
        <v>228</v>
      </c>
      <c r="B213">
        <v>261</v>
      </c>
      <c r="C213">
        <v>31.6</v>
      </c>
      <c r="D213">
        <v>943</v>
      </c>
      <c r="E213">
        <v>829</v>
      </c>
      <c r="F213">
        <v>3.53</v>
      </c>
      <c r="G213">
        <v>4.16</v>
      </c>
      <c r="H213">
        <v>54.1</v>
      </c>
      <c r="I213">
        <v>30</v>
      </c>
      <c r="J213">
        <f>1.76 * F213 * SQRT(29000 / Dashboard!$B$8) / 12</f>
        <v>12.46866979985346</v>
      </c>
      <c r="K213">
        <f>1.95 * G213 * (29000 / (0.7 * Dashboard!$B$8)) / 12 * SQRT((H213*1)/(E213*I213) + SQRT(((H213*1)/(E213*I213))^2 + 6.76*((0.7*Dashboard!$B$8)/29000)^2))</f>
        <v>43.362772638474517</v>
      </c>
      <c r="L213">
        <f>Dashboard!$B$8 * D213 / 12</f>
        <v>3929.1666666666665</v>
      </c>
      <c r="M213">
        <f>(Dashboard!$B$9 * PI()^2 * 29000 / ((Dashboard!$B$5*12)/G213)^2) * SQRT(1 + 0.078 * (H213*1)/(E213*I213) * ((Dashboard!$B$5*12)/G213)^2)</f>
        <v>2173.9655244984351</v>
      </c>
      <c r="N213">
        <f>MIN( IF(Dashboard!$B$5 &lt;= J213, L213, IF(Dashboard!$B$5 &lt;= K213, Dashboard!$B$9 * (L213 - (L213 - 0.7*Dashboard!$B$8*E213/12) * ((Dashboard!$B$5 - J213)/(K213 - J213))), M213 * E213 / 12) ), L213 )</f>
        <v>3929.1666666666665</v>
      </c>
      <c r="O213">
        <f t="shared" si="6"/>
        <v>2352.7944111776446</v>
      </c>
      <c r="P213" t="str">
        <f>IF(AND(O213 &gt;= Dashboard!$B$11, C213 &lt;= Dashboard!$B$6), "Pass", "Fail")</f>
        <v>Fail</v>
      </c>
      <c r="Q213">
        <f t="shared" si="7"/>
        <v>9999999</v>
      </c>
    </row>
    <row r="214" spans="1:17" x14ac:dyDescent="0.25">
      <c r="A214" t="s">
        <v>229</v>
      </c>
      <c r="B214">
        <v>262</v>
      </c>
      <c r="C214">
        <v>43.3</v>
      </c>
      <c r="D214">
        <v>1270</v>
      </c>
      <c r="E214">
        <v>1110</v>
      </c>
      <c r="F214">
        <v>3.47</v>
      </c>
      <c r="G214">
        <v>4.17</v>
      </c>
      <c r="H214">
        <v>37.299999999999997</v>
      </c>
      <c r="I214">
        <v>41.9</v>
      </c>
      <c r="J214">
        <f>1.76 * F214 * SQRT(29000 / Dashboard!$B$8) / 12</f>
        <v>12.25673773526672</v>
      </c>
      <c r="K214">
        <f>1.95 * G214 * (29000 / (0.7 * Dashboard!$B$8)) / 12 * SQRT((H214*1)/(E214*I214) + SQRT(((H214*1)/(E214*I214))^2 + 6.76*((0.7*Dashboard!$B$8)/29000)^2))</f>
        <v>35.690501644799284</v>
      </c>
      <c r="L214">
        <f>Dashboard!$B$8 * D214 / 12</f>
        <v>5291.666666666667</v>
      </c>
      <c r="M214">
        <f>(Dashboard!$B$9 * PI()^2 * 29000 / ((Dashboard!$B$5*12)/G214)^2) * SQRT(1 + 0.078 * (H214*1)/(E214*I214) * ((Dashboard!$B$5*12)/G214)^2)</f>
        <v>2169.1010717967761</v>
      </c>
      <c r="N214">
        <f>MIN( IF(Dashboard!$B$5 &lt;= J214, L214, IF(Dashboard!$B$5 &lt;= K214, Dashboard!$B$9 * (L214 - (L214 - 0.7*Dashboard!$B$8*E214/12) * ((Dashboard!$B$5 - J214)/(K214 - J214))), M214 * E214 / 12) ), L214 )</f>
        <v>5291.666666666667</v>
      </c>
      <c r="O214">
        <f t="shared" si="6"/>
        <v>3168.662674650699</v>
      </c>
      <c r="P214" t="str">
        <f>IF(AND(O214 &gt;= Dashboard!$B$11, C214 &lt;= Dashboard!$B$6), "Pass", "Fail")</f>
        <v>Fail</v>
      </c>
      <c r="Q214">
        <f t="shared" si="7"/>
        <v>9999999</v>
      </c>
    </row>
    <row r="215" spans="1:17" x14ac:dyDescent="0.25">
      <c r="A215" t="s">
        <v>230</v>
      </c>
      <c r="B215">
        <v>262</v>
      </c>
      <c r="C215">
        <v>36.9</v>
      </c>
      <c r="D215">
        <v>1100</v>
      </c>
      <c r="E215">
        <v>972</v>
      </c>
      <c r="F215">
        <v>3.76</v>
      </c>
      <c r="G215">
        <v>4.46</v>
      </c>
      <c r="H215">
        <v>41.6</v>
      </c>
      <c r="I215">
        <v>35.5</v>
      </c>
      <c r="J215">
        <f>1.76 * F215 * SQRT(29000 / Dashboard!$B$8) / 12</f>
        <v>13.281076047435981</v>
      </c>
      <c r="K215">
        <f>1.95 * G215 * (29000 / (0.7 * Dashboard!$B$8)) / 12 * SQRT((H215*1)/(E215*I215) + SQRT(((H215*1)/(E215*I215))^2 + 6.76*((0.7*Dashboard!$B$8)/29000)^2))</f>
        <v>40.582655101897998</v>
      </c>
      <c r="L215">
        <f>Dashboard!$B$8 * D215 / 12</f>
        <v>4583.333333333333</v>
      </c>
      <c r="M215">
        <f>(Dashboard!$B$9 * PI()^2 * 29000 / ((Dashboard!$B$5*12)/G215)^2) * SQRT(1 + 0.078 * (H215*1)/(E215*I215) * ((Dashboard!$B$5*12)/G215)^2)</f>
        <v>2484.4905967440582</v>
      </c>
      <c r="N215">
        <f>MIN( IF(Dashboard!$B$5 &lt;= J215, L215, IF(Dashboard!$B$5 &lt;= K215, Dashboard!$B$9 * (L215 - (L215 - 0.7*Dashboard!$B$8*E215/12) * ((Dashboard!$B$5 - J215)/(K215 - J215))), M215 * E215 / 12) ), L215 )</f>
        <v>4583.333333333333</v>
      </c>
      <c r="O215">
        <f t="shared" si="6"/>
        <v>2744.510978043912</v>
      </c>
      <c r="P215" t="str">
        <f>IF(AND(O215 &gt;= Dashboard!$B$11, C215 &lt;= Dashboard!$B$6), "Pass", "Fail")</f>
        <v>Fail</v>
      </c>
      <c r="Q215">
        <f t="shared" si="7"/>
        <v>9999999</v>
      </c>
    </row>
    <row r="216" spans="1:17" x14ac:dyDescent="0.25">
      <c r="A216" t="s">
        <v>231</v>
      </c>
      <c r="B216">
        <v>263</v>
      </c>
      <c r="C216">
        <v>34.5</v>
      </c>
      <c r="D216">
        <v>1040</v>
      </c>
      <c r="E216">
        <v>919</v>
      </c>
      <c r="F216">
        <v>3.66</v>
      </c>
      <c r="G216">
        <v>4.3099999999999996</v>
      </c>
      <c r="H216">
        <v>48.7</v>
      </c>
      <c r="I216">
        <v>32.9</v>
      </c>
      <c r="J216">
        <f>1.76 * F216 * SQRT(29000 / Dashboard!$B$8) / 12</f>
        <v>12.927855939791408</v>
      </c>
      <c r="K216">
        <f>1.95 * G216 * (29000 / (0.7 * Dashboard!$B$8)) / 12 * SQRT((H216*1)/(E216*I216) + SQRT(((H216*1)/(E216*I216))^2 + 6.76*((0.7*Dashboard!$B$8)/29000)^2))</f>
        <v>41.596139857122203</v>
      </c>
      <c r="L216">
        <f>Dashboard!$B$8 * D216 / 12</f>
        <v>4333.333333333333</v>
      </c>
      <c r="M216">
        <f>(Dashboard!$B$9 * PI()^2 * 29000 / ((Dashboard!$B$5*12)/G216)^2) * SQRT(1 + 0.078 * (H216*1)/(E216*I216) * ((Dashboard!$B$5*12)/G216)^2)</f>
        <v>2325.5593948283067</v>
      </c>
      <c r="N216">
        <f>MIN( IF(Dashboard!$B$5 &lt;= J216, L216, IF(Dashboard!$B$5 &lt;= K216, Dashboard!$B$9 * (L216 - (L216 - 0.7*Dashboard!$B$8*E216/12) * ((Dashboard!$B$5 - J216)/(K216 - J216))), M216 * E216 / 12) ), L216 )</f>
        <v>4333.333333333333</v>
      </c>
      <c r="O216">
        <f t="shared" si="6"/>
        <v>2594.8103792415168</v>
      </c>
      <c r="P216" t="str">
        <f>IF(AND(O216 &gt;= Dashboard!$B$11, C216 &lt;= Dashboard!$B$6), "Pass", "Fail")</f>
        <v>Fail</v>
      </c>
      <c r="Q216">
        <f t="shared" si="7"/>
        <v>9999999</v>
      </c>
    </row>
    <row r="217" spans="1:17" x14ac:dyDescent="0.25">
      <c r="A217" t="s">
        <v>232</v>
      </c>
      <c r="B217">
        <v>264</v>
      </c>
      <c r="C217">
        <v>40</v>
      </c>
      <c r="D217">
        <v>1130</v>
      </c>
      <c r="E217">
        <v>971</v>
      </c>
      <c r="F217">
        <v>2.52</v>
      </c>
      <c r="G217">
        <v>3.12</v>
      </c>
      <c r="H217">
        <v>56.1</v>
      </c>
      <c r="I217">
        <v>38.299999999999997</v>
      </c>
      <c r="J217">
        <f>1.76 * F217 * SQRT(29000 / Dashboard!$B$8) / 12</f>
        <v>8.901146712643266</v>
      </c>
      <c r="K217">
        <f>1.95 * G217 * (29000 / (0.7 * Dashboard!$B$8)) / 12 * SQRT((H217*1)/(E217*I217) + SQRT(((H217*1)/(E217*I217))^2 + 6.76*((0.7*Dashboard!$B$8)/29000)^2))</f>
        <v>29.675392250809651</v>
      </c>
      <c r="L217">
        <f>Dashboard!$B$8 * D217 / 12</f>
        <v>4708.333333333333</v>
      </c>
      <c r="M217">
        <f>(Dashboard!$B$9 * PI()^2 * 29000 / ((Dashboard!$B$5*12)/G217)^2) * SQRT(1 + 0.078 * (H217*1)/(E217*I217) * ((Dashboard!$B$5*12)/G217)^2)</f>
        <v>1225.9962956945428</v>
      </c>
      <c r="N217">
        <f>MIN( IF(Dashboard!$B$5 &lt;= J217, L217, IF(Dashboard!$B$5 &lt;= K217, Dashboard!$B$9 * (L217 - (L217 - 0.7*Dashboard!$B$8*E217/12) * ((Dashboard!$B$5 - J217)/(K217 - J217))), M217 * E217 / 12) ), L217 )</f>
        <v>4708.333333333333</v>
      </c>
      <c r="O217">
        <f t="shared" si="6"/>
        <v>2819.3612774451099</v>
      </c>
      <c r="P217" t="str">
        <f>IF(AND(O217 &gt;= Dashboard!$B$11, C217 &lt;= Dashboard!$B$6), "Pass", "Fail")</f>
        <v>Fail</v>
      </c>
      <c r="Q217">
        <f t="shared" si="7"/>
        <v>9999999</v>
      </c>
    </row>
    <row r="218" spans="1:17" x14ac:dyDescent="0.25">
      <c r="A218" t="s">
        <v>233</v>
      </c>
      <c r="B218">
        <v>275</v>
      </c>
      <c r="C218">
        <v>24.1</v>
      </c>
      <c r="D218">
        <v>749</v>
      </c>
      <c r="E218">
        <v>638</v>
      </c>
      <c r="F218">
        <v>3.1</v>
      </c>
      <c r="G218">
        <v>3.68</v>
      </c>
      <c r="H218">
        <v>107</v>
      </c>
      <c r="I218">
        <v>21.9</v>
      </c>
      <c r="J218">
        <f>1.76 * F218 * SQRT(29000 / Dashboard!$B$8) / 12</f>
        <v>10.949823336981796</v>
      </c>
      <c r="K218">
        <f>1.95 * G218 * (29000 / (0.7 * Dashboard!$B$8)) / 12 * SQRT((H218*1)/(E218*I218) + SQRT(((H218*1)/(E218*I218))^2 + 6.76*((0.7*Dashboard!$B$8)/29000)^2))</f>
        <v>62.545306499507639</v>
      </c>
      <c r="L218">
        <f>Dashboard!$B$8 * D218 / 12</f>
        <v>3120.8333333333335</v>
      </c>
      <c r="M218">
        <f>(Dashboard!$B$9 * PI()^2 * 29000 / ((Dashboard!$B$5*12)/G218)^2) * SQRT(1 + 0.078 * (H218*1)/(E218*I218) * ((Dashboard!$B$5*12)/G218)^2)</f>
        <v>1765.7442116526202</v>
      </c>
      <c r="N218">
        <f>MIN( IF(Dashboard!$B$5 &lt;= J218, L218, IF(Dashboard!$B$5 &lt;= K218, Dashboard!$B$9 * (L218 - (L218 - 0.7*Dashboard!$B$8*E218/12) * ((Dashboard!$B$5 - J218)/(K218 - J218))), M218 * E218 / 12) ), L218 )</f>
        <v>3120.8333333333335</v>
      </c>
      <c r="O218">
        <f t="shared" si="6"/>
        <v>1868.7624750499003</v>
      </c>
      <c r="P218" t="str">
        <f>IF(AND(O218 &gt;= Dashboard!$B$11, C218 &lt;= Dashboard!$B$6), "Pass", "Fail")</f>
        <v>Fail</v>
      </c>
      <c r="Q218">
        <f t="shared" si="7"/>
        <v>9999999</v>
      </c>
    </row>
    <row r="219" spans="1:17" x14ac:dyDescent="0.25">
      <c r="A219" t="s">
        <v>234</v>
      </c>
      <c r="B219">
        <v>277</v>
      </c>
      <c r="C219">
        <v>39.700000000000003</v>
      </c>
      <c r="D219">
        <v>1250</v>
      </c>
      <c r="E219">
        <v>1100</v>
      </c>
      <c r="F219">
        <v>3.58</v>
      </c>
      <c r="G219">
        <v>4.25</v>
      </c>
      <c r="H219">
        <v>51.5</v>
      </c>
      <c r="I219">
        <v>38.1</v>
      </c>
      <c r="J219">
        <f>1.76 * F219 * SQRT(29000 / Dashboard!$B$8) / 12</f>
        <v>12.645279853675747</v>
      </c>
      <c r="K219">
        <f>1.95 * G219 * (29000 / (0.7 * Dashboard!$B$8)) / 12 * SQRT((H219*1)/(E219*I219) + SQRT(((H219*1)/(E219*I219))^2 + 6.76*((0.7*Dashboard!$B$8)/29000)^2))</f>
        <v>38.805533437699978</v>
      </c>
      <c r="L219">
        <f>Dashboard!$B$8 * D219 / 12</f>
        <v>5208.333333333333</v>
      </c>
      <c r="M219">
        <f>(Dashboard!$B$9 * PI()^2 * 29000 / ((Dashboard!$B$5*12)/G219)^2) * SQRT(1 + 0.078 * (H219*1)/(E219*I219) * ((Dashboard!$B$5*12)/G219)^2)</f>
        <v>2257.5215221638236</v>
      </c>
      <c r="N219">
        <f>MIN( IF(Dashboard!$B$5 &lt;= J219, L219, IF(Dashboard!$B$5 &lt;= K219, Dashboard!$B$9 * (L219 - (L219 - 0.7*Dashboard!$B$8*E219/12) * ((Dashboard!$B$5 - J219)/(K219 - J219))), M219 * E219 / 12) ), L219 )</f>
        <v>5208.333333333333</v>
      </c>
      <c r="O219">
        <f t="shared" si="6"/>
        <v>3118.7624750499003</v>
      </c>
      <c r="P219" t="str">
        <f>IF(AND(O219 &gt;= Dashboard!$B$11, C219 &lt;= Dashboard!$B$6), "Pass", "Fail")</f>
        <v>Fail</v>
      </c>
      <c r="Q219">
        <f t="shared" si="7"/>
        <v>9999999</v>
      </c>
    </row>
    <row r="220" spans="1:17" x14ac:dyDescent="0.25">
      <c r="A220" t="s">
        <v>235</v>
      </c>
      <c r="B220">
        <v>278</v>
      </c>
      <c r="C220">
        <v>40.200000000000003</v>
      </c>
      <c r="D220">
        <v>1190</v>
      </c>
      <c r="E220">
        <v>1020</v>
      </c>
      <c r="F220">
        <v>2.52</v>
      </c>
      <c r="G220">
        <v>3.13</v>
      </c>
      <c r="H220">
        <v>65</v>
      </c>
      <c r="I220">
        <v>38.4</v>
      </c>
      <c r="J220">
        <f>1.76 * F220 * SQRT(29000 / Dashboard!$B$8) / 12</f>
        <v>8.901146712643266</v>
      </c>
      <c r="K220">
        <f>1.95 * G220 * (29000 / (0.7 * Dashboard!$B$8)) / 12 * SQRT((H220*1)/(E220*I220) + SQRT(((H220*1)/(E220*I220))^2 + 6.76*((0.7*Dashboard!$B$8)/29000)^2))</f>
        <v>30.41692707940787</v>
      </c>
      <c r="L220">
        <f>Dashboard!$B$8 * D220 / 12</f>
        <v>4958.333333333333</v>
      </c>
      <c r="M220">
        <f>(Dashboard!$B$9 * PI()^2 * 29000 / ((Dashboard!$B$5*12)/G220)^2) * SQRT(1 + 0.078 * (H220*1)/(E220*I220) * ((Dashboard!$B$5*12)/G220)^2)</f>
        <v>1235.4229873329614</v>
      </c>
      <c r="N220">
        <f>MIN( IF(Dashboard!$B$5 &lt;= J220, L220, IF(Dashboard!$B$5 &lt;= K220, Dashboard!$B$9 * (L220 - (L220 - 0.7*Dashboard!$B$8*E220/12) * ((Dashboard!$B$5 - J220)/(K220 - J220))), M220 * E220 / 12) ), L220 )</f>
        <v>4958.333333333333</v>
      </c>
      <c r="O220">
        <f t="shared" si="6"/>
        <v>2969.0618762475051</v>
      </c>
      <c r="P220" t="str">
        <f>IF(AND(O220 &gt;= Dashboard!$B$11, C220 &lt;= Dashboard!$B$6), "Pass", "Fail")</f>
        <v>Fail</v>
      </c>
      <c r="Q220">
        <f t="shared" si="7"/>
        <v>9999999</v>
      </c>
    </row>
    <row r="221" spans="1:17" x14ac:dyDescent="0.25">
      <c r="A221" t="s">
        <v>236</v>
      </c>
      <c r="B221">
        <v>279</v>
      </c>
      <c r="C221">
        <v>26.7</v>
      </c>
      <c r="D221">
        <v>835</v>
      </c>
      <c r="E221">
        <v>718</v>
      </c>
      <c r="F221">
        <v>3.17</v>
      </c>
      <c r="G221">
        <v>3.76</v>
      </c>
      <c r="H221">
        <v>90.5</v>
      </c>
      <c r="I221">
        <v>24.6</v>
      </c>
      <c r="J221">
        <f>1.76 * F221 * SQRT(29000 / Dashboard!$B$8) / 12</f>
        <v>11.197077412332996</v>
      </c>
      <c r="K221">
        <f>1.95 * G221 * (29000 / (0.7 * Dashboard!$B$8)) / 12 * SQRT((H221*1)/(E221*I221) + SQRT(((H221*1)/(E221*I221))^2 + 6.76*((0.7*Dashboard!$B$8)/29000)^2))</f>
        <v>53.414456037832743</v>
      </c>
      <c r="L221">
        <f>Dashboard!$B$8 * D221 / 12</f>
        <v>3479.1666666666665</v>
      </c>
      <c r="M221">
        <f>(Dashboard!$B$9 * PI()^2 * 29000 / ((Dashboard!$B$5*12)/G221)^2) * SQRT(1 + 0.078 * (H221*1)/(E221*I221) * ((Dashboard!$B$5*12)/G221)^2)</f>
        <v>1812.5606707987952</v>
      </c>
      <c r="N221">
        <f>MIN( IF(Dashboard!$B$5 &lt;= J221, L221, IF(Dashboard!$B$5 &lt;= K221, Dashboard!$B$9 * (L221 - (L221 - 0.7*Dashboard!$B$8*E221/12) * ((Dashboard!$B$5 - J221)/(K221 - J221))), M221 * E221 / 12) ), L221 )</f>
        <v>3479.1666666666665</v>
      </c>
      <c r="O221">
        <f t="shared" si="6"/>
        <v>2083.3333333333335</v>
      </c>
      <c r="P221" t="str">
        <f>IF(AND(O221 &gt;= Dashboard!$B$11, C221 &lt;= Dashboard!$B$6), "Pass", "Fail")</f>
        <v>Fail</v>
      </c>
      <c r="Q221">
        <f t="shared" si="7"/>
        <v>9999999</v>
      </c>
    </row>
    <row r="222" spans="1:17" x14ac:dyDescent="0.25">
      <c r="A222" t="s">
        <v>237</v>
      </c>
      <c r="B222">
        <v>279</v>
      </c>
      <c r="C222">
        <v>15.9</v>
      </c>
      <c r="D222">
        <v>481</v>
      </c>
      <c r="E222">
        <v>393</v>
      </c>
      <c r="F222">
        <v>3.38</v>
      </c>
      <c r="G222">
        <v>4</v>
      </c>
      <c r="H222">
        <v>143</v>
      </c>
      <c r="I222">
        <v>13.4</v>
      </c>
      <c r="J222">
        <f>1.76 * F222 * SQRT(29000 / Dashboard!$B$8) / 12</f>
        <v>11.938839638386602</v>
      </c>
      <c r="K222">
        <f>1.95 * G222 * (29000 / (0.7 * Dashboard!$B$8)) / 12 * SQRT((H222*1)/(E222*I222) + SQRT(((H222*1)/(E222*I222))^2 + 6.76*((0.7*Dashboard!$B$8)/29000)^2))</f>
        <v>125.7184423746052</v>
      </c>
      <c r="L222">
        <f>Dashboard!$B$8 * D222 / 12</f>
        <v>2004.1666666666667</v>
      </c>
      <c r="M222">
        <f>(Dashboard!$B$9 * PI()^2 * 29000 / ((Dashboard!$B$5*12)/G222)^2) * SQRT(1 + 0.078 * (H222*1)/(E222*I222) * ((Dashboard!$B$5*12)/G222)^2)</f>
        <v>2270.5968607248242</v>
      </c>
      <c r="N222">
        <f>MIN( IF(Dashboard!$B$5 &lt;= J222, L222, IF(Dashboard!$B$5 &lt;= K222, Dashboard!$B$9 * (L222 - (L222 - 0.7*Dashboard!$B$8*E222/12) * ((Dashboard!$B$5 - J222)/(K222 - J222))), M222 * E222 / 12) ), L222 )</f>
        <v>2004.1666666666667</v>
      </c>
      <c r="O222">
        <f t="shared" si="6"/>
        <v>1200.0998003992017</v>
      </c>
      <c r="P222" t="str">
        <f>IF(AND(O222 &gt;= Dashboard!$B$11, C222 &lt;= Dashboard!$B$6), "Pass", "Fail")</f>
        <v>Fail</v>
      </c>
      <c r="Q222">
        <f t="shared" si="7"/>
        <v>9999999</v>
      </c>
    </row>
    <row r="223" spans="1:17" x14ac:dyDescent="0.25">
      <c r="A223" t="s">
        <v>238</v>
      </c>
      <c r="B223">
        <v>281</v>
      </c>
      <c r="C223">
        <v>29.3</v>
      </c>
      <c r="D223">
        <v>936</v>
      </c>
      <c r="E223">
        <v>814</v>
      </c>
      <c r="F223">
        <v>3.39</v>
      </c>
      <c r="G223">
        <v>4</v>
      </c>
      <c r="H223">
        <v>79.5</v>
      </c>
      <c r="I223">
        <v>27.4</v>
      </c>
      <c r="J223">
        <f>1.76 * F223 * SQRT(29000 / Dashboard!$B$8) / 12</f>
        <v>11.974161649151059</v>
      </c>
      <c r="K223">
        <f>1.95 * G223 * (29000 / (0.7 * Dashboard!$B$8)) / 12 * SQRT((H223*1)/(E223*I223) + SQRT(((H223*1)/(E223*I223))^2 + 6.76*((0.7*Dashboard!$B$8)/29000)^2))</f>
        <v>49.105578383277106</v>
      </c>
      <c r="L223">
        <f>Dashboard!$B$8 * D223 / 12</f>
        <v>3900</v>
      </c>
      <c r="M223">
        <f>(Dashboard!$B$9 * PI()^2 * 29000 / ((Dashboard!$B$5*12)/G223)^2) * SQRT(1 + 0.078 * (H223*1)/(E223*I223) * ((Dashboard!$B$5*12)/G223)^2)</f>
        <v>2027.0264230526298</v>
      </c>
      <c r="N223">
        <f>MIN( IF(Dashboard!$B$5 &lt;= J223, L223, IF(Dashboard!$B$5 &lt;= K223, Dashboard!$B$9 * (L223 - (L223 - 0.7*Dashboard!$B$8*E223/12) * ((Dashboard!$B$5 - J223)/(K223 - J223))), M223 * E223 / 12) ), L223 )</f>
        <v>3900</v>
      </c>
      <c r="O223">
        <f t="shared" si="6"/>
        <v>2335.3293413173656</v>
      </c>
      <c r="P223" t="str">
        <f>IF(AND(O223 &gt;= Dashboard!$B$11, C223 &lt;= Dashboard!$B$6), "Pass", "Fail")</f>
        <v>Fail</v>
      </c>
      <c r="Q223">
        <f t="shared" si="7"/>
        <v>9999999</v>
      </c>
    </row>
    <row r="224" spans="1:17" x14ac:dyDescent="0.25">
      <c r="A224" t="s">
        <v>239</v>
      </c>
      <c r="B224">
        <v>282</v>
      </c>
      <c r="C224">
        <v>37.1</v>
      </c>
      <c r="D224">
        <v>1190</v>
      </c>
      <c r="E224">
        <v>1050</v>
      </c>
      <c r="F224">
        <v>3.8</v>
      </c>
      <c r="G224">
        <v>4.5</v>
      </c>
      <c r="H224">
        <v>52.7</v>
      </c>
      <c r="I224">
        <v>35.5</v>
      </c>
      <c r="J224">
        <f>1.76 * F224 * SQRT(29000 / Dashboard!$B$8) / 12</f>
        <v>13.422364090493813</v>
      </c>
      <c r="K224">
        <f>1.95 * G224 * (29000 / (0.7 * Dashboard!$B$8)) / 12 * SQRT((H224*1)/(E224*I224) + SQRT(((H224*1)/(E224*I224))^2 + 6.76*((0.7*Dashboard!$B$8)/29000)^2))</f>
        <v>42.219663076742044</v>
      </c>
      <c r="L224">
        <f>Dashboard!$B$8 * D224 / 12</f>
        <v>4958.333333333333</v>
      </c>
      <c r="M224">
        <f>(Dashboard!$B$9 * PI()^2 * 29000 / ((Dashboard!$B$5*12)/G224)^2) * SQRT(1 + 0.078 * (H224*1)/(E224*I224) * ((Dashboard!$B$5*12)/G224)^2)</f>
        <v>2531.325087755904</v>
      </c>
      <c r="N224">
        <f>MIN( IF(Dashboard!$B$5 &lt;= J224, L224, IF(Dashboard!$B$5 &lt;= K224, Dashboard!$B$9 * (L224 - (L224 - 0.7*Dashboard!$B$8*E224/12) * ((Dashboard!$B$5 - J224)/(K224 - J224))), M224 * E224 / 12) ), L224 )</f>
        <v>4958.333333333333</v>
      </c>
      <c r="O224">
        <f t="shared" si="6"/>
        <v>2969.0618762475051</v>
      </c>
      <c r="P224" t="str">
        <f>IF(AND(O224 &gt;= Dashboard!$B$11, C224 &lt;= Dashboard!$B$6), "Pass", "Fail")</f>
        <v>Fail</v>
      </c>
      <c r="Q224">
        <f t="shared" si="7"/>
        <v>9999999</v>
      </c>
    </row>
    <row r="225" spans="1:17" x14ac:dyDescent="0.25">
      <c r="A225" t="s">
        <v>240</v>
      </c>
      <c r="B225">
        <v>283</v>
      </c>
      <c r="C225">
        <v>21.9</v>
      </c>
      <c r="D225">
        <v>676</v>
      </c>
      <c r="E225">
        <v>565</v>
      </c>
      <c r="F225">
        <v>2.91</v>
      </c>
      <c r="G225">
        <v>3.47</v>
      </c>
      <c r="H225">
        <v>134</v>
      </c>
      <c r="I225">
        <v>19.399999999999999</v>
      </c>
      <c r="J225">
        <f>1.76 * F225 * SQRT(29000 / Dashboard!$B$8) / 12</f>
        <v>10.278705132457103</v>
      </c>
      <c r="K225">
        <f>1.95 * G225 * (29000 / (0.7 * Dashboard!$B$8)) / 12 * SQRT((H225*1)/(E225*I225) + SQRT(((H225*1)/(E225*I225))^2 + 6.76*((0.7*Dashboard!$B$8)/29000)^2))</f>
        <v>73.645539818774054</v>
      </c>
      <c r="L225">
        <f>Dashboard!$B$8 * D225 / 12</f>
        <v>2816.6666666666665</v>
      </c>
      <c r="M225">
        <f>(Dashboard!$B$9 * PI()^2 * 29000 / ((Dashboard!$B$5*12)/G225)^2) * SQRT(1 + 0.078 * (H225*1)/(E225*I225) * ((Dashboard!$B$5*12)/G225)^2)</f>
        <v>1626.551577210402</v>
      </c>
      <c r="N225">
        <f>MIN( IF(Dashboard!$B$5 &lt;= J225, L225, IF(Dashboard!$B$5 &lt;= K225, Dashboard!$B$9 * (L225 - (L225 - 0.7*Dashboard!$B$8*E225/12) * ((Dashboard!$B$5 - J225)/(K225 - J225))), M225 * E225 / 12) ), L225 )</f>
        <v>2816.6666666666665</v>
      </c>
      <c r="O225">
        <f t="shared" si="6"/>
        <v>1686.6267465069859</v>
      </c>
      <c r="P225" t="str">
        <f>IF(AND(O225 &gt;= Dashboard!$B$11, C225 &lt;= Dashboard!$B$6), "Pass", "Fail")</f>
        <v>Fail</v>
      </c>
      <c r="Q225">
        <f t="shared" si="7"/>
        <v>9999999</v>
      </c>
    </row>
    <row r="226" spans="1:17" x14ac:dyDescent="0.25">
      <c r="A226" t="s">
        <v>241</v>
      </c>
      <c r="B226">
        <v>283</v>
      </c>
      <c r="C226">
        <v>16.7</v>
      </c>
      <c r="D226">
        <v>542</v>
      </c>
      <c r="E226">
        <v>459</v>
      </c>
      <c r="F226">
        <v>4.17</v>
      </c>
      <c r="G226">
        <v>4.8</v>
      </c>
      <c r="H226">
        <v>104</v>
      </c>
      <c r="I226">
        <v>14.6</v>
      </c>
      <c r="J226">
        <f>1.76 * F226 * SQRT(29000 / Dashboard!$B$8) / 12</f>
        <v>14.729278488778737</v>
      </c>
      <c r="K226">
        <f>1.95 * G226 * (29000 / (0.7 * Dashboard!$B$8)) / 12 * SQRT((H226*1)/(E226*I226) + SQRT(((H226*1)/(E226*I226))^2 + 6.76*((0.7*Dashboard!$B$8)/29000)^2))</f>
        <v>114.43519901135032</v>
      </c>
      <c r="L226">
        <f>Dashboard!$B$8 * D226 / 12</f>
        <v>2258.3333333333335</v>
      </c>
      <c r="M226">
        <f>(Dashboard!$B$9 * PI()^2 * 29000 / ((Dashboard!$B$5*12)/G226)^2) * SQRT(1 + 0.078 * (H226*1)/(E226*I226) * ((Dashboard!$B$5*12)/G226)^2)</f>
        <v>3030.4708129466621</v>
      </c>
      <c r="N226">
        <f>MIN( IF(Dashboard!$B$5 &lt;= J226, L226, IF(Dashboard!$B$5 &lt;= K226, Dashboard!$B$9 * (L226 - (L226 - 0.7*Dashboard!$B$8*E226/12) * ((Dashboard!$B$5 - J226)/(K226 - J226))), M226 * E226 / 12) ), L226 )</f>
        <v>2258.3333333333335</v>
      </c>
      <c r="O226">
        <f t="shared" si="6"/>
        <v>1352.2954091816368</v>
      </c>
      <c r="P226" t="str">
        <f>IF(AND(O226 &gt;= Dashboard!$B$11, C226 &lt;= Dashboard!$B$6), "Pass", "Fail")</f>
        <v>Fail</v>
      </c>
      <c r="Q226">
        <f t="shared" si="7"/>
        <v>9999999</v>
      </c>
    </row>
    <row r="227" spans="1:17" x14ac:dyDescent="0.25">
      <c r="A227" t="s">
        <v>242</v>
      </c>
      <c r="B227">
        <v>286</v>
      </c>
      <c r="C227">
        <v>37.799999999999997</v>
      </c>
      <c r="D227">
        <v>1160</v>
      </c>
      <c r="E227">
        <v>1000</v>
      </c>
      <c r="F227">
        <v>2.68</v>
      </c>
      <c r="G227">
        <v>3.29</v>
      </c>
      <c r="H227">
        <v>72.8</v>
      </c>
      <c r="I227">
        <v>35.9</v>
      </c>
      <c r="J227">
        <f>1.76 * F227 * SQRT(29000 / Dashboard!$B$8) / 12</f>
        <v>9.4662988848745844</v>
      </c>
      <c r="K227">
        <f>1.95 * G227 * (29000 / (0.7 * Dashboard!$B$8)) / 12 * SQRT((H227*1)/(E227*I227) + SQRT(((H227*1)/(E227*I227))^2 + 6.76*((0.7*Dashboard!$B$8)/29000)^2))</f>
        <v>33.631121578461972</v>
      </c>
      <c r="L227">
        <f>Dashboard!$B$8 * D227 / 12</f>
        <v>4833.333333333333</v>
      </c>
      <c r="M227">
        <f>(Dashboard!$B$9 * PI()^2 * 29000 / ((Dashboard!$B$5*12)/G227)^2) * SQRT(1 + 0.078 * (H227*1)/(E227*I227) * ((Dashboard!$B$5*12)/G227)^2)</f>
        <v>1367.0918051619367</v>
      </c>
      <c r="N227">
        <f>MIN( IF(Dashboard!$B$5 &lt;= J227, L227, IF(Dashboard!$B$5 &lt;= K227, Dashboard!$B$9 * (L227 - (L227 - 0.7*Dashboard!$B$8*E227/12) * ((Dashboard!$B$5 - J227)/(K227 - J227))), M227 * E227 / 12) ), L227 )</f>
        <v>4833.333333333333</v>
      </c>
      <c r="O227">
        <f t="shared" si="6"/>
        <v>2894.2115768463073</v>
      </c>
      <c r="P227" t="str">
        <f>IF(AND(O227 &gt;= Dashboard!$B$11, C227 &lt;= Dashboard!$B$6), "Pass", "Fail")</f>
        <v>Fail</v>
      </c>
      <c r="Q227">
        <f t="shared" si="7"/>
        <v>9999999</v>
      </c>
    </row>
    <row r="228" spans="1:17" x14ac:dyDescent="0.25">
      <c r="A228" t="s">
        <v>243</v>
      </c>
      <c r="B228">
        <v>290</v>
      </c>
      <c r="C228">
        <v>43.6</v>
      </c>
      <c r="D228">
        <v>1410</v>
      </c>
      <c r="E228">
        <v>1240</v>
      </c>
      <c r="F228">
        <v>3.49</v>
      </c>
      <c r="G228">
        <v>4.2</v>
      </c>
      <c r="H228">
        <v>50.9</v>
      </c>
      <c r="I228">
        <v>42</v>
      </c>
      <c r="J228">
        <f>1.76 * F228 * SQRT(29000 / Dashboard!$B$8) / 12</f>
        <v>12.327381756795633</v>
      </c>
      <c r="K228">
        <f>1.95 * G228 * (29000 / (0.7 * Dashboard!$B$8)) / 12 * SQRT((H228*1)/(E228*I228) + SQRT(((H228*1)/(E228*I228))^2 + 6.76*((0.7*Dashboard!$B$8)/29000)^2))</f>
        <v>36.926557696492985</v>
      </c>
      <c r="L228">
        <f>Dashboard!$B$8 * D228 / 12</f>
        <v>5875</v>
      </c>
      <c r="M228">
        <f>(Dashboard!$B$9 * PI()^2 * 29000 / ((Dashboard!$B$5*12)/G228)^2) * SQRT(1 + 0.078 * (H228*1)/(E228*I228) * ((Dashboard!$B$5*12)/G228)^2)</f>
        <v>2202.2431882792098</v>
      </c>
      <c r="N228">
        <f>MIN( IF(Dashboard!$B$5 &lt;= J228, L228, IF(Dashboard!$B$5 &lt;= K228, Dashboard!$B$9 * (L228 - (L228 - 0.7*Dashboard!$B$8*E228/12) * ((Dashboard!$B$5 - J228)/(K228 - J228))), M228 * E228 / 12) ), L228 )</f>
        <v>5875</v>
      </c>
      <c r="O228">
        <f t="shared" si="6"/>
        <v>3517.9640718562878</v>
      </c>
      <c r="P228" t="str">
        <f>IF(AND(O228 &gt;= Dashboard!$B$11, C228 &lt;= Dashboard!$B$6), "Pass", "Fail")</f>
        <v>Fail</v>
      </c>
      <c r="Q228">
        <f t="shared" si="7"/>
        <v>9999999</v>
      </c>
    </row>
    <row r="229" spans="1:17" x14ac:dyDescent="0.25">
      <c r="A229" t="s">
        <v>244</v>
      </c>
      <c r="B229">
        <v>291</v>
      </c>
      <c r="C229">
        <v>34.799999999999997</v>
      </c>
      <c r="D229">
        <v>1160</v>
      </c>
      <c r="E229">
        <v>1020</v>
      </c>
      <c r="F229">
        <v>3.68</v>
      </c>
      <c r="G229">
        <v>4.34</v>
      </c>
      <c r="H229">
        <v>65.099999999999994</v>
      </c>
      <c r="I229">
        <v>33.1</v>
      </c>
      <c r="J229">
        <f>1.76 * F229 * SQRT(29000 / Dashboard!$B$8) / 12</f>
        <v>12.998499961320322</v>
      </c>
      <c r="K229">
        <f>1.95 * G229 * (29000 / (0.7 * Dashboard!$B$8)) / 12 * SQRT((H229*1)/(E229*I229) + SQRT(((H229*1)/(E229*I229))^2 + 6.76*((0.7*Dashboard!$B$8)/29000)^2))</f>
        <v>43.772517423379512</v>
      </c>
      <c r="L229">
        <f>Dashboard!$B$8 * D229 / 12</f>
        <v>4833.333333333333</v>
      </c>
      <c r="M229">
        <f>(Dashboard!$B$9 * PI()^2 * 29000 / ((Dashboard!$B$5*12)/G229)^2) * SQRT(1 + 0.078 * (H229*1)/(E229*I229) * ((Dashboard!$B$5*12)/G229)^2)</f>
        <v>2361.3116740368187</v>
      </c>
      <c r="N229">
        <f>MIN( IF(Dashboard!$B$5 &lt;= J229, L229, IF(Dashboard!$B$5 &lt;= K229, Dashboard!$B$9 * (L229 - (L229 - 0.7*Dashboard!$B$8*E229/12) * ((Dashboard!$B$5 - J229)/(K229 - J229))), M229 * E229 / 12) ), L229 )</f>
        <v>4833.333333333333</v>
      </c>
      <c r="O229">
        <f t="shared" si="6"/>
        <v>2894.2115768463073</v>
      </c>
      <c r="P229" t="str">
        <f>IF(AND(O229 &gt;= Dashboard!$B$11, C229 &lt;= Dashboard!$B$6), "Pass", "Fail")</f>
        <v>Fail</v>
      </c>
      <c r="Q229">
        <f t="shared" si="7"/>
        <v>9999999</v>
      </c>
    </row>
    <row r="230" spans="1:17" x14ac:dyDescent="0.25">
      <c r="A230" t="s">
        <v>245</v>
      </c>
      <c r="B230">
        <v>292</v>
      </c>
      <c r="C230">
        <v>32</v>
      </c>
      <c r="D230">
        <v>1060</v>
      </c>
      <c r="E230">
        <v>930</v>
      </c>
      <c r="F230">
        <v>3.58</v>
      </c>
      <c r="G230">
        <v>4.22</v>
      </c>
      <c r="H230">
        <v>75.2</v>
      </c>
      <c r="I230">
        <v>30.2</v>
      </c>
      <c r="J230">
        <f>1.76 * F230 * SQRT(29000 / Dashboard!$B$8) / 12</f>
        <v>12.645279853675747</v>
      </c>
      <c r="K230">
        <f>1.95 * G230 * (29000 / (0.7 * Dashboard!$B$8)) / 12 * SQRT((H230*1)/(E230*I230) + SQRT(((H230*1)/(E230*I230))^2 + 6.76*((0.7*Dashboard!$B$8)/29000)^2))</f>
        <v>46.862938703263282</v>
      </c>
      <c r="L230">
        <f>Dashboard!$B$8 * D230 / 12</f>
        <v>4416.666666666667</v>
      </c>
      <c r="M230">
        <f>(Dashboard!$B$9 * PI()^2 * 29000 / ((Dashboard!$B$5*12)/G230)^2) * SQRT(1 + 0.078 * (H230*1)/(E230*I230) * ((Dashboard!$B$5*12)/G230)^2)</f>
        <v>2241.968737050724</v>
      </c>
      <c r="N230">
        <f>MIN( IF(Dashboard!$B$5 &lt;= J230, L230, IF(Dashboard!$B$5 &lt;= K230, Dashboard!$B$9 * (L230 - (L230 - 0.7*Dashboard!$B$8*E230/12) * ((Dashboard!$B$5 - J230)/(K230 - J230))), M230 * E230 / 12) ), L230 )</f>
        <v>4416.666666666667</v>
      </c>
      <c r="O230">
        <f t="shared" si="6"/>
        <v>2644.7105788423155</v>
      </c>
      <c r="P230" t="str">
        <f>IF(AND(O230 &gt;= Dashboard!$B$11, C230 &lt;= Dashboard!$B$6), "Pass", "Fail")</f>
        <v>Fail</v>
      </c>
      <c r="Q230">
        <f t="shared" si="7"/>
        <v>9999999</v>
      </c>
    </row>
    <row r="231" spans="1:17" x14ac:dyDescent="0.25">
      <c r="A231" t="s">
        <v>246</v>
      </c>
      <c r="B231">
        <v>294</v>
      </c>
      <c r="C231">
        <v>40.4</v>
      </c>
      <c r="D231">
        <v>1270</v>
      </c>
      <c r="E231">
        <v>1080</v>
      </c>
      <c r="F231">
        <v>2.5499999999999998</v>
      </c>
      <c r="G231">
        <v>3.16</v>
      </c>
      <c r="H231">
        <v>76.599999999999994</v>
      </c>
      <c r="I231">
        <v>38.5</v>
      </c>
      <c r="J231">
        <f>1.76 * F231 * SQRT(29000 / Dashboard!$B$8) / 12</f>
        <v>9.0071127449366362</v>
      </c>
      <c r="K231">
        <f>1.95 * G231 * (29000 / (0.7 * Dashboard!$B$8)) / 12 * SQRT((H231*1)/(E231*I231) + SQRT(((H231*1)/(E231*I231))^2 + 6.76*((0.7*Dashboard!$B$8)/29000)^2))</f>
        <v>31.499175775274516</v>
      </c>
      <c r="L231">
        <f>Dashboard!$B$8 * D231 / 12</f>
        <v>5291.666666666667</v>
      </c>
      <c r="M231">
        <f>(Dashboard!$B$9 * PI()^2 * 29000 / ((Dashboard!$B$5*12)/G231)^2) * SQRT(1 + 0.078 * (H231*1)/(E231*I231) * ((Dashboard!$B$5*12)/G231)^2)</f>
        <v>1260.8753234211031</v>
      </c>
      <c r="N231">
        <f>MIN( IF(Dashboard!$B$5 &lt;= J231, L231, IF(Dashboard!$B$5 &lt;= K231, Dashboard!$B$9 * (L231 - (L231 - 0.7*Dashboard!$B$8*E231/12) * ((Dashboard!$B$5 - J231)/(K231 - J231))), M231 * E231 / 12) ), L231 )</f>
        <v>5291.666666666667</v>
      </c>
      <c r="O231">
        <f t="shared" si="6"/>
        <v>3168.662674650699</v>
      </c>
      <c r="P231" t="str">
        <f>IF(AND(O231 &gt;= Dashboard!$B$11, C231 &lt;= Dashboard!$B$6), "Pass", "Fail")</f>
        <v>Fail</v>
      </c>
      <c r="Q231">
        <f t="shared" si="7"/>
        <v>9999999</v>
      </c>
    </row>
    <row r="232" spans="1:17" x14ac:dyDescent="0.25">
      <c r="A232" t="s">
        <v>247</v>
      </c>
      <c r="B232">
        <v>297</v>
      </c>
      <c r="C232">
        <v>39.799999999999997</v>
      </c>
      <c r="D232">
        <v>1330</v>
      </c>
      <c r="E232">
        <v>1170</v>
      </c>
      <c r="F232">
        <v>3.54</v>
      </c>
      <c r="G232">
        <v>4.22</v>
      </c>
      <c r="H232">
        <v>61.2</v>
      </c>
      <c r="I232">
        <v>38.200000000000003</v>
      </c>
      <c r="J232">
        <f>1.76 * F232 * SQRT(29000 / Dashboard!$B$8) / 12</f>
        <v>12.50399181061792</v>
      </c>
      <c r="K232">
        <f>1.95 * G232 * (29000 / (0.7 * Dashboard!$B$8)) / 12 * SQRT((H232*1)/(E232*I232) + SQRT(((H232*1)/(E232*I232))^2 + 6.76*((0.7*Dashboard!$B$8)/29000)^2))</f>
        <v>39.336829649692419</v>
      </c>
      <c r="L232">
        <f>Dashboard!$B$8 * D232 / 12</f>
        <v>5541.666666666667</v>
      </c>
      <c r="M232">
        <f>(Dashboard!$B$9 * PI()^2 * 29000 / ((Dashboard!$B$5*12)/G232)^2) * SQRT(1 + 0.078 * (H232*1)/(E232*I232) * ((Dashboard!$B$5*12)/G232)^2)</f>
        <v>2227.5129210233954</v>
      </c>
      <c r="N232">
        <f>MIN( IF(Dashboard!$B$5 &lt;= J232, L232, IF(Dashboard!$B$5 &lt;= K232, Dashboard!$B$9 * (L232 - (L232 - 0.7*Dashboard!$B$8*E232/12) * ((Dashboard!$B$5 - J232)/(K232 - J232))), M232 * E232 / 12) ), L232 )</f>
        <v>5541.666666666667</v>
      </c>
      <c r="O232">
        <f t="shared" si="6"/>
        <v>3318.3632734530943</v>
      </c>
      <c r="P232" t="str">
        <f>IF(AND(O232 &gt;= Dashboard!$B$11, C232 &lt;= Dashboard!$B$6), "Pass", "Fail")</f>
        <v>Fail</v>
      </c>
      <c r="Q232">
        <f t="shared" si="7"/>
        <v>9999999</v>
      </c>
    </row>
    <row r="233" spans="1:17" x14ac:dyDescent="0.25">
      <c r="A233" t="s">
        <v>248</v>
      </c>
      <c r="B233">
        <v>302</v>
      </c>
      <c r="C233">
        <v>37.299999999999997</v>
      </c>
      <c r="D233">
        <v>1280</v>
      </c>
      <c r="E233">
        <v>1130</v>
      </c>
      <c r="F233">
        <v>3.82</v>
      </c>
      <c r="G233">
        <v>4.53</v>
      </c>
      <c r="H233">
        <v>64.3</v>
      </c>
      <c r="I233">
        <v>35.6</v>
      </c>
      <c r="J233">
        <f>1.76 * F233 * SQRT(29000 / Dashboard!$B$8) / 12</f>
        <v>13.493008112022727</v>
      </c>
      <c r="K233">
        <f>1.95 * G233 * (29000 / (0.7 * Dashboard!$B$8)) / 12 * SQRT((H233*1)/(E233*I233) + SQRT(((H233*1)/(E233*I233))^2 + 6.76*((0.7*Dashboard!$B$8)/29000)^2))</f>
        <v>43.643019842531722</v>
      </c>
      <c r="L233">
        <f>Dashboard!$B$8 * D233 / 12</f>
        <v>5333.333333333333</v>
      </c>
      <c r="M233">
        <f>(Dashboard!$B$9 * PI()^2 * 29000 / ((Dashboard!$B$5*12)/G233)^2) * SQRT(1 + 0.078 * (H233*1)/(E233*I233) * ((Dashboard!$B$5*12)/G233)^2)</f>
        <v>2567.0256165008254</v>
      </c>
      <c r="N233">
        <f>MIN( IF(Dashboard!$B$5 &lt;= J233, L233, IF(Dashboard!$B$5 &lt;= K233, Dashboard!$B$9 * (L233 - (L233 - 0.7*Dashboard!$B$8*E233/12) * ((Dashboard!$B$5 - J233)/(K233 - J233))), M233 * E233 / 12) ), L233 )</f>
        <v>5333.333333333333</v>
      </c>
      <c r="O233">
        <f t="shared" si="6"/>
        <v>3193.6127744510977</v>
      </c>
      <c r="P233" t="str">
        <f>IF(AND(O233 &gt;= Dashboard!$B$11, C233 &lt;= Dashboard!$B$6), "Pass", "Fail")</f>
        <v>Fail</v>
      </c>
      <c r="Q233">
        <f t="shared" si="7"/>
        <v>9999999</v>
      </c>
    </row>
    <row r="234" spans="1:17" x14ac:dyDescent="0.25">
      <c r="A234" t="s">
        <v>249</v>
      </c>
      <c r="B234">
        <v>305</v>
      </c>
      <c r="C234">
        <v>16.3</v>
      </c>
      <c r="D234">
        <v>537</v>
      </c>
      <c r="E234">
        <v>435</v>
      </c>
      <c r="F234">
        <v>3.42</v>
      </c>
      <c r="G234">
        <v>4.05</v>
      </c>
      <c r="H234">
        <v>185</v>
      </c>
      <c r="I234">
        <v>13.6</v>
      </c>
      <c r="J234">
        <f>1.76 * F234 * SQRT(29000 / Dashboard!$B$8) / 12</f>
        <v>12.080127681444431</v>
      </c>
      <c r="K234">
        <f>1.95 * G234 * (29000 / (0.7 * Dashboard!$B$8)) / 12 * SQRT((H234*1)/(E234*I234) + SQRT(((H234*1)/(E234*I234))^2 + 6.76*((0.7*Dashboard!$B$8)/29000)^2))</f>
        <v>136.54308141728708</v>
      </c>
      <c r="L234">
        <f>Dashboard!$B$8 * D234 / 12</f>
        <v>2237.5</v>
      </c>
      <c r="M234">
        <f>(Dashboard!$B$9 * PI()^2 * 29000 / ((Dashboard!$B$5*12)/G234)^2) * SQRT(1 + 0.078 * (H234*1)/(E234*I234) * ((Dashboard!$B$5*12)/G234)^2)</f>
        <v>2361.0305198520341</v>
      </c>
      <c r="N234">
        <f>MIN( IF(Dashboard!$B$5 &lt;= J234, L234, IF(Dashboard!$B$5 &lt;= K234, Dashboard!$B$9 * (L234 - (L234 - 0.7*Dashboard!$B$8*E234/12) * ((Dashboard!$B$5 - J234)/(K234 - J234))), M234 * E234 / 12) ), L234 )</f>
        <v>2237.5</v>
      </c>
      <c r="O234">
        <f t="shared" si="6"/>
        <v>1339.8203592814373</v>
      </c>
      <c r="P234" t="str">
        <f>IF(AND(O234 &gt;= Dashboard!$B$11, C234 &lt;= Dashboard!$B$6), "Pass", "Fail")</f>
        <v>Fail</v>
      </c>
      <c r="Q234">
        <f t="shared" si="7"/>
        <v>9999999</v>
      </c>
    </row>
    <row r="235" spans="1:17" x14ac:dyDescent="0.25">
      <c r="A235" t="s">
        <v>250</v>
      </c>
      <c r="B235">
        <v>306</v>
      </c>
      <c r="C235">
        <v>27.1</v>
      </c>
      <c r="D235">
        <v>922</v>
      </c>
      <c r="E235">
        <v>789</v>
      </c>
      <c r="F235">
        <v>3.2</v>
      </c>
      <c r="G235">
        <v>3.81</v>
      </c>
      <c r="H235">
        <v>117</v>
      </c>
      <c r="I235">
        <v>24.8</v>
      </c>
      <c r="J235">
        <f>1.76 * F235 * SQRT(29000 / Dashboard!$B$8) / 12</f>
        <v>11.303043444626368</v>
      </c>
      <c r="K235">
        <f>1.95 * G235 * (29000 / (0.7 * Dashboard!$B$8)) / 12 * SQRT((H235*1)/(E235*I235) + SQRT(((H235*1)/(E235*I235))^2 + 6.76*((0.7*Dashboard!$B$8)/29000)^2))</f>
        <v>57.884093184079369</v>
      </c>
      <c r="L235">
        <f>Dashboard!$B$8 * D235 / 12</f>
        <v>3841.6666666666665</v>
      </c>
      <c r="M235">
        <f>(Dashboard!$B$9 * PI()^2 * 29000 / ((Dashboard!$B$5*12)/G235)^2) * SQRT(1 + 0.078 * (H235*1)/(E235*I235) * ((Dashboard!$B$5*12)/G235)^2)</f>
        <v>1868.8421388027973</v>
      </c>
      <c r="N235">
        <f>MIN( IF(Dashboard!$B$5 &lt;= J235, L235, IF(Dashboard!$B$5 &lt;= K235, Dashboard!$B$9 * (L235 - (L235 - 0.7*Dashboard!$B$8*E235/12) * ((Dashboard!$B$5 - J235)/(K235 - J235))), M235 * E235 / 12) ), L235 )</f>
        <v>3841.6666666666665</v>
      </c>
      <c r="O235">
        <f t="shared" si="6"/>
        <v>2300.3992015968065</v>
      </c>
      <c r="P235" t="str">
        <f>IF(AND(O235 &gt;= Dashboard!$B$11, C235 &lt;= Dashboard!$B$6), "Pass", "Fail")</f>
        <v>Fail</v>
      </c>
      <c r="Q235">
        <f t="shared" si="7"/>
        <v>9999999</v>
      </c>
    </row>
    <row r="236" spans="1:17" x14ac:dyDescent="0.25">
      <c r="A236" t="s">
        <v>251</v>
      </c>
      <c r="B236">
        <v>307</v>
      </c>
      <c r="C236">
        <v>29.6</v>
      </c>
      <c r="D236">
        <v>1030</v>
      </c>
      <c r="E236">
        <v>887</v>
      </c>
      <c r="F236">
        <v>3.41</v>
      </c>
      <c r="G236">
        <v>4.04</v>
      </c>
      <c r="H236">
        <v>101</v>
      </c>
      <c r="I236">
        <v>27.5</v>
      </c>
      <c r="J236">
        <f>1.76 * F236 * SQRT(29000 / Dashboard!$B$8) / 12</f>
        <v>12.044805670679976</v>
      </c>
      <c r="K236">
        <f>1.95 * G236 * (29000 / (0.7 * Dashboard!$B$8)) / 12 * SQRT((H236*1)/(E236*I236) + SQRT(((H236*1)/(E236*I236))^2 + 6.76*((0.7*Dashboard!$B$8)/29000)^2))</f>
        <v>52.558574006044971</v>
      </c>
      <c r="L236">
        <f>Dashboard!$B$8 * D236 / 12</f>
        <v>4291.666666666667</v>
      </c>
      <c r="M236">
        <f>(Dashboard!$B$9 * PI()^2 * 29000 / ((Dashboard!$B$5*12)/G236)^2) * SQRT(1 + 0.078 * (H236*1)/(E236*I236) * ((Dashboard!$B$5*12)/G236)^2)</f>
        <v>2073.2846067254145</v>
      </c>
      <c r="N236">
        <f>MIN( IF(Dashboard!$B$5 &lt;= J236, L236, IF(Dashboard!$B$5 &lt;= K236, Dashboard!$B$9 * (L236 - (L236 - 0.7*Dashboard!$B$8*E236/12) * ((Dashboard!$B$5 - J236)/(K236 - J236))), M236 * E236 / 12) ), L236 )</f>
        <v>4291.666666666667</v>
      </c>
      <c r="O236">
        <f t="shared" si="6"/>
        <v>2569.8602794411181</v>
      </c>
      <c r="P236" t="str">
        <f>IF(AND(O236 &gt;= Dashboard!$B$11, C236 &lt;= Dashboard!$B$6), "Pass", "Fail")</f>
        <v>Fail</v>
      </c>
      <c r="Q236">
        <f t="shared" si="7"/>
        <v>9999999</v>
      </c>
    </row>
    <row r="237" spans="1:17" x14ac:dyDescent="0.25">
      <c r="A237" t="s">
        <v>252</v>
      </c>
      <c r="B237">
        <v>311</v>
      </c>
      <c r="C237">
        <v>22.3</v>
      </c>
      <c r="D237">
        <v>754</v>
      </c>
      <c r="E237">
        <v>624</v>
      </c>
      <c r="F237">
        <v>2.95</v>
      </c>
      <c r="G237">
        <v>3.53</v>
      </c>
      <c r="H237">
        <v>176</v>
      </c>
      <c r="I237">
        <v>19.600000000000001</v>
      </c>
      <c r="J237">
        <f>1.76 * F237 * SQRT(29000 / Dashboard!$B$8) / 12</f>
        <v>10.419993175514934</v>
      </c>
      <c r="K237">
        <f>1.95 * G237 * (29000 / (0.7 * Dashboard!$B$8)) / 12 * SQRT((H237*1)/(E237*I237) + SQRT(((H237*1)/(E237*I237))^2 + 6.76*((0.7*Dashboard!$B$8)/29000)^2))</f>
        <v>81.104596797064602</v>
      </c>
      <c r="L237">
        <f>Dashboard!$B$8 * D237 / 12</f>
        <v>3141.6666666666665</v>
      </c>
      <c r="M237">
        <f>(Dashboard!$B$9 * PI()^2 * 29000 / ((Dashboard!$B$5*12)/G237)^2) * SQRT(1 + 0.078 * (H237*1)/(E237*I237) * ((Dashboard!$B$5*12)/G237)^2)</f>
        <v>1701.0428678677015</v>
      </c>
      <c r="N237">
        <f>MIN( IF(Dashboard!$B$5 &lt;= J237, L237, IF(Dashboard!$B$5 &lt;= K237, Dashboard!$B$9 * (L237 - (L237 - 0.7*Dashboard!$B$8*E237/12) * ((Dashboard!$B$5 - J237)/(K237 - J237))), M237 * E237 / 12) ), L237 )</f>
        <v>3141.6666666666665</v>
      </c>
      <c r="O237">
        <f t="shared" si="6"/>
        <v>1881.2375249500999</v>
      </c>
      <c r="P237" t="str">
        <f>IF(AND(O237 &gt;= Dashboard!$B$11, C237 &lt;= Dashboard!$B$6), "Pass", "Fail")</f>
        <v>Fail</v>
      </c>
      <c r="Q237">
        <f t="shared" si="7"/>
        <v>9999999</v>
      </c>
    </row>
    <row r="238" spans="1:17" x14ac:dyDescent="0.25">
      <c r="A238" t="s">
        <v>253</v>
      </c>
      <c r="B238">
        <v>311</v>
      </c>
      <c r="C238">
        <v>17.100000000000001</v>
      </c>
      <c r="D238">
        <v>603</v>
      </c>
      <c r="E238">
        <v>506</v>
      </c>
      <c r="F238">
        <v>4.2</v>
      </c>
      <c r="G238">
        <v>4.87</v>
      </c>
      <c r="H238">
        <v>136</v>
      </c>
      <c r="I238">
        <v>14.8</v>
      </c>
      <c r="J238">
        <f>1.76 * F238 * SQRT(29000 / Dashboard!$B$8) / 12</f>
        <v>14.835244521072108</v>
      </c>
      <c r="K238">
        <f>1.95 * G238 * (29000 / (0.7 * Dashboard!$B$8)) / 12 * SQRT((H238*1)/(E238*I238) + SQRT(((H238*1)/(E238*I238))^2 + 6.76*((0.7*Dashboard!$B$8)/29000)^2))</f>
        <v>125.42772885690179</v>
      </c>
      <c r="L238">
        <f>Dashboard!$B$8 * D238 / 12</f>
        <v>2512.5</v>
      </c>
      <c r="M238">
        <f>(Dashboard!$B$9 * PI()^2 * 29000 / ((Dashboard!$B$5*12)/G238)^2) * SQRT(1 + 0.078 * (H238*1)/(E238*I238) * ((Dashboard!$B$5*12)/G238)^2)</f>
        <v>3142.4591413302787</v>
      </c>
      <c r="N238">
        <f>MIN( IF(Dashboard!$B$5 &lt;= J238, L238, IF(Dashboard!$B$5 &lt;= K238, Dashboard!$B$9 * (L238 - (L238 - 0.7*Dashboard!$B$8*E238/12) * ((Dashboard!$B$5 - J238)/(K238 - J238))), M238 * E238 / 12) ), L238 )</f>
        <v>2512.5</v>
      </c>
      <c r="O238">
        <f t="shared" si="6"/>
        <v>1504.4910179640719</v>
      </c>
      <c r="P238" t="str">
        <f>IF(AND(O238 &gt;= Dashboard!$B$11, C238 &lt;= Dashboard!$B$6), "Pass", "Fail")</f>
        <v>Fail</v>
      </c>
      <c r="Q238">
        <f t="shared" si="7"/>
        <v>9999999</v>
      </c>
    </row>
    <row r="239" spans="1:17" x14ac:dyDescent="0.25">
      <c r="A239" t="s">
        <v>254</v>
      </c>
      <c r="B239">
        <v>318</v>
      </c>
      <c r="C239">
        <v>38.200000000000003</v>
      </c>
      <c r="D239">
        <v>1300</v>
      </c>
      <c r="E239">
        <v>1110</v>
      </c>
      <c r="F239">
        <v>2.7</v>
      </c>
      <c r="G239">
        <v>3.33</v>
      </c>
      <c r="H239">
        <v>98.3</v>
      </c>
      <c r="I239">
        <v>36.1</v>
      </c>
      <c r="J239">
        <f>1.76 * F239 * SQRT(29000 / Dashboard!$B$8) / 12</f>
        <v>9.5369429064034996</v>
      </c>
      <c r="K239">
        <f>1.95 * G239 * (29000 / (0.7 * Dashboard!$B$8)) / 12 * SQRT((H239*1)/(E239*I239) + SQRT(((H239*1)/(E239*I239))^2 + 6.76*((0.7*Dashboard!$B$8)/29000)^2))</f>
        <v>35.970090122429056</v>
      </c>
      <c r="L239">
        <f>Dashboard!$B$8 * D239 / 12</f>
        <v>5416.666666666667</v>
      </c>
      <c r="M239">
        <f>(Dashboard!$B$9 * PI()^2 * 29000 / ((Dashboard!$B$5*12)/G239)^2) * SQRT(1 + 0.078 * (H239*1)/(E239*I239) * ((Dashboard!$B$5*12)/G239)^2)</f>
        <v>1404.6548733392219</v>
      </c>
      <c r="N239">
        <f>MIN( IF(Dashboard!$B$5 &lt;= J239, L239, IF(Dashboard!$B$5 &lt;= K239, Dashboard!$B$9 * (L239 - (L239 - 0.7*Dashboard!$B$8*E239/12) * ((Dashboard!$B$5 - J239)/(K239 - J239))), M239 * E239 / 12) ), L239 )</f>
        <v>5416.666666666667</v>
      </c>
      <c r="O239">
        <f t="shared" si="6"/>
        <v>3243.5129740518964</v>
      </c>
      <c r="P239" t="str">
        <f>IF(AND(O239 &gt;= Dashboard!$B$11, C239 &lt;= Dashboard!$B$6), "Pass", "Fail")</f>
        <v>Fail</v>
      </c>
      <c r="Q239">
        <f t="shared" si="7"/>
        <v>9999999</v>
      </c>
    </row>
    <row r="240" spans="1:17" x14ac:dyDescent="0.25">
      <c r="A240" t="s">
        <v>255</v>
      </c>
      <c r="B240">
        <v>318</v>
      </c>
      <c r="C240">
        <v>35.200000000000003</v>
      </c>
      <c r="D240">
        <v>1270</v>
      </c>
      <c r="E240">
        <v>1110</v>
      </c>
      <c r="F240">
        <v>3.71</v>
      </c>
      <c r="G240">
        <v>4.4000000000000004</v>
      </c>
      <c r="H240">
        <v>84.4</v>
      </c>
      <c r="I240">
        <v>33.299999999999997</v>
      </c>
      <c r="J240">
        <f>1.76 * F240 * SQRT(29000 / Dashboard!$B$8) / 12</f>
        <v>13.104465993613696</v>
      </c>
      <c r="K240">
        <f>1.95 * G240 * (29000 / (0.7 * Dashboard!$B$8)) / 12 * SQRT((H240*1)/(E240*I240) + SQRT(((H240*1)/(E240*I240))^2 + 6.76*((0.7*Dashboard!$B$8)/29000)^2))</f>
        <v>46.512747584145011</v>
      </c>
      <c r="L240">
        <f>Dashboard!$B$8 * D240 / 12</f>
        <v>5291.666666666667</v>
      </c>
      <c r="M240">
        <f>(Dashboard!$B$9 * PI()^2 * 29000 / ((Dashboard!$B$5*12)/G240)^2) * SQRT(1 + 0.078 * (H240*1)/(E240*I240) * ((Dashboard!$B$5*12)/G240)^2)</f>
        <v>2430.3851440805906</v>
      </c>
      <c r="N240">
        <f>MIN( IF(Dashboard!$B$5 &lt;= J240, L240, IF(Dashboard!$B$5 &lt;= K240, Dashboard!$B$9 * (L240 - (L240 - 0.7*Dashboard!$B$8*E240/12) * ((Dashboard!$B$5 - J240)/(K240 - J240))), M240 * E240 / 12) ), L240 )</f>
        <v>5291.666666666667</v>
      </c>
      <c r="O240">
        <f t="shared" si="6"/>
        <v>3168.662674650699</v>
      </c>
      <c r="P240" t="str">
        <f>IF(AND(O240 &gt;= Dashboard!$B$11, C240 &lt;= Dashboard!$B$6), "Pass", "Fail")</f>
        <v>Fail</v>
      </c>
      <c r="Q240">
        <f t="shared" si="7"/>
        <v>9999999</v>
      </c>
    </row>
    <row r="241" spans="1:17" x14ac:dyDescent="0.25">
      <c r="A241" t="s">
        <v>256</v>
      </c>
      <c r="B241">
        <v>324</v>
      </c>
      <c r="C241">
        <v>40.200000000000003</v>
      </c>
      <c r="D241">
        <v>1460</v>
      </c>
      <c r="E241">
        <v>1280</v>
      </c>
      <c r="F241">
        <v>3.58</v>
      </c>
      <c r="G241">
        <v>4.2699999999999996</v>
      </c>
      <c r="H241">
        <v>79.400000000000006</v>
      </c>
      <c r="I241">
        <v>38.4</v>
      </c>
      <c r="J241">
        <f>1.76 * F241 * SQRT(29000 / Dashboard!$B$8) / 12</f>
        <v>12.645279853675747</v>
      </c>
      <c r="K241">
        <f>1.95 * G241 * (29000 / (0.7 * Dashboard!$B$8)) / 12 * SQRT((H241*1)/(E241*I241) + SQRT(((H241*1)/(E241*I241))^2 + 6.76*((0.7*Dashboard!$B$8)/29000)^2))</f>
        <v>41.237474575539039</v>
      </c>
      <c r="L241">
        <f>Dashboard!$B$8 * D241 / 12</f>
        <v>6083.333333333333</v>
      </c>
      <c r="M241">
        <f>(Dashboard!$B$9 * PI()^2 * 29000 / ((Dashboard!$B$5*12)/G241)^2) * SQRT(1 + 0.078 * (H241*1)/(E241*I241) * ((Dashboard!$B$5*12)/G241)^2)</f>
        <v>2282.9753631483718</v>
      </c>
      <c r="N241">
        <f>MIN( IF(Dashboard!$B$5 &lt;= J241, L241, IF(Dashboard!$B$5 &lt;= K241, Dashboard!$B$9 * (L241 - (L241 - 0.7*Dashboard!$B$8*E241/12) * ((Dashboard!$B$5 - J241)/(K241 - J241))), M241 * E241 / 12) ), L241 )</f>
        <v>6083.333333333333</v>
      </c>
      <c r="O241">
        <f t="shared" si="6"/>
        <v>3642.7145708582834</v>
      </c>
      <c r="P241" t="str">
        <f>IF(AND(O241 &gt;= Dashboard!$B$11, C241 &lt;= Dashboard!$B$6), "Pass", "Fail")</f>
        <v>Fail</v>
      </c>
      <c r="Q241">
        <f t="shared" si="7"/>
        <v>9999999</v>
      </c>
    </row>
    <row r="242" spans="1:17" x14ac:dyDescent="0.25">
      <c r="A242" t="s">
        <v>257</v>
      </c>
      <c r="B242">
        <v>326</v>
      </c>
      <c r="C242">
        <v>32.4</v>
      </c>
      <c r="D242">
        <v>1190</v>
      </c>
      <c r="E242">
        <v>1040</v>
      </c>
      <c r="F242">
        <v>3.6</v>
      </c>
      <c r="G242">
        <v>4.26</v>
      </c>
      <c r="H242">
        <v>103</v>
      </c>
      <c r="I242">
        <v>30.4</v>
      </c>
      <c r="J242">
        <f>1.76 * F242 * SQRT(29000 / Dashboard!$B$8) / 12</f>
        <v>12.715923875204664</v>
      </c>
      <c r="K242">
        <f>1.95 * G242 * (29000 / (0.7 * Dashboard!$B$8)) / 12 * SQRT((H242*1)/(E242*I242) + SQRT(((H242*1)/(E242*I242))^2 + 6.76*((0.7*Dashboard!$B$8)/29000)^2))</f>
        <v>50.595791098208736</v>
      </c>
      <c r="L242">
        <f>Dashboard!$B$8 * D242 / 12</f>
        <v>4958.333333333333</v>
      </c>
      <c r="M242">
        <f>(Dashboard!$B$9 * PI()^2 * 29000 / ((Dashboard!$B$5*12)/G242)^2) * SQRT(1 + 0.078 * (H242*1)/(E242*I242) * ((Dashboard!$B$5*12)/G242)^2)</f>
        <v>2290.4952122578825</v>
      </c>
      <c r="N242">
        <f>MIN( IF(Dashboard!$B$5 &lt;= J242, L242, IF(Dashboard!$B$5 &lt;= K242, Dashboard!$B$9 * (L242 - (L242 - 0.7*Dashboard!$B$8*E242/12) * ((Dashboard!$B$5 - J242)/(K242 - J242))), M242 * E242 / 12) ), L242 )</f>
        <v>4958.333333333333</v>
      </c>
      <c r="O242">
        <f t="shared" si="6"/>
        <v>2969.0618762475051</v>
      </c>
      <c r="P242" t="str">
        <f>IF(AND(O242 &gt;= Dashboard!$B$11, C242 &lt;= Dashboard!$B$6), "Pass", "Fail")</f>
        <v>Fail</v>
      </c>
      <c r="Q242">
        <f t="shared" si="7"/>
        <v>9999999</v>
      </c>
    </row>
    <row r="243" spans="1:17" x14ac:dyDescent="0.25">
      <c r="A243" t="s">
        <v>258</v>
      </c>
      <c r="B243">
        <v>327</v>
      </c>
      <c r="C243">
        <v>40.799999999999997</v>
      </c>
      <c r="D243">
        <v>1410</v>
      </c>
      <c r="E243">
        <v>1200</v>
      </c>
      <c r="F243">
        <v>2.58</v>
      </c>
      <c r="G243">
        <v>3.21</v>
      </c>
      <c r="H243">
        <v>103</v>
      </c>
      <c r="I243">
        <v>38.700000000000003</v>
      </c>
      <c r="J243">
        <f>1.76 * F243 * SQRT(29000 / Dashboard!$B$8) / 12</f>
        <v>9.1130787772300099</v>
      </c>
      <c r="K243">
        <f>1.95 * G243 * (29000 / (0.7 * Dashboard!$B$8)) / 12 * SQRT((H243*1)/(E243*I243) + SQRT(((H243*1)/(E243*I243))^2 + 6.76*((0.7*Dashboard!$B$8)/29000)^2))</f>
        <v>33.646818442113975</v>
      </c>
      <c r="L243">
        <f>Dashboard!$B$8 * D243 / 12</f>
        <v>5875</v>
      </c>
      <c r="M243">
        <f>(Dashboard!$B$9 * PI()^2 * 29000 / ((Dashboard!$B$5*12)/G243)^2) * SQRT(1 + 0.078 * (H243*1)/(E243*I243) * ((Dashboard!$B$5*12)/G243)^2)</f>
        <v>1304.5679174181244</v>
      </c>
      <c r="N243">
        <f>MIN( IF(Dashboard!$B$5 &lt;= J243, L243, IF(Dashboard!$B$5 &lt;= K243, Dashboard!$B$9 * (L243 - (L243 - 0.7*Dashboard!$B$8*E243/12) * ((Dashboard!$B$5 - J243)/(K243 - J243))), M243 * E243 / 12) ), L243 )</f>
        <v>5875</v>
      </c>
      <c r="O243">
        <f t="shared" si="6"/>
        <v>3517.9640718562878</v>
      </c>
      <c r="P243" t="str">
        <f>IF(AND(O243 &gt;= Dashboard!$B$11, C243 &lt;= Dashboard!$B$6), "Pass", "Fail")</f>
        <v>Fail</v>
      </c>
      <c r="Q243">
        <f t="shared" si="7"/>
        <v>9999999</v>
      </c>
    </row>
    <row r="244" spans="1:17" x14ac:dyDescent="0.25">
      <c r="A244" t="s">
        <v>259</v>
      </c>
      <c r="B244">
        <v>330</v>
      </c>
      <c r="C244">
        <v>37.700000000000003</v>
      </c>
      <c r="D244">
        <v>1410</v>
      </c>
      <c r="E244">
        <v>1240</v>
      </c>
      <c r="F244">
        <v>3.83</v>
      </c>
      <c r="G244">
        <v>4.53</v>
      </c>
      <c r="H244">
        <v>84.3</v>
      </c>
      <c r="I244">
        <v>35.9</v>
      </c>
      <c r="J244">
        <f>1.76 * F244 * SQRT(29000 / Dashboard!$B$8) / 12</f>
        <v>13.528330122787183</v>
      </c>
      <c r="K244">
        <f>1.95 * G244 * (29000 / (0.7 * Dashboard!$B$8)) / 12 * SQRT((H244*1)/(E244*I244) + SQRT(((H244*1)/(E244*I244))^2 + 6.76*((0.7*Dashboard!$B$8)/29000)^2))</f>
        <v>45.474799805737547</v>
      </c>
      <c r="L244">
        <f>Dashboard!$B$8 * D244 / 12</f>
        <v>5875</v>
      </c>
      <c r="M244">
        <f>(Dashboard!$B$9 * PI()^2 * 29000 / ((Dashboard!$B$5*12)/G244)^2) * SQRT(1 + 0.078 * (H244*1)/(E244*I244) * ((Dashboard!$B$5*12)/G244)^2)</f>
        <v>2570.2971261346902</v>
      </c>
      <c r="N244">
        <f>MIN( IF(Dashboard!$B$5 &lt;= J244, L244, IF(Dashboard!$B$5 &lt;= K244, Dashboard!$B$9 * (L244 - (L244 - 0.7*Dashboard!$B$8*E244/12) * ((Dashboard!$B$5 - J244)/(K244 - J244))), M244 * E244 / 12) ), L244 )</f>
        <v>5875</v>
      </c>
      <c r="O244">
        <f t="shared" si="6"/>
        <v>3517.9640718562878</v>
      </c>
      <c r="P244" t="str">
        <f>IF(AND(O244 &gt;= Dashboard!$B$11, C244 &lt;= Dashboard!$B$6), "Pass", "Fail")</f>
        <v>Fail</v>
      </c>
      <c r="Q244">
        <f t="shared" si="7"/>
        <v>9999999</v>
      </c>
    </row>
    <row r="245" spans="1:17" x14ac:dyDescent="0.25">
      <c r="A245" t="s">
        <v>260</v>
      </c>
      <c r="B245">
        <v>331</v>
      </c>
      <c r="C245">
        <v>40.799999999999997</v>
      </c>
      <c r="D245">
        <v>1430</v>
      </c>
      <c r="E245">
        <v>1210</v>
      </c>
      <c r="F245">
        <v>2.57</v>
      </c>
      <c r="G245">
        <v>3.21</v>
      </c>
      <c r="H245">
        <v>105</v>
      </c>
      <c r="I245">
        <v>38.700000000000003</v>
      </c>
      <c r="J245">
        <f>1.76 * F245 * SQRT(29000 / Dashboard!$B$8) / 12</f>
        <v>9.0777567664655532</v>
      </c>
      <c r="K245">
        <f>1.95 * G245 * (29000 / (0.7 * Dashboard!$B$8)) / 12 * SQRT((H245*1)/(E245*I245) + SQRT(((H245*1)/(E245*I245))^2 + 6.76*((0.7*Dashboard!$B$8)/29000)^2))</f>
        <v>33.753532328417329</v>
      </c>
      <c r="L245">
        <f>Dashboard!$B$8 * D245 / 12</f>
        <v>5958.333333333333</v>
      </c>
      <c r="M245">
        <f>(Dashboard!$B$9 * PI()^2 * 29000 / ((Dashboard!$B$5*12)/G245)^2) * SQRT(1 + 0.078 * (H245*1)/(E245*I245) * ((Dashboard!$B$5*12)/G245)^2)</f>
        <v>1304.834922504346</v>
      </c>
      <c r="N245">
        <f>MIN( IF(Dashboard!$B$5 &lt;= J245, L245, IF(Dashboard!$B$5 &lt;= K245, Dashboard!$B$9 * (L245 - (L245 - 0.7*Dashboard!$B$8*E245/12) * ((Dashboard!$B$5 - J245)/(K245 - J245))), M245 * E245 / 12) ), L245 )</f>
        <v>5958.333333333333</v>
      </c>
      <c r="O245">
        <f t="shared" si="6"/>
        <v>3567.8642714570856</v>
      </c>
      <c r="P245" t="str">
        <f>IF(AND(O245 &gt;= Dashboard!$B$11, C245 &lt;= Dashboard!$B$6), "Pass", "Fail")</f>
        <v>Fail</v>
      </c>
      <c r="Q245">
        <f t="shared" si="7"/>
        <v>9999999</v>
      </c>
    </row>
    <row r="246" spans="1:17" x14ac:dyDescent="0.25">
      <c r="A246" t="s">
        <v>261</v>
      </c>
      <c r="B246">
        <v>335</v>
      </c>
      <c r="C246">
        <v>44</v>
      </c>
      <c r="D246">
        <v>1620</v>
      </c>
      <c r="E246">
        <v>1410</v>
      </c>
      <c r="F246">
        <v>3.49</v>
      </c>
      <c r="G246">
        <v>4.24</v>
      </c>
      <c r="H246">
        <v>74.7</v>
      </c>
      <c r="I246">
        <v>42.2</v>
      </c>
      <c r="J246">
        <f>1.76 * F246 * SQRT(29000 / Dashboard!$B$8) / 12</f>
        <v>12.327381756795633</v>
      </c>
      <c r="K246">
        <f>1.95 * G246 * (29000 / (0.7 * Dashboard!$B$8)) / 12 * SQRT((H246*1)/(E246*I246) + SQRT(((H246*1)/(E246*I246))^2 + 6.76*((0.7*Dashboard!$B$8)/29000)^2))</f>
        <v>38.867076294369909</v>
      </c>
      <c r="L246">
        <f>Dashboard!$B$8 * D246 / 12</f>
        <v>6750</v>
      </c>
      <c r="M246">
        <f>(Dashboard!$B$9 * PI()^2 * 29000 / ((Dashboard!$B$5*12)/G246)^2) * SQRT(1 + 0.078 * (H246*1)/(E246*I246) * ((Dashboard!$B$5*12)/G246)^2)</f>
        <v>2247.2695277747825</v>
      </c>
      <c r="N246">
        <f>MIN( IF(Dashboard!$B$5 &lt;= J246, L246, IF(Dashboard!$B$5 &lt;= K246, Dashboard!$B$9 * (L246 - (L246 - 0.7*Dashboard!$B$8*E246/12) * ((Dashboard!$B$5 - J246)/(K246 - J246))), M246 * E246 / 12) ), L246 )</f>
        <v>6750</v>
      </c>
      <c r="O246">
        <f t="shared" si="6"/>
        <v>4041.9161676646709</v>
      </c>
      <c r="P246" t="str">
        <f>IF(AND(O246 &gt;= Dashboard!$B$11, C246 &lt;= Dashboard!$B$6), "Pass", "Fail")</f>
        <v>Fail</v>
      </c>
      <c r="Q246">
        <f t="shared" si="7"/>
        <v>9999999</v>
      </c>
    </row>
    <row r="247" spans="1:17" x14ac:dyDescent="0.25">
      <c r="A247" t="s">
        <v>262</v>
      </c>
      <c r="B247">
        <v>335</v>
      </c>
      <c r="C247">
        <v>27.5</v>
      </c>
      <c r="D247">
        <v>1020</v>
      </c>
      <c r="E247">
        <v>864</v>
      </c>
      <c r="F247">
        <v>3.23</v>
      </c>
      <c r="G247">
        <v>3.86</v>
      </c>
      <c r="H247">
        <v>152</v>
      </c>
      <c r="I247">
        <v>25</v>
      </c>
      <c r="J247">
        <f>1.76 * F247 * SQRT(29000 / Dashboard!$B$8) / 12</f>
        <v>11.40900947691974</v>
      </c>
      <c r="K247">
        <f>1.95 * G247 * (29000 / (0.7 * Dashboard!$B$8)) / 12 * SQRT((H247*1)/(E247*I247) + SQRT(((H247*1)/(E247*I247))^2 + 6.76*((0.7*Dashboard!$B$8)/29000)^2))</f>
        <v>63.102835141904848</v>
      </c>
      <c r="L247">
        <f>Dashboard!$B$8 * D247 / 12</f>
        <v>4250</v>
      </c>
      <c r="M247">
        <f>(Dashboard!$B$9 * PI()^2 * 29000 / ((Dashboard!$B$5*12)/G247)^2) * SQRT(1 + 0.078 * (H247*1)/(E247*I247) * ((Dashboard!$B$5*12)/G247)^2)</f>
        <v>1927.8809778533391</v>
      </c>
      <c r="N247">
        <f>MIN( IF(Dashboard!$B$5 &lt;= J247, L247, IF(Dashboard!$B$5 &lt;= K247, Dashboard!$B$9 * (L247 - (L247 - 0.7*Dashboard!$B$8*E247/12) * ((Dashboard!$B$5 - J247)/(K247 - J247))), M247 * E247 / 12) ), L247 )</f>
        <v>4250</v>
      </c>
      <c r="O247">
        <f t="shared" si="6"/>
        <v>2544.9101796407185</v>
      </c>
      <c r="P247" t="str">
        <f>IF(AND(O247 &gt;= Dashboard!$B$11, C247 &lt;= Dashboard!$B$6), "Pass", "Fail")</f>
        <v>Fail</v>
      </c>
      <c r="Q247">
        <f t="shared" si="7"/>
        <v>9999999</v>
      </c>
    </row>
    <row r="248" spans="1:17" x14ac:dyDescent="0.25">
      <c r="A248" t="s">
        <v>263</v>
      </c>
      <c r="B248">
        <v>336</v>
      </c>
      <c r="C248">
        <v>30</v>
      </c>
      <c r="D248">
        <v>1130</v>
      </c>
      <c r="E248">
        <v>972</v>
      </c>
      <c r="F248">
        <v>3.45</v>
      </c>
      <c r="G248">
        <v>4.0999999999999996</v>
      </c>
      <c r="H248">
        <v>131</v>
      </c>
      <c r="I248">
        <v>27.7</v>
      </c>
      <c r="J248">
        <f>1.76 * F248 * SQRT(29000 / Dashboard!$B$8) / 12</f>
        <v>12.186093713737804</v>
      </c>
      <c r="K248">
        <f>1.95 * G248 * (29000 / (0.7 * Dashboard!$B$8)) / 12 * SQRT((H248*1)/(E248*I248) + SQRT(((H248*1)/(E248*I248))^2 + 6.76*((0.7*Dashboard!$B$8)/29000)^2))</f>
        <v>56.983014483983901</v>
      </c>
      <c r="L248">
        <f>Dashboard!$B$8 * D248 / 12</f>
        <v>4708.333333333333</v>
      </c>
      <c r="M248">
        <f>(Dashboard!$B$9 * PI()^2 * 29000 / ((Dashboard!$B$5*12)/G248)^2) * SQRT(1 + 0.078 * (H248*1)/(E248*I248) * ((Dashboard!$B$5*12)/G248)^2)</f>
        <v>2141.8748776389079</v>
      </c>
      <c r="N248">
        <f>MIN( IF(Dashboard!$B$5 &lt;= J248, L248, IF(Dashboard!$B$5 &lt;= K248, Dashboard!$B$9 * (L248 - (L248 - 0.7*Dashboard!$B$8*E248/12) * ((Dashboard!$B$5 - J248)/(K248 - J248))), M248 * E248 / 12) ), L248 )</f>
        <v>4708.333333333333</v>
      </c>
      <c r="O248">
        <f t="shared" si="6"/>
        <v>2819.3612774451099</v>
      </c>
      <c r="P248" t="str">
        <f>IF(AND(O248 &gt;= Dashboard!$B$11, C248 &lt;= Dashboard!$B$6), "Pass", "Fail")</f>
        <v>Fail</v>
      </c>
      <c r="Q248">
        <f t="shared" si="7"/>
        <v>9999999</v>
      </c>
    </row>
    <row r="249" spans="1:17" x14ac:dyDescent="0.25">
      <c r="A249" t="s">
        <v>264</v>
      </c>
      <c r="B249">
        <v>336</v>
      </c>
      <c r="C249">
        <v>16.8</v>
      </c>
      <c r="D249">
        <v>603</v>
      </c>
      <c r="E249">
        <v>483</v>
      </c>
      <c r="F249">
        <v>3.47</v>
      </c>
      <c r="G249">
        <v>4.13</v>
      </c>
      <c r="H249">
        <v>243</v>
      </c>
      <c r="I249">
        <v>13.8</v>
      </c>
      <c r="J249">
        <f>1.76 * F249 * SQRT(29000 / Dashboard!$B$8) / 12</f>
        <v>12.25673773526672</v>
      </c>
      <c r="K249">
        <f>1.95 * G249 * (29000 / (0.7 * Dashboard!$B$8)) / 12 * SQRT((H249*1)/(E249*I249) + SQRT(((H249*1)/(E249*I249))^2 + 6.76*((0.7*Dashboard!$B$8)/29000)^2))</f>
        <v>150.29324599023391</v>
      </c>
      <c r="L249">
        <f>Dashboard!$B$8 * D249 / 12</f>
        <v>2512.5</v>
      </c>
      <c r="M249">
        <f>(Dashboard!$B$9 * PI()^2 * 29000 / ((Dashboard!$B$5*12)/G249)^2) * SQRT(1 + 0.078 * (H249*1)/(E249*I249) * ((Dashboard!$B$5*12)/G249)^2)</f>
        <v>2492.8771201379432</v>
      </c>
      <c r="N249">
        <f>MIN( IF(Dashboard!$B$5 &lt;= J249, L249, IF(Dashboard!$B$5 &lt;= K249, Dashboard!$B$9 * (L249 - (L249 - 0.7*Dashboard!$B$8*E249/12) * ((Dashboard!$B$5 - J249)/(K249 - J249))), M249 * E249 / 12) ), L249 )</f>
        <v>2512.5</v>
      </c>
      <c r="O249">
        <f t="shared" si="6"/>
        <v>1504.4910179640719</v>
      </c>
      <c r="P249" t="str">
        <f>IF(AND(O249 &gt;= Dashboard!$B$11, C249 &lt;= Dashboard!$B$6), "Pass", "Fail")</f>
        <v>Fail</v>
      </c>
      <c r="Q249">
        <f t="shared" si="7"/>
        <v>9999999</v>
      </c>
    </row>
    <row r="250" spans="1:17" x14ac:dyDescent="0.25">
      <c r="A250" t="s">
        <v>265</v>
      </c>
      <c r="B250">
        <v>342</v>
      </c>
      <c r="C250">
        <v>17.5</v>
      </c>
      <c r="D250">
        <v>672</v>
      </c>
      <c r="E250">
        <v>558</v>
      </c>
      <c r="F250">
        <v>4.24</v>
      </c>
      <c r="G250">
        <v>4.95</v>
      </c>
      <c r="H250">
        <v>178</v>
      </c>
      <c r="I250">
        <v>15</v>
      </c>
      <c r="J250">
        <f>1.76 * F250 * SQRT(29000 / Dashboard!$B$8) / 12</f>
        <v>14.97653256412994</v>
      </c>
      <c r="K250">
        <f>1.95 * G250 * (29000 / (0.7 * Dashboard!$B$8)) / 12 * SQRT((H250*1)/(E250*I250) + SQRT(((H250*1)/(E250*I250))^2 + 6.76*((0.7*Dashboard!$B$8)/29000)^2))</f>
        <v>137.82347118349165</v>
      </c>
      <c r="L250">
        <f>Dashboard!$B$8 * D250 / 12</f>
        <v>2800</v>
      </c>
      <c r="M250">
        <f>(Dashboard!$B$9 * PI()^2 * 29000 / ((Dashboard!$B$5*12)/G250)^2) * SQRT(1 + 0.078 * (H250*1)/(E250*I250) * ((Dashboard!$B$5*12)/G250)^2)</f>
        <v>3272.6556235704306</v>
      </c>
      <c r="N250">
        <f>MIN( IF(Dashboard!$B$5 &lt;= J250, L250, IF(Dashboard!$B$5 &lt;= K250, Dashboard!$B$9 * (L250 - (L250 - 0.7*Dashboard!$B$8*E250/12) * ((Dashboard!$B$5 - J250)/(K250 - J250))), M250 * E250 / 12) ), L250 )</f>
        <v>2800</v>
      </c>
      <c r="O250">
        <f t="shared" si="6"/>
        <v>1676.6467065868264</v>
      </c>
      <c r="P250" t="str">
        <f>IF(AND(O250 &gt;= Dashboard!$B$11, C250 &lt;= Dashboard!$B$6), "Pass", "Fail")</f>
        <v>Fail</v>
      </c>
      <c r="Q250">
        <f t="shared" si="7"/>
        <v>9999999</v>
      </c>
    </row>
    <row r="251" spans="1:17" x14ac:dyDescent="0.25">
      <c r="A251" t="s">
        <v>266</v>
      </c>
      <c r="B251">
        <v>350</v>
      </c>
      <c r="C251">
        <v>38.6</v>
      </c>
      <c r="D251">
        <v>1440</v>
      </c>
      <c r="E251">
        <v>1220</v>
      </c>
      <c r="F251">
        <v>2.75</v>
      </c>
      <c r="G251">
        <v>3.41</v>
      </c>
      <c r="H251">
        <v>129</v>
      </c>
      <c r="I251">
        <v>36.299999999999997</v>
      </c>
      <c r="J251">
        <f>1.76 * F251 * SQRT(29000 / Dashboard!$B$8) / 12</f>
        <v>9.7135529602257851</v>
      </c>
      <c r="K251">
        <f>1.95 * G251 * (29000 / (0.7 * Dashboard!$B$8)) / 12 * SQRT((H251*1)/(E251*I251) + SQRT(((H251*1)/(E251*I251))^2 + 6.76*((0.7*Dashboard!$B$8)/29000)^2))</f>
        <v>38.943542180801941</v>
      </c>
      <c r="L251">
        <f>Dashboard!$B$8 * D251 / 12</f>
        <v>6000</v>
      </c>
      <c r="M251">
        <f>(Dashboard!$B$9 * PI()^2 * 29000 / ((Dashboard!$B$5*12)/G251)^2) * SQRT(1 + 0.078 * (H251*1)/(E251*I251) * ((Dashboard!$B$5*12)/G251)^2)</f>
        <v>1476.6787588980219</v>
      </c>
      <c r="N251">
        <f>MIN( IF(Dashboard!$B$5 &lt;= J251, L251, IF(Dashboard!$B$5 &lt;= K251, Dashboard!$B$9 * (L251 - (L251 - 0.7*Dashboard!$B$8*E251/12) * ((Dashboard!$B$5 - J251)/(K251 - J251))), M251 * E251 / 12) ), L251 )</f>
        <v>6000</v>
      </c>
      <c r="O251">
        <f t="shared" si="6"/>
        <v>3592.8143712574852</v>
      </c>
      <c r="P251" t="str">
        <f>IF(AND(O251 &gt;= Dashboard!$B$11, C251 &lt;= Dashboard!$B$6), "Pass", "Fail")</f>
        <v>Fail</v>
      </c>
      <c r="Q251">
        <f t="shared" si="7"/>
        <v>9999999</v>
      </c>
    </row>
    <row r="252" spans="1:17" x14ac:dyDescent="0.25">
      <c r="A252" t="s">
        <v>267</v>
      </c>
      <c r="B252">
        <v>354</v>
      </c>
      <c r="C252">
        <v>35.6</v>
      </c>
      <c r="D252">
        <v>1420</v>
      </c>
      <c r="E252">
        <v>1240</v>
      </c>
      <c r="F252">
        <v>3.74</v>
      </c>
      <c r="G252">
        <v>4.4400000000000004</v>
      </c>
      <c r="H252">
        <v>115</v>
      </c>
      <c r="I252">
        <v>33.5</v>
      </c>
      <c r="J252">
        <f>1.76 * F252 * SQRT(29000 / Dashboard!$B$8) / 12</f>
        <v>13.210432025907069</v>
      </c>
      <c r="K252">
        <f>1.95 * G252 * (29000 / (0.7 * Dashboard!$B$8)) / 12 * SQRT((H252*1)/(E252*I252) + SQRT(((H252*1)/(E252*I252))^2 + 6.76*((0.7*Dashboard!$B$8)/29000)^2))</f>
        <v>49.848533294808455</v>
      </c>
      <c r="L252">
        <f>Dashboard!$B$8 * D252 / 12</f>
        <v>5916.666666666667</v>
      </c>
      <c r="M252">
        <f>(Dashboard!$B$9 * PI()^2 * 29000 / ((Dashboard!$B$5*12)/G252)^2) * SQRT(1 + 0.078 * (H252*1)/(E252*I252) * ((Dashboard!$B$5*12)/G252)^2)</f>
        <v>2479.6672313778772</v>
      </c>
      <c r="N252">
        <f>MIN( IF(Dashboard!$B$5 &lt;= J252, L252, IF(Dashboard!$B$5 &lt;= K252, Dashboard!$B$9 * (L252 - (L252 - 0.7*Dashboard!$B$8*E252/12) * ((Dashboard!$B$5 - J252)/(K252 - J252))), M252 * E252 / 12) ), L252 )</f>
        <v>5916.666666666667</v>
      </c>
      <c r="O252">
        <f t="shared" si="6"/>
        <v>3542.9141716566869</v>
      </c>
      <c r="P252" t="str">
        <f>IF(AND(O252 &gt;= Dashboard!$B$11, C252 &lt;= Dashboard!$B$6), "Pass", "Fail")</f>
        <v>Fail</v>
      </c>
      <c r="Q252">
        <f t="shared" si="7"/>
        <v>9999999</v>
      </c>
    </row>
    <row r="253" spans="1:17" x14ac:dyDescent="0.25">
      <c r="A253" t="s">
        <v>268</v>
      </c>
      <c r="B253">
        <v>357</v>
      </c>
      <c r="C253">
        <v>32.799999999999997</v>
      </c>
      <c r="D253">
        <v>1320</v>
      </c>
      <c r="E253">
        <v>1140</v>
      </c>
      <c r="F253">
        <v>3.64</v>
      </c>
      <c r="G253">
        <v>4.3099999999999996</v>
      </c>
      <c r="H253">
        <v>134</v>
      </c>
      <c r="I253">
        <v>30.6</v>
      </c>
      <c r="J253">
        <f>1.76 * F253 * SQRT(29000 / Dashboard!$B$8) / 12</f>
        <v>12.857211918262495</v>
      </c>
      <c r="K253">
        <f>1.95 * G253 * (29000 / (0.7 * Dashboard!$B$8)) / 12 * SQRT((H253*1)/(E253*I253) + SQRT(((H253*1)/(E253*I253))^2 + 6.76*((0.7*Dashboard!$B$8)/29000)^2))</f>
        <v>54.44219160911338</v>
      </c>
      <c r="L253">
        <f>Dashboard!$B$8 * D253 / 12</f>
        <v>5500</v>
      </c>
      <c r="M253">
        <f>(Dashboard!$B$9 * PI()^2 * 29000 / ((Dashboard!$B$5*12)/G253)^2) * SQRT(1 + 0.078 * (H253*1)/(E253*I253) * ((Dashboard!$B$5*12)/G253)^2)</f>
        <v>2350.1367975369144</v>
      </c>
      <c r="N253">
        <f>MIN( IF(Dashboard!$B$5 &lt;= J253, L253, IF(Dashboard!$B$5 &lt;= K253, Dashboard!$B$9 * (L253 - (L253 - 0.7*Dashboard!$B$8*E253/12) * ((Dashboard!$B$5 - J253)/(K253 - J253))), M253 * E253 / 12) ), L253 )</f>
        <v>5500</v>
      </c>
      <c r="O253">
        <f t="shared" si="6"/>
        <v>3293.4131736526947</v>
      </c>
      <c r="P253" t="str">
        <f>IF(AND(O253 &gt;= Dashboard!$B$11, C253 &lt;= Dashboard!$B$6), "Pass", "Fail")</f>
        <v>Fail</v>
      </c>
      <c r="Q253">
        <f t="shared" si="7"/>
        <v>9999999</v>
      </c>
    </row>
    <row r="254" spans="1:17" x14ac:dyDescent="0.25">
      <c r="A254" t="s">
        <v>269</v>
      </c>
      <c r="B254">
        <v>361</v>
      </c>
      <c r="C254">
        <v>38</v>
      </c>
      <c r="D254">
        <v>1550</v>
      </c>
      <c r="E254">
        <v>1350</v>
      </c>
      <c r="F254">
        <v>3.85</v>
      </c>
      <c r="G254">
        <v>4.58</v>
      </c>
      <c r="H254">
        <v>109</v>
      </c>
      <c r="I254">
        <v>36</v>
      </c>
      <c r="J254">
        <f>1.76 * F254 * SQRT(29000 / Dashboard!$B$8) / 12</f>
        <v>13.598974144316101</v>
      </c>
      <c r="K254">
        <f>1.95 * G254 * (29000 / (0.7 * Dashboard!$B$8)) / 12 * SQRT((H254*1)/(E254*I254) + SQRT(((H254*1)/(E254*I254))^2 + 6.76*((0.7*Dashboard!$B$8)/29000)^2))</f>
        <v>48.162381240857023</v>
      </c>
      <c r="L254">
        <f>Dashboard!$B$8 * D254 / 12</f>
        <v>6458.333333333333</v>
      </c>
      <c r="M254">
        <f>(Dashboard!$B$9 * PI()^2 * 29000 / ((Dashboard!$B$5*12)/G254)^2) * SQRT(1 + 0.078 * (H254*1)/(E254*I254) * ((Dashboard!$B$5*12)/G254)^2)</f>
        <v>2630.7470361985047</v>
      </c>
      <c r="N254">
        <f>MIN( IF(Dashboard!$B$5 &lt;= J254, L254, IF(Dashboard!$B$5 &lt;= K254, Dashboard!$B$9 * (L254 - (L254 - 0.7*Dashboard!$B$8*E254/12) * ((Dashboard!$B$5 - J254)/(K254 - J254))), M254 * E254 / 12) ), L254 )</f>
        <v>6458.333333333333</v>
      </c>
      <c r="O254">
        <f t="shared" si="6"/>
        <v>3867.265469061876</v>
      </c>
      <c r="P254" t="str">
        <f>IF(AND(O254 &gt;= Dashboard!$B$11, C254 &lt;= Dashboard!$B$6), "Pass", "Fail")</f>
        <v>Fail</v>
      </c>
      <c r="Q254">
        <f t="shared" si="7"/>
        <v>9999999</v>
      </c>
    </row>
    <row r="255" spans="1:17" x14ac:dyDescent="0.25">
      <c r="A255" t="s">
        <v>270</v>
      </c>
      <c r="B255">
        <v>362</v>
      </c>
      <c r="C255">
        <v>40.6</v>
      </c>
      <c r="D255">
        <v>1640</v>
      </c>
      <c r="E255">
        <v>1420</v>
      </c>
      <c r="F255">
        <v>3.6</v>
      </c>
      <c r="G255">
        <v>4.33</v>
      </c>
      <c r="H255">
        <v>109</v>
      </c>
      <c r="I255">
        <v>38.6</v>
      </c>
      <c r="J255">
        <f>1.76 * F255 * SQRT(29000 / Dashboard!$B$8) / 12</f>
        <v>12.715923875204664</v>
      </c>
      <c r="K255">
        <f>1.95 * G255 * (29000 / (0.7 * Dashboard!$B$8)) / 12 * SQRT((H255*1)/(E255*I255) + SQRT(((H255*1)/(E255*I255))^2 + 6.76*((0.7*Dashboard!$B$8)/29000)^2))</f>
        <v>44.029750994336034</v>
      </c>
      <c r="L255">
        <f>Dashboard!$B$8 * D255 / 12</f>
        <v>6833.333333333333</v>
      </c>
      <c r="M255">
        <f>(Dashboard!$B$9 * PI()^2 * 29000 / ((Dashboard!$B$5*12)/G255)^2) * SQRT(1 + 0.078 * (H255*1)/(E255*I255) * ((Dashboard!$B$5*12)/G255)^2)</f>
        <v>2351.2088740370168</v>
      </c>
      <c r="N255">
        <f>MIN( IF(Dashboard!$B$5 &lt;= J255, L255, IF(Dashboard!$B$5 &lt;= K255, Dashboard!$B$9 * (L255 - (L255 - 0.7*Dashboard!$B$8*E255/12) * ((Dashboard!$B$5 - J255)/(K255 - J255))), M255 * E255 / 12) ), L255 )</f>
        <v>6833.333333333333</v>
      </c>
      <c r="O255">
        <f t="shared" si="6"/>
        <v>4091.8163672654691</v>
      </c>
      <c r="P255" t="str">
        <f>IF(AND(O255 &gt;= Dashboard!$B$11, C255 &lt;= Dashboard!$B$6), "Pass", "Fail")</f>
        <v>Fail</v>
      </c>
      <c r="Q255">
        <f t="shared" si="7"/>
        <v>9999999</v>
      </c>
    </row>
    <row r="256" spans="1:17" x14ac:dyDescent="0.25">
      <c r="A256" t="s">
        <v>271</v>
      </c>
      <c r="B256">
        <v>368</v>
      </c>
      <c r="C256">
        <v>44.4</v>
      </c>
      <c r="D256">
        <v>1800</v>
      </c>
      <c r="E256">
        <v>1560</v>
      </c>
      <c r="F256">
        <v>3.54</v>
      </c>
      <c r="G256">
        <v>4.28</v>
      </c>
      <c r="H256">
        <v>100</v>
      </c>
      <c r="I256">
        <v>42.4</v>
      </c>
      <c r="J256">
        <f>1.76 * F256 * SQRT(29000 / Dashboard!$B$8) / 12</f>
        <v>12.50399181061792</v>
      </c>
      <c r="K256">
        <f>1.95 * G256 * (29000 / (0.7 * Dashboard!$B$8)) / 12 * SQRT((H256*1)/(E256*I256) + SQRT(((H256*1)/(E256*I256))^2 + 6.76*((0.7*Dashboard!$B$8)/29000)^2))</f>
        <v>40.728162322778175</v>
      </c>
      <c r="L256">
        <f>Dashboard!$B$8 * D256 / 12</f>
        <v>7500</v>
      </c>
      <c r="M256">
        <f>(Dashboard!$B$9 * PI()^2 * 29000 / ((Dashboard!$B$5*12)/G256)^2) * SQRT(1 + 0.078 * (H256*1)/(E256*I256) * ((Dashboard!$B$5*12)/G256)^2)</f>
        <v>2292.4500333176798</v>
      </c>
      <c r="N256">
        <f>MIN( IF(Dashboard!$B$5 &lt;= J256, L256, IF(Dashboard!$B$5 &lt;= K256, Dashboard!$B$9 * (L256 - (L256 - 0.7*Dashboard!$B$8*E256/12) * ((Dashboard!$B$5 - J256)/(K256 - J256))), M256 * E256 / 12) ), L256 )</f>
        <v>7500</v>
      </c>
      <c r="O256">
        <f t="shared" si="6"/>
        <v>4491.0179640718561</v>
      </c>
      <c r="P256" t="str">
        <f>IF(AND(O256 &gt;= Dashboard!$B$11, C256 &lt;= Dashboard!$B$6), "Pass", "Fail")</f>
        <v>Fail</v>
      </c>
      <c r="Q256">
        <f t="shared" si="7"/>
        <v>9999999</v>
      </c>
    </row>
    <row r="257" spans="1:17" x14ac:dyDescent="0.25">
      <c r="A257" t="s">
        <v>272</v>
      </c>
      <c r="B257">
        <v>368</v>
      </c>
      <c r="C257">
        <v>30.4</v>
      </c>
      <c r="D257">
        <v>1240</v>
      </c>
      <c r="E257">
        <v>1060</v>
      </c>
      <c r="F257">
        <v>3.48</v>
      </c>
      <c r="G257">
        <v>4.1500000000000004</v>
      </c>
      <c r="H257">
        <v>170</v>
      </c>
      <c r="I257">
        <v>27.9</v>
      </c>
      <c r="J257">
        <f>1.76 * F257 * SQRT(29000 / Dashboard!$B$8) / 12</f>
        <v>12.292059746031176</v>
      </c>
      <c r="K257">
        <f>1.95 * G257 * (29000 / (0.7 * Dashboard!$B$8)) / 12 * SQRT((H257*1)/(E257*I257) + SQRT(((H257*1)/(E257*I257))^2 + 6.76*((0.7*Dashboard!$B$8)/29000)^2))</f>
        <v>61.963546687162527</v>
      </c>
      <c r="L257">
        <f>Dashboard!$B$8 * D257 / 12</f>
        <v>5166.666666666667</v>
      </c>
      <c r="M257">
        <f>(Dashboard!$B$9 * PI()^2 * 29000 / ((Dashboard!$B$5*12)/G257)^2) * SQRT(1 + 0.078 * (H257*1)/(E257*I257) * ((Dashboard!$B$5*12)/G257)^2)</f>
        <v>2202.7269890218554</v>
      </c>
      <c r="N257">
        <f>MIN( IF(Dashboard!$B$5 &lt;= J257, L257, IF(Dashboard!$B$5 &lt;= K257, Dashboard!$B$9 * (L257 - (L257 - 0.7*Dashboard!$B$8*E257/12) * ((Dashboard!$B$5 - J257)/(K257 - J257))), M257 * E257 / 12) ), L257 )</f>
        <v>5166.666666666667</v>
      </c>
      <c r="O257">
        <f t="shared" si="6"/>
        <v>3093.8123752495012</v>
      </c>
      <c r="P257" t="str">
        <f>IF(AND(O257 &gt;= Dashboard!$B$11, C257 &lt;= Dashboard!$B$6), "Pass", "Fail")</f>
        <v>Fail</v>
      </c>
      <c r="Q257">
        <f t="shared" si="7"/>
        <v>9999999</v>
      </c>
    </row>
    <row r="258" spans="1:17" x14ac:dyDescent="0.25">
      <c r="A258" t="s">
        <v>273</v>
      </c>
      <c r="B258">
        <v>370</v>
      </c>
      <c r="C258">
        <v>28</v>
      </c>
      <c r="D258">
        <v>1130</v>
      </c>
      <c r="E258">
        <v>957</v>
      </c>
      <c r="F258">
        <v>3.27</v>
      </c>
      <c r="G258">
        <v>3.92</v>
      </c>
      <c r="H258">
        <v>201</v>
      </c>
      <c r="I258">
        <v>25.3</v>
      </c>
      <c r="J258">
        <f>1.76 * F258 * SQRT(29000 / Dashboard!$B$8) / 12</f>
        <v>11.550297519977571</v>
      </c>
      <c r="K258">
        <f>1.95 * G258 * (29000 / (0.7 * Dashboard!$B$8)) / 12 * SQRT((H258*1)/(E258*I258) + SQRT(((H258*1)/(E258*I258))^2 + 6.76*((0.7*Dashboard!$B$8)/29000)^2))</f>
        <v>69.173074740836455</v>
      </c>
      <c r="L258">
        <f>Dashboard!$B$8 * D258 / 12</f>
        <v>4708.333333333333</v>
      </c>
      <c r="M258">
        <f>(Dashboard!$B$9 * PI()^2 * 29000 / ((Dashboard!$B$5*12)/G258)^2) * SQRT(1 + 0.078 * (H258*1)/(E258*I258) * ((Dashboard!$B$5*12)/G258)^2)</f>
        <v>1999.4394979203307</v>
      </c>
      <c r="N258">
        <f>MIN( IF(Dashboard!$B$5 &lt;= J258, L258, IF(Dashboard!$B$5 &lt;= K258, Dashboard!$B$9 * (L258 - (L258 - 0.7*Dashboard!$B$8*E258/12) * ((Dashboard!$B$5 - J258)/(K258 - J258))), M258 * E258 / 12) ), L258 )</f>
        <v>4708.333333333333</v>
      </c>
      <c r="O258">
        <f t="shared" ref="O258:O321" si="8">N258 / 1.67</f>
        <v>2819.3612774451099</v>
      </c>
      <c r="P258" t="str">
        <f>IF(AND(O258 &gt;= Dashboard!$B$11, C258 &lt;= Dashboard!$B$6), "Pass", "Fail")</f>
        <v>Fail</v>
      </c>
      <c r="Q258">
        <f t="shared" ref="Q258:Q321" si="9">IF(P258="Pass", B258 + ROW()/100000, 9999999)</f>
        <v>9999999</v>
      </c>
    </row>
    <row r="259" spans="1:17" x14ac:dyDescent="0.25">
      <c r="A259" t="s">
        <v>274</v>
      </c>
      <c r="B259">
        <v>370</v>
      </c>
      <c r="C259">
        <v>17.899999999999999</v>
      </c>
      <c r="D259">
        <v>736</v>
      </c>
      <c r="E259">
        <v>607</v>
      </c>
      <c r="F259">
        <v>4.2699999999999996</v>
      </c>
      <c r="G259">
        <v>5</v>
      </c>
      <c r="H259">
        <v>222</v>
      </c>
      <c r="I259">
        <v>15.2</v>
      </c>
      <c r="J259">
        <f>1.76 * F259 * SQRT(29000 / Dashboard!$B$8) / 12</f>
        <v>15.082498596423308</v>
      </c>
      <c r="K259">
        <f>1.95 * G259 * (29000 / (0.7 * Dashboard!$B$8)) / 12 * SQRT((H259*1)/(E259*I259) + SQRT(((H259*1)/(E259*I259))^2 + 6.76*((0.7*Dashboard!$B$8)/29000)^2))</f>
        <v>147.99468835152547</v>
      </c>
      <c r="L259">
        <f>Dashboard!$B$8 * D259 / 12</f>
        <v>3066.6666666666665</v>
      </c>
      <c r="M259">
        <f>(Dashboard!$B$9 * PI()^2 * 29000 / ((Dashboard!$B$5*12)/G259)^2) * SQRT(1 + 0.078 * (H259*1)/(E259*I259) * ((Dashboard!$B$5*12)/G259)^2)</f>
        <v>3363.5490824841854</v>
      </c>
      <c r="N259">
        <f>MIN( IF(Dashboard!$B$5 &lt;= J259, L259, IF(Dashboard!$B$5 &lt;= K259, Dashboard!$B$9 * (L259 - (L259 - 0.7*Dashboard!$B$8*E259/12) * ((Dashboard!$B$5 - J259)/(K259 - J259))), M259 * E259 / 12) ), L259 )</f>
        <v>3066.6666666666665</v>
      </c>
      <c r="O259">
        <f t="shared" si="8"/>
        <v>1836.3273453093811</v>
      </c>
      <c r="P259" t="str">
        <f>IF(AND(O259 &gt;= Dashboard!$B$11, C259 &lt;= Dashboard!$B$6), "Pass", "Fail")</f>
        <v>Fail</v>
      </c>
      <c r="Q259">
        <f t="shared" si="9"/>
        <v>9999999</v>
      </c>
    </row>
    <row r="260" spans="1:17" x14ac:dyDescent="0.25">
      <c r="A260" t="s">
        <v>275</v>
      </c>
      <c r="B260">
        <v>372</v>
      </c>
      <c r="C260">
        <v>40.6</v>
      </c>
      <c r="D260">
        <v>1680</v>
      </c>
      <c r="E260">
        <v>1460</v>
      </c>
      <c r="F260">
        <v>3.6</v>
      </c>
      <c r="G260">
        <v>4.33</v>
      </c>
      <c r="H260">
        <v>116</v>
      </c>
      <c r="I260">
        <v>38.6</v>
      </c>
      <c r="J260">
        <f>1.76 * F260 * SQRT(29000 / Dashboard!$B$8) / 12</f>
        <v>12.715923875204664</v>
      </c>
      <c r="K260">
        <f>1.95 * G260 * (29000 / (0.7 * Dashboard!$B$8)) / 12 * SQRT((H260*1)/(E260*I260) + SQRT(((H260*1)/(E260*I260))^2 + 6.76*((0.7*Dashboard!$B$8)/29000)^2))</f>
        <v>44.442800523599416</v>
      </c>
      <c r="L260">
        <f>Dashboard!$B$8 * D260 / 12</f>
        <v>7000</v>
      </c>
      <c r="M260">
        <f>(Dashboard!$B$9 * PI()^2 * 29000 / ((Dashboard!$B$5*12)/G260)^2) * SQRT(1 + 0.078 * (H260*1)/(E260*I260) * ((Dashboard!$B$5*12)/G260)^2)</f>
        <v>2351.979771652982</v>
      </c>
      <c r="N260">
        <f>MIN( IF(Dashboard!$B$5 &lt;= J260, L260, IF(Dashboard!$B$5 &lt;= K260, Dashboard!$B$9 * (L260 - (L260 - 0.7*Dashboard!$B$8*E260/12) * ((Dashboard!$B$5 - J260)/(K260 - J260))), M260 * E260 / 12) ), L260 )</f>
        <v>7000</v>
      </c>
      <c r="O260">
        <f t="shared" si="8"/>
        <v>4191.6167664670656</v>
      </c>
      <c r="P260" t="str">
        <f>IF(AND(O260 &gt;= Dashboard!$B$11, C260 &lt;= Dashboard!$B$6), "Pass", "Fail")</f>
        <v>Fail</v>
      </c>
      <c r="Q260">
        <f t="shared" si="9"/>
        <v>9999999</v>
      </c>
    </row>
    <row r="261" spans="1:17" x14ac:dyDescent="0.25">
      <c r="A261" t="s">
        <v>276</v>
      </c>
      <c r="B261">
        <v>387</v>
      </c>
      <c r="C261">
        <v>39.1</v>
      </c>
      <c r="D261">
        <v>1610</v>
      </c>
      <c r="E261">
        <v>1360</v>
      </c>
      <c r="F261">
        <v>2.78</v>
      </c>
      <c r="G261">
        <v>3.44</v>
      </c>
      <c r="H261">
        <v>172</v>
      </c>
      <c r="I261">
        <v>36.5</v>
      </c>
      <c r="J261">
        <f>1.76 * F261 * SQRT(29000 / Dashboard!$B$8) / 12</f>
        <v>9.8195189925191553</v>
      </c>
      <c r="K261">
        <f>1.95 * G261 * (29000 / (0.7 * Dashboard!$B$8)) / 12 * SQRT((H261*1)/(E261*I261) + SQRT(((H261*1)/(E261*I261))^2 + 6.76*((0.7*Dashboard!$B$8)/29000)^2))</f>
        <v>41.787229052759322</v>
      </c>
      <c r="L261">
        <f>Dashboard!$B$8 * D261 / 12</f>
        <v>6708.333333333333</v>
      </c>
      <c r="M261">
        <f>(Dashboard!$B$9 * PI()^2 * 29000 / ((Dashboard!$B$5*12)/G261)^2) * SQRT(1 + 0.078 * (H261*1)/(E261*I261) * ((Dashboard!$B$5*12)/G261)^2)</f>
        <v>1508.2318680559326</v>
      </c>
      <c r="N261">
        <f>MIN( IF(Dashboard!$B$5 &lt;= J261, L261, IF(Dashboard!$B$5 &lt;= K261, Dashboard!$B$9 * (L261 - (L261 - 0.7*Dashboard!$B$8*E261/12) * ((Dashboard!$B$5 - J261)/(K261 - J261))), M261 * E261 / 12) ), L261 )</f>
        <v>6708.333333333333</v>
      </c>
      <c r="O261">
        <f t="shared" si="8"/>
        <v>4016.9660678642713</v>
      </c>
      <c r="P261" t="str">
        <f>IF(AND(O261 &gt;= Dashboard!$B$11, C261 &lt;= Dashboard!$B$6), "Pass", "Fail")</f>
        <v>Fail</v>
      </c>
      <c r="Q261">
        <f t="shared" si="9"/>
        <v>9999999</v>
      </c>
    </row>
    <row r="262" spans="1:17" x14ac:dyDescent="0.25">
      <c r="A262" t="s">
        <v>277</v>
      </c>
      <c r="B262">
        <v>387</v>
      </c>
      <c r="C262">
        <v>36</v>
      </c>
      <c r="D262">
        <v>1560</v>
      </c>
      <c r="E262">
        <v>1350</v>
      </c>
      <c r="F262">
        <v>3.77</v>
      </c>
      <c r="G262">
        <v>4.49</v>
      </c>
      <c r="H262">
        <v>148</v>
      </c>
      <c r="I262">
        <v>33.700000000000003</v>
      </c>
      <c r="J262">
        <f>1.76 * F262 * SQRT(29000 / Dashboard!$B$8) / 12</f>
        <v>13.316398058200441</v>
      </c>
      <c r="K262">
        <f>1.95 * G262 * (29000 / (0.7 * Dashboard!$B$8)) / 12 * SQRT((H262*1)/(E262*I262) + SQRT(((H262*1)/(E262*I262))^2 + 6.76*((0.7*Dashboard!$B$8)/29000)^2))</f>
        <v>53.299547902465875</v>
      </c>
      <c r="L262">
        <f>Dashboard!$B$8 * D262 / 12</f>
        <v>6500</v>
      </c>
      <c r="M262">
        <f>(Dashboard!$B$9 * PI()^2 * 29000 / ((Dashboard!$B$5*12)/G262)^2) * SQRT(1 + 0.078 * (H262*1)/(E262*I262) * ((Dashboard!$B$5*12)/G262)^2)</f>
        <v>2540.4778850653415</v>
      </c>
      <c r="N262">
        <f>MIN( IF(Dashboard!$B$5 &lt;= J262, L262, IF(Dashboard!$B$5 &lt;= K262, Dashboard!$B$9 * (L262 - (L262 - 0.7*Dashboard!$B$8*E262/12) * ((Dashboard!$B$5 - J262)/(K262 - J262))), M262 * E262 / 12) ), L262 )</f>
        <v>6500</v>
      </c>
      <c r="O262">
        <f t="shared" si="8"/>
        <v>3892.2155688622756</v>
      </c>
      <c r="P262" t="str">
        <f>IF(AND(O262 &gt;= Dashboard!$B$11, C262 &lt;= Dashboard!$B$6), "Pass", "Fail")</f>
        <v>Fail</v>
      </c>
      <c r="Q262">
        <f t="shared" si="9"/>
        <v>9999999</v>
      </c>
    </row>
    <row r="263" spans="1:17" x14ac:dyDescent="0.25">
      <c r="A263" t="s">
        <v>278</v>
      </c>
      <c r="B263">
        <v>391</v>
      </c>
      <c r="C263">
        <v>33.200000000000003</v>
      </c>
      <c r="D263">
        <v>1450</v>
      </c>
      <c r="E263">
        <v>1250</v>
      </c>
      <c r="F263">
        <v>3.67</v>
      </c>
      <c r="G263">
        <v>4.37</v>
      </c>
      <c r="H263">
        <v>173</v>
      </c>
      <c r="I263">
        <v>30.8</v>
      </c>
      <c r="J263">
        <f>1.76 * F263 * SQRT(29000 / Dashboard!$B$8) / 12</f>
        <v>12.963177950555867</v>
      </c>
      <c r="K263">
        <f>1.95 * G263 * (29000 / (0.7 * Dashboard!$B$8)) / 12 * SQRT((H263*1)/(E263*I263) + SQRT(((H263*1)/(E263*I263))^2 + 6.76*((0.7*Dashboard!$B$8)/29000)^2))</f>
        <v>58.763033895293006</v>
      </c>
      <c r="L263">
        <f>Dashboard!$B$8 * D263 / 12</f>
        <v>6041.666666666667</v>
      </c>
      <c r="M263">
        <f>(Dashboard!$B$9 * PI()^2 * 29000 / ((Dashboard!$B$5*12)/G263)^2) * SQRT(1 + 0.078 * (H263*1)/(E263*I263) * ((Dashboard!$B$5*12)/G263)^2)</f>
        <v>2421.9861478359048</v>
      </c>
      <c r="N263">
        <f>MIN( IF(Dashboard!$B$5 &lt;= J263, L263, IF(Dashboard!$B$5 &lt;= K263, Dashboard!$B$9 * (L263 - (L263 - 0.7*Dashboard!$B$8*E263/12) * ((Dashboard!$B$5 - J263)/(K263 - J263))), M263 * E263 / 12) ), L263 )</f>
        <v>6041.666666666667</v>
      </c>
      <c r="O263">
        <f t="shared" si="8"/>
        <v>3617.7644710578847</v>
      </c>
      <c r="P263" t="str">
        <f>IF(AND(O263 &gt;= Dashboard!$B$11, C263 &lt;= Dashboard!$B$6), "Pass", "Fail")</f>
        <v>Fail</v>
      </c>
      <c r="Q263">
        <f t="shared" si="9"/>
        <v>9999999</v>
      </c>
    </row>
    <row r="264" spans="1:17" x14ac:dyDescent="0.25">
      <c r="A264" t="s">
        <v>279</v>
      </c>
      <c r="B264">
        <v>392</v>
      </c>
      <c r="C264">
        <v>41.6</v>
      </c>
      <c r="D264">
        <v>1710</v>
      </c>
      <c r="E264">
        <v>1440</v>
      </c>
      <c r="F264">
        <v>2.64</v>
      </c>
      <c r="G264">
        <v>3.3</v>
      </c>
      <c r="H264">
        <v>172</v>
      </c>
      <c r="I264">
        <v>39.1</v>
      </c>
      <c r="J264">
        <f>1.76 * F264 * SQRT(29000 / Dashboard!$B$8) / 12</f>
        <v>9.3250108418167539</v>
      </c>
      <c r="K264">
        <f>1.95 * G264 * (29000 / (0.7 * Dashboard!$B$8)) / 12 * SQRT((H264*1)/(E264*I264) + SQRT(((H264*1)/(E264*I264))^2 + 6.76*((0.7*Dashboard!$B$8)/29000)^2))</f>
        <v>38.310179043382234</v>
      </c>
      <c r="L264">
        <f>Dashboard!$B$8 * D264 / 12</f>
        <v>7125</v>
      </c>
      <c r="M264">
        <f>(Dashboard!$B$9 * PI()^2 * 29000 / ((Dashboard!$B$5*12)/G264)^2) * SQRT(1 + 0.078 * (H264*1)/(E264*I264) * ((Dashboard!$B$5*12)/G264)^2)</f>
        <v>1386.5102763159919</v>
      </c>
      <c r="N264">
        <f>MIN( IF(Dashboard!$B$5 &lt;= J264, L264, IF(Dashboard!$B$5 &lt;= K264, Dashboard!$B$9 * (L264 - (L264 - 0.7*Dashboard!$B$8*E264/12) * ((Dashboard!$B$5 - J264)/(K264 - J264))), M264 * E264 / 12) ), L264 )</f>
        <v>7125</v>
      </c>
      <c r="O264">
        <f t="shared" si="8"/>
        <v>4266.4670658682635</v>
      </c>
      <c r="P264" t="str">
        <f>IF(AND(O264 &gt;= Dashboard!$B$11, C264 &lt;= Dashboard!$B$6), "Pass", "Fail")</f>
        <v>Fail</v>
      </c>
      <c r="Q264">
        <f t="shared" si="9"/>
        <v>9999999</v>
      </c>
    </row>
    <row r="265" spans="1:17" x14ac:dyDescent="0.25">
      <c r="A265" t="s">
        <v>280</v>
      </c>
      <c r="B265">
        <v>395</v>
      </c>
      <c r="C265">
        <v>38.4</v>
      </c>
      <c r="D265">
        <v>1710</v>
      </c>
      <c r="E265">
        <v>1490</v>
      </c>
      <c r="F265">
        <v>3.88</v>
      </c>
      <c r="G265">
        <v>4.6100000000000003</v>
      </c>
      <c r="H265">
        <v>142</v>
      </c>
      <c r="I265">
        <v>36.200000000000003</v>
      </c>
      <c r="J265">
        <f>1.76 * F265 * SQRT(29000 / Dashboard!$B$8) / 12</f>
        <v>13.704940176609471</v>
      </c>
      <c r="K265">
        <f>1.95 * G265 * (29000 / (0.7 * Dashboard!$B$8)) / 12 * SQRT((H265*1)/(E265*I265) + SQRT(((H265*1)/(E265*I265))^2 + 6.76*((0.7*Dashboard!$B$8)/29000)^2))</f>
        <v>50.915414752949779</v>
      </c>
      <c r="L265">
        <f>Dashboard!$B$8 * D265 / 12</f>
        <v>7125</v>
      </c>
      <c r="M265">
        <f>(Dashboard!$B$9 * PI()^2 * 29000 / ((Dashboard!$B$5*12)/G265)^2) * SQRT(1 + 0.078 * (H265*1)/(E265*I265) * ((Dashboard!$B$5*12)/G265)^2)</f>
        <v>2669.3054768888724</v>
      </c>
      <c r="N265">
        <f>MIN( IF(Dashboard!$B$5 &lt;= J265, L265, IF(Dashboard!$B$5 &lt;= K265, Dashboard!$B$9 * (L265 - (L265 - 0.7*Dashboard!$B$8*E265/12) * ((Dashboard!$B$5 - J265)/(K265 - J265))), M265 * E265 / 12) ), L265 )</f>
        <v>7125</v>
      </c>
      <c r="O265">
        <f t="shared" si="8"/>
        <v>4266.4670658682635</v>
      </c>
      <c r="P265" t="str">
        <f>IF(AND(O265 &gt;= Dashboard!$B$11, C265 &lt;= Dashboard!$B$6), "Pass", "Fail")</f>
        <v>Fail</v>
      </c>
      <c r="Q265">
        <f t="shared" si="9"/>
        <v>9999999</v>
      </c>
    </row>
    <row r="266" spans="1:17" x14ac:dyDescent="0.25">
      <c r="A266" t="s">
        <v>281</v>
      </c>
      <c r="B266">
        <v>397</v>
      </c>
      <c r="C266">
        <v>41</v>
      </c>
      <c r="D266">
        <v>1800</v>
      </c>
      <c r="E266">
        <v>1560</v>
      </c>
      <c r="F266">
        <v>3.64</v>
      </c>
      <c r="G266">
        <v>4.38</v>
      </c>
      <c r="H266">
        <v>142</v>
      </c>
      <c r="I266">
        <v>38.799999999999997</v>
      </c>
      <c r="J266">
        <f>1.76 * F266 * SQRT(29000 / Dashboard!$B$8) / 12</f>
        <v>12.857211918262495</v>
      </c>
      <c r="K266">
        <f>1.95 * G266 * (29000 / (0.7 * Dashboard!$B$8)) / 12 * SQRT((H266*1)/(E266*I266) + SQRT(((H266*1)/(E266*I266))^2 + 6.76*((0.7*Dashboard!$B$8)/29000)^2))</f>
        <v>46.674830525306845</v>
      </c>
      <c r="L266">
        <f>Dashboard!$B$8 * D266 / 12</f>
        <v>7500</v>
      </c>
      <c r="M266">
        <f>(Dashboard!$B$9 * PI()^2 * 29000 / ((Dashboard!$B$5*12)/G266)^2) * SQRT(1 + 0.078 * (H266*1)/(E266*I266) * ((Dashboard!$B$5*12)/G266)^2)</f>
        <v>2409.2616602136359</v>
      </c>
      <c r="N266">
        <f>MIN( IF(Dashboard!$B$5 &lt;= J266, L266, IF(Dashboard!$B$5 &lt;= K266, Dashboard!$B$9 * (L266 - (L266 - 0.7*Dashboard!$B$8*E266/12) * ((Dashboard!$B$5 - J266)/(K266 - J266))), M266 * E266 / 12) ), L266 )</f>
        <v>7500</v>
      </c>
      <c r="O266">
        <f t="shared" si="8"/>
        <v>4491.0179640718561</v>
      </c>
      <c r="P266" t="str">
        <f>IF(AND(O266 &gt;= Dashboard!$B$11, C266 &lt;= Dashboard!$B$6), "Pass", "Fail")</f>
        <v>Fail</v>
      </c>
      <c r="Q266">
        <f t="shared" si="9"/>
        <v>9999999</v>
      </c>
    </row>
    <row r="267" spans="1:17" x14ac:dyDescent="0.25">
      <c r="A267" t="s">
        <v>282</v>
      </c>
      <c r="B267">
        <v>398</v>
      </c>
      <c r="C267">
        <v>18.3</v>
      </c>
      <c r="D267">
        <v>801</v>
      </c>
      <c r="E267">
        <v>656</v>
      </c>
      <c r="F267">
        <v>4.3099999999999996</v>
      </c>
      <c r="G267">
        <v>5.05</v>
      </c>
      <c r="H267">
        <v>273</v>
      </c>
      <c r="I267">
        <v>15.5</v>
      </c>
      <c r="J267">
        <f>1.76 * F267 * SQRT(29000 / Dashboard!$B$8) / 12</f>
        <v>15.223786639481139</v>
      </c>
      <c r="K267">
        <f>1.95 * G267 * (29000 / (0.7 * Dashboard!$B$8)) / 12 * SQRT((H267*1)/(E267*I267) + SQRT(((H267*1)/(E267*I267))^2 + 6.76*((0.7*Dashboard!$B$8)/29000)^2))</f>
        <v>157.83052701814145</v>
      </c>
      <c r="L267">
        <f>Dashboard!$B$8 * D267 / 12</f>
        <v>3337.5</v>
      </c>
      <c r="M267">
        <f>(Dashboard!$B$9 * PI()^2 * 29000 / ((Dashboard!$B$5*12)/G267)^2) * SQRT(1 + 0.078 * (H267*1)/(E267*I267) * ((Dashboard!$B$5*12)/G267)^2)</f>
        <v>3454.8205864935967</v>
      </c>
      <c r="N267">
        <f>MIN( IF(Dashboard!$B$5 &lt;= J267, L267, IF(Dashboard!$B$5 &lt;= K267, Dashboard!$B$9 * (L267 - (L267 - 0.7*Dashboard!$B$8*E267/12) * ((Dashboard!$B$5 - J267)/(K267 - J267))), M267 * E267 / 12) ), L267 )</f>
        <v>3337.5</v>
      </c>
      <c r="O267">
        <f t="shared" si="8"/>
        <v>1998.5029940119762</v>
      </c>
      <c r="P267" t="str">
        <f>IF(AND(O267 &gt;= Dashboard!$B$11, C267 &lt;= Dashboard!$B$6), "Pass", "Fail")</f>
        <v>Fail</v>
      </c>
      <c r="Q267">
        <f t="shared" si="9"/>
        <v>9999999</v>
      </c>
    </row>
    <row r="268" spans="1:17" x14ac:dyDescent="0.25">
      <c r="A268" t="s">
        <v>283</v>
      </c>
      <c r="B268">
        <v>408</v>
      </c>
      <c r="C268">
        <v>44.8</v>
      </c>
      <c r="D268">
        <v>2000</v>
      </c>
      <c r="E268">
        <v>1730</v>
      </c>
      <c r="F268">
        <v>3.56</v>
      </c>
      <c r="G268">
        <v>4.33</v>
      </c>
      <c r="H268">
        <v>134</v>
      </c>
      <c r="I268">
        <v>42.6</v>
      </c>
      <c r="J268">
        <f>1.76 * F268 * SQRT(29000 / Dashboard!$B$8) / 12</f>
        <v>12.574635832146834</v>
      </c>
      <c r="K268">
        <f>1.95 * G268 * (29000 / (0.7 * Dashboard!$B$8)) / 12 * SQRT((H268*1)/(E268*I268) + SQRT(((H268*1)/(E268*I268))^2 + 6.76*((0.7*Dashboard!$B$8)/29000)^2))</f>
        <v>43.019497989790743</v>
      </c>
      <c r="L268">
        <f>Dashboard!$B$8 * D268 / 12</f>
        <v>8333.3333333333339</v>
      </c>
      <c r="M268">
        <f>(Dashboard!$B$9 * PI()^2 * 29000 / ((Dashboard!$B$5*12)/G268)^2) * SQRT(1 + 0.078 * (H268*1)/(E268*I268) * ((Dashboard!$B$5*12)/G268)^2)</f>
        <v>2349.3240694967494</v>
      </c>
      <c r="N268">
        <f>MIN( IF(Dashboard!$B$5 &lt;= J268, L268, IF(Dashboard!$B$5 &lt;= K268, Dashboard!$B$9 * (L268 - (L268 - 0.7*Dashboard!$B$8*E268/12) * ((Dashboard!$B$5 - J268)/(K268 - J268))), M268 * E268 / 12) ), L268 )</f>
        <v>8333.3333333333339</v>
      </c>
      <c r="O268">
        <f t="shared" si="8"/>
        <v>4990.0199600798405</v>
      </c>
      <c r="P268" t="str">
        <f>IF(AND(O268 &gt;= Dashboard!$B$11, C268 &lt;= Dashboard!$B$6), "Pass", "Fail")</f>
        <v>Fail</v>
      </c>
      <c r="Q268">
        <f t="shared" si="9"/>
        <v>9999999</v>
      </c>
    </row>
    <row r="269" spans="1:17" x14ac:dyDescent="0.25">
      <c r="A269" t="s">
        <v>284</v>
      </c>
      <c r="B269">
        <v>426</v>
      </c>
      <c r="C269">
        <v>18.7</v>
      </c>
      <c r="D269">
        <v>869</v>
      </c>
      <c r="E269">
        <v>706</v>
      </c>
      <c r="F269">
        <v>4.34</v>
      </c>
      <c r="G269">
        <v>5.1100000000000003</v>
      </c>
      <c r="H269">
        <v>331</v>
      </c>
      <c r="I269">
        <v>15.7</v>
      </c>
      <c r="J269">
        <f>1.76 * F269 * SQRT(29000 / Dashboard!$B$8) / 12</f>
        <v>15.329752671774513</v>
      </c>
      <c r="K269">
        <f>1.95 * G269 * (29000 / (0.7 * Dashboard!$B$8)) / 12 * SQRT((H269*1)/(E269*I269) + SQRT(((H269*1)/(E269*I269))^2 + 6.76*((0.7*Dashboard!$B$8)/29000)^2))</f>
        <v>168.37514924408913</v>
      </c>
      <c r="L269">
        <f>Dashboard!$B$8 * D269 / 12</f>
        <v>3620.8333333333335</v>
      </c>
      <c r="M269">
        <f>(Dashboard!$B$9 * PI()^2 * 29000 / ((Dashboard!$B$5*12)/G269)^2) * SQRT(1 + 0.078 * (H269*1)/(E269*I269) * ((Dashboard!$B$5*12)/G269)^2)</f>
        <v>3561.5962889526559</v>
      </c>
      <c r="N269">
        <f>MIN( IF(Dashboard!$B$5 &lt;= J269, L269, IF(Dashboard!$B$5 &lt;= K269, Dashboard!$B$9 * (L269 - (L269 - 0.7*Dashboard!$B$8*E269/12) * ((Dashboard!$B$5 - J269)/(K269 - J269))), M269 * E269 / 12) ), L269 )</f>
        <v>3620.8333333333335</v>
      </c>
      <c r="O269">
        <f t="shared" si="8"/>
        <v>2168.1636726546908</v>
      </c>
      <c r="P269" t="str">
        <f>IF(AND(O269 &gt;= Dashboard!$B$11, C269 &lt;= Dashboard!$B$6), "Pass", "Fail")</f>
        <v>Fail</v>
      </c>
      <c r="Q269">
        <f t="shared" si="9"/>
        <v>9999999</v>
      </c>
    </row>
    <row r="270" spans="1:17" x14ac:dyDescent="0.25">
      <c r="A270" t="s">
        <v>285</v>
      </c>
      <c r="B270">
        <v>431</v>
      </c>
      <c r="C270">
        <v>41.3</v>
      </c>
      <c r="D270">
        <v>1960</v>
      </c>
      <c r="E270">
        <v>1690</v>
      </c>
      <c r="F270">
        <v>3.65</v>
      </c>
      <c r="G270">
        <v>4.41</v>
      </c>
      <c r="H270">
        <v>177</v>
      </c>
      <c r="I270">
        <v>38.9</v>
      </c>
      <c r="J270">
        <f>1.76 * F270 * SQRT(29000 / Dashboard!$B$8) / 12</f>
        <v>12.892533929026952</v>
      </c>
      <c r="K270">
        <f>1.95 * G270 * (29000 / (0.7 * Dashboard!$B$8)) / 12 * SQRT((H270*1)/(E270*I270) + SQRT(((H270*1)/(E270*I270))^2 + 6.76*((0.7*Dashboard!$B$8)/29000)^2))</f>
        <v>49.061265239193091</v>
      </c>
      <c r="L270">
        <f>Dashboard!$B$8 * D270 / 12</f>
        <v>8166.666666666667</v>
      </c>
      <c r="M270">
        <f>(Dashboard!$B$9 * PI()^2 * 29000 / ((Dashboard!$B$5*12)/G270)^2) * SQRT(1 + 0.078 * (H270*1)/(E270*I270) * ((Dashboard!$B$5*12)/G270)^2)</f>
        <v>2445.8442192806256</v>
      </c>
      <c r="N270">
        <f>MIN( IF(Dashboard!$B$5 &lt;= J270, L270, IF(Dashboard!$B$5 &lt;= K270, Dashboard!$B$9 * (L270 - (L270 - 0.7*Dashboard!$B$8*E270/12) * ((Dashboard!$B$5 - J270)/(K270 - J270))), M270 * E270 / 12) ), L270 )</f>
        <v>8166.666666666667</v>
      </c>
      <c r="O270">
        <f t="shared" si="8"/>
        <v>4890.219560878244</v>
      </c>
      <c r="P270" t="str">
        <f>IF(AND(O270 &gt;= Dashboard!$B$11, C270 &lt;= Dashboard!$B$6), "Pass", "Fail")</f>
        <v>Fail</v>
      </c>
      <c r="Q270">
        <f t="shared" si="9"/>
        <v>9999999</v>
      </c>
    </row>
    <row r="271" spans="1:17" x14ac:dyDescent="0.25">
      <c r="A271" t="s">
        <v>286</v>
      </c>
      <c r="B271">
        <v>441</v>
      </c>
      <c r="C271">
        <v>38.9</v>
      </c>
      <c r="D271">
        <v>1910</v>
      </c>
      <c r="E271">
        <v>1650</v>
      </c>
      <c r="F271">
        <v>3.92</v>
      </c>
      <c r="G271">
        <v>4.6900000000000004</v>
      </c>
      <c r="H271">
        <v>194</v>
      </c>
      <c r="I271">
        <v>36.5</v>
      </c>
      <c r="J271">
        <f>1.76 * F271 * SQRT(29000 / Dashboard!$B$8) / 12</f>
        <v>13.846228219667301</v>
      </c>
      <c r="K271">
        <f>1.95 * G271 * (29000 / (0.7 * Dashboard!$B$8)) / 12 * SQRT((H271*1)/(E271*I271) + SQRT(((H271*1)/(E271*I271))^2 + 6.76*((0.7*Dashboard!$B$8)/29000)^2))</f>
        <v>55.477377850205457</v>
      </c>
      <c r="L271">
        <f>Dashboard!$B$8 * D271 / 12</f>
        <v>7958.333333333333</v>
      </c>
      <c r="M271">
        <f>(Dashboard!$B$9 * PI()^2 * 29000 / ((Dashboard!$B$5*12)/G271)^2) * SQRT(1 + 0.078 * (H271*1)/(E271*I271) * ((Dashboard!$B$5*12)/G271)^2)</f>
        <v>2768.2287249646292</v>
      </c>
      <c r="N271">
        <f>MIN( IF(Dashboard!$B$5 &lt;= J271, L271, IF(Dashboard!$B$5 &lt;= K271, Dashboard!$B$9 * (L271 - (L271 - 0.7*Dashboard!$B$8*E271/12) * ((Dashboard!$B$5 - J271)/(K271 - J271))), M271 * E271 / 12) ), L271 )</f>
        <v>7958.333333333333</v>
      </c>
      <c r="O271">
        <f t="shared" si="8"/>
        <v>4765.4690618762479</v>
      </c>
      <c r="P271" t="str">
        <f>IF(AND(O271 &gt;= Dashboard!$B$11, C271 &lt;= Dashboard!$B$6), "Pass", "Fail")</f>
        <v>Fail</v>
      </c>
      <c r="Q271">
        <f t="shared" si="9"/>
        <v>9999999</v>
      </c>
    </row>
    <row r="272" spans="1:17" x14ac:dyDescent="0.25">
      <c r="A272" t="s">
        <v>287</v>
      </c>
      <c r="B272">
        <v>455</v>
      </c>
      <c r="C272">
        <v>19</v>
      </c>
      <c r="D272">
        <v>936</v>
      </c>
      <c r="E272">
        <v>756</v>
      </c>
      <c r="F272">
        <v>4.38</v>
      </c>
      <c r="G272">
        <v>5.17</v>
      </c>
      <c r="H272">
        <v>395</v>
      </c>
      <c r="I272">
        <v>15.8</v>
      </c>
      <c r="J272">
        <f>1.76 * F272 * SQRT(29000 / Dashboard!$B$8) / 12</f>
        <v>15.471040714832341</v>
      </c>
      <c r="K272">
        <f>1.95 * G272 * (29000 / (0.7 * Dashboard!$B$8)) / 12 * SQRT((H272*1)/(E272*I272) + SQRT(((H272*1)/(E272*I272))^2 + 6.76*((0.7*Dashboard!$B$8)/29000)^2))</f>
        <v>179.21944959785597</v>
      </c>
      <c r="L272">
        <f>Dashboard!$B$8 * D272 / 12</f>
        <v>3900</v>
      </c>
      <c r="M272">
        <f>(Dashboard!$B$9 * PI()^2 * 29000 / ((Dashboard!$B$5*12)/G272)^2) * SQRT(1 + 0.078 * (H272*1)/(E272*I272) * ((Dashboard!$B$5*12)/G272)^2)</f>
        <v>3671.0648607483699</v>
      </c>
      <c r="N272">
        <f>MIN( IF(Dashboard!$B$5 &lt;= J272, L272, IF(Dashboard!$B$5 &lt;= K272, Dashboard!$B$9 * (L272 - (L272 - 0.7*Dashboard!$B$8*E272/12) * ((Dashboard!$B$5 - J272)/(K272 - J272))), M272 * E272 / 12) ), L272 )</f>
        <v>3900</v>
      </c>
      <c r="O272">
        <f t="shared" si="8"/>
        <v>2335.3293413173656</v>
      </c>
      <c r="P272" t="str">
        <f>IF(AND(O272 &gt;= Dashboard!$B$11, C272 &lt;= Dashboard!$B$6), "Pass", "Fail")</f>
        <v>Fail</v>
      </c>
      <c r="Q272">
        <f t="shared" si="9"/>
        <v>9999999</v>
      </c>
    </row>
    <row r="273" spans="1:17" x14ac:dyDescent="0.25">
      <c r="A273" t="s">
        <v>288</v>
      </c>
      <c r="B273">
        <v>487</v>
      </c>
      <c r="C273">
        <v>39.299999999999997</v>
      </c>
      <c r="D273">
        <v>2130</v>
      </c>
      <c r="E273">
        <v>1830</v>
      </c>
      <c r="F273">
        <v>3.96</v>
      </c>
      <c r="G273">
        <v>4.74</v>
      </c>
      <c r="H273">
        <v>258</v>
      </c>
      <c r="I273">
        <v>36.6</v>
      </c>
      <c r="J273">
        <f>1.76 * F273 * SQRT(29000 / Dashboard!$B$8) / 12</f>
        <v>13.98751626272513</v>
      </c>
      <c r="K273">
        <f>1.95 * G273 * (29000 / (0.7 * Dashboard!$B$8)) / 12 * SQRT((H273*1)/(E273*I273) + SQRT(((H273*1)/(E273*I273))^2 + 6.76*((0.7*Dashboard!$B$8)/29000)^2))</f>
        <v>59.938392138480665</v>
      </c>
      <c r="L273">
        <f>Dashboard!$B$8 * D273 / 12</f>
        <v>8875</v>
      </c>
      <c r="M273">
        <f>(Dashboard!$B$9 * PI()^2 * 29000 / ((Dashboard!$B$5*12)/G273)^2) * SQRT(1 + 0.078 * (H273*1)/(E273*I273) * ((Dashboard!$B$5*12)/G273)^2)</f>
        <v>2833.7498223406174</v>
      </c>
      <c r="N273">
        <f>MIN( IF(Dashboard!$B$5 &lt;= J273, L273, IF(Dashboard!$B$5 &lt;= K273, Dashboard!$B$9 * (L273 - (L273 - 0.7*Dashboard!$B$8*E273/12) * ((Dashboard!$B$5 - J273)/(K273 - J273))), M273 * E273 / 12) ), L273 )</f>
        <v>8875</v>
      </c>
      <c r="O273">
        <f t="shared" si="8"/>
        <v>5314.3712574850306</v>
      </c>
      <c r="P273" t="str">
        <f>IF(AND(O273 &gt;= Dashboard!$B$11, C273 &lt;= Dashboard!$B$6), "Pass", "Fail")</f>
        <v>Fail</v>
      </c>
      <c r="Q273">
        <f t="shared" si="9"/>
        <v>9999999</v>
      </c>
    </row>
    <row r="274" spans="1:17" x14ac:dyDescent="0.25">
      <c r="A274" t="s">
        <v>289</v>
      </c>
      <c r="B274">
        <v>500</v>
      </c>
      <c r="C274">
        <v>19.600000000000001</v>
      </c>
      <c r="D274">
        <v>1050</v>
      </c>
      <c r="E274">
        <v>838</v>
      </c>
      <c r="F274">
        <v>4.43</v>
      </c>
      <c r="G274">
        <v>5.26</v>
      </c>
      <c r="H274">
        <v>514</v>
      </c>
      <c r="I274">
        <v>16.100000000000001</v>
      </c>
      <c r="J274">
        <f>1.76 * F274 * SQRT(29000 / Dashboard!$B$8) / 12</f>
        <v>15.647650768654627</v>
      </c>
      <c r="K274">
        <f>1.95 * G274 * (29000 / (0.7 * Dashboard!$B$8)) / 12 * SQRT((H274*1)/(E274*I274) + SQRT(((H274*1)/(E274*I274))^2 + 6.76*((0.7*Dashboard!$B$8)/29000)^2))</f>
        <v>195.65819087980157</v>
      </c>
      <c r="L274">
        <f>Dashboard!$B$8 * D274 / 12</f>
        <v>4375</v>
      </c>
      <c r="M274">
        <f>(Dashboard!$B$9 * PI()^2 * 29000 / ((Dashboard!$B$5*12)/G274)^2) * SQRT(1 + 0.078 * (H274*1)/(E274*I274) * ((Dashboard!$B$5*12)/G274)^2)</f>
        <v>3838.8350973661218</v>
      </c>
      <c r="N274">
        <f>MIN( IF(Dashboard!$B$5 &lt;= J274, L274, IF(Dashboard!$B$5 &lt;= K274, Dashboard!$B$9 * (L274 - (L274 - 0.7*Dashboard!$B$8*E274/12) * ((Dashboard!$B$5 - J274)/(K274 - J274))), M274 * E274 / 12) ), L274 )</f>
        <v>4375</v>
      </c>
      <c r="O274">
        <f t="shared" si="8"/>
        <v>2619.7604790419164</v>
      </c>
      <c r="P274" t="str">
        <f>IF(AND(O274 &gt;= Dashboard!$B$11, C274 &lt;= Dashboard!$B$6), "Pass", "Fail")</f>
        <v>Fail</v>
      </c>
      <c r="Q274">
        <f t="shared" si="9"/>
        <v>9999999</v>
      </c>
    </row>
    <row r="275" spans="1:17" x14ac:dyDescent="0.25">
      <c r="A275" t="s">
        <v>290</v>
      </c>
      <c r="B275">
        <v>503</v>
      </c>
      <c r="C275">
        <v>42.1</v>
      </c>
      <c r="D275">
        <v>2320</v>
      </c>
      <c r="E275">
        <v>1980</v>
      </c>
      <c r="F275">
        <v>3.72</v>
      </c>
      <c r="G275">
        <v>4.5</v>
      </c>
      <c r="H275">
        <v>277</v>
      </c>
      <c r="I275">
        <v>39.299999999999997</v>
      </c>
      <c r="J275">
        <f>1.76 * F275 * SQRT(29000 / Dashboard!$B$8) / 12</f>
        <v>13.139788004378154</v>
      </c>
      <c r="K275">
        <f>1.95 * G275 * (29000 / (0.7 * Dashboard!$B$8)) / 12 * SQRT((H275*1)/(E275*I275) + SQRT(((H275*1)/(E275*I275))^2 + 6.76*((0.7*Dashboard!$B$8)/29000)^2))</f>
        <v>55.216572853893027</v>
      </c>
      <c r="L275">
        <f>Dashboard!$B$8 * D275 / 12</f>
        <v>9666.6666666666661</v>
      </c>
      <c r="M275">
        <f>(Dashboard!$B$9 * PI()^2 * 29000 / ((Dashboard!$B$5*12)/G275)^2) * SQRT(1 + 0.078 * (H275*1)/(E275*I275) * ((Dashboard!$B$5*12)/G275)^2)</f>
        <v>2555.0195778231764</v>
      </c>
      <c r="N275">
        <f>MIN( IF(Dashboard!$B$5 &lt;= J275, L275, IF(Dashboard!$B$5 &lt;= K275, Dashboard!$B$9 * (L275 - (L275 - 0.7*Dashboard!$B$8*E275/12) * ((Dashboard!$B$5 - J275)/(K275 - J275))), M275 * E275 / 12) ), L275 )</f>
        <v>9666.6666666666661</v>
      </c>
      <c r="O275">
        <f t="shared" si="8"/>
        <v>5788.4231536926145</v>
      </c>
      <c r="P275" t="str">
        <f>IF(AND(O275 &gt;= Dashboard!$B$11, C275 &lt;= Dashboard!$B$6), "Pass", "Fail")</f>
        <v>Fail</v>
      </c>
      <c r="Q275">
        <f t="shared" si="9"/>
        <v>9999999</v>
      </c>
    </row>
    <row r="276" spans="1:17" x14ac:dyDescent="0.25">
      <c r="A276" t="s">
        <v>291</v>
      </c>
      <c r="B276">
        <v>529</v>
      </c>
      <c r="C276">
        <v>39.799999999999997</v>
      </c>
      <c r="D276">
        <v>2330</v>
      </c>
      <c r="E276">
        <v>1990</v>
      </c>
      <c r="F276">
        <v>4</v>
      </c>
      <c r="G276">
        <v>4.8</v>
      </c>
      <c r="H276">
        <v>327</v>
      </c>
      <c r="I276">
        <v>36.9</v>
      </c>
      <c r="J276">
        <f>1.76 * F276 * SQRT(29000 / Dashboard!$B$8) / 12</f>
        <v>14.128804305782962</v>
      </c>
      <c r="K276">
        <f>1.95 * G276 * (29000 / (0.7 * Dashboard!$B$8)) / 12 * SQRT((H276*1)/(E276*I276) + SQRT(((H276*1)/(E276*I276))^2 + 6.76*((0.7*Dashboard!$B$8)/29000)^2))</f>
        <v>64.307353593066154</v>
      </c>
      <c r="L276">
        <f>Dashboard!$B$8 * D276 / 12</f>
        <v>9708.3333333333339</v>
      </c>
      <c r="M276">
        <f>(Dashboard!$B$9 * PI()^2 * 29000 / ((Dashboard!$B$5*12)/G276)^2) * SQRT(1 + 0.078 * (H276*1)/(E276*I276) * ((Dashboard!$B$5*12)/G276)^2)</f>
        <v>2911.4694625027978</v>
      </c>
      <c r="N276">
        <f>MIN( IF(Dashboard!$B$5 &lt;= J276, L276, IF(Dashboard!$B$5 &lt;= K276, Dashboard!$B$9 * (L276 - (L276 - 0.7*Dashboard!$B$8*E276/12) * ((Dashboard!$B$5 - J276)/(K276 - J276))), M276 * E276 / 12) ), L276 )</f>
        <v>9708.3333333333339</v>
      </c>
      <c r="O276">
        <f t="shared" si="8"/>
        <v>5813.373253493015</v>
      </c>
      <c r="P276" t="str">
        <f>IF(AND(O276 &gt;= Dashboard!$B$11, C276 &lt;= Dashboard!$B$6), "Pass", "Fail")</f>
        <v>Fail</v>
      </c>
      <c r="Q276">
        <f t="shared" si="9"/>
        <v>9999999</v>
      </c>
    </row>
    <row r="277" spans="1:17" x14ac:dyDescent="0.25">
      <c r="A277" t="s">
        <v>292</v>
      </c>
      <c r="B277">
        <v>539</v>
      </c>
      <c r="C277">
        <v>32.5</v>
      </c>
      <c r="D277">
        <v>1890</v>
      </c>
      <c r="E277">
        <v>1570</v>
      </c>
      <c r="F277">
        <v>3.65</v>
      </c>
      <c r="G277">
        <v>4.41</v>
      </c>
      <c r="H277">
        <v>496</v>
      </c>
      <c r="I277">
        <v>29</v>
      </c>
      <c r="J277">
        <f>1.76 * F277 * SQRT(29000 / Dashboard!$B$8) / 12</f>
        <v>12.892533929026952</v>
      </c>
      <c r="K277">
        <f>1.95 * G277 * (29000 / (0.7 * Dashboard!$B$8)) / 12 * SQRT((H277*1)/(E277*I277) + SQRT(((H277*1)/(E277*I277))^2 + 6.76*((0.7*Dashboard!$B$8)/29000)^2))</f>
        <v>88.5317520202438</v>
      </c>
      <c r="L277">
        <f>Dashboard!$B$8 * D277 / 12</f>
        <v>7875</v>
      </c>
      <c r="M277">
        <f>(Dashboard!$B$9 * PI()^2 * 29000 / ((Dashboard!$B$5*12)/G277)^2) * SQRT(1 + 0.078 * (H277*1)/(E277*I277) * ((Dashboard!$B$5*12)/G277)^2)</f>
        <v>2534.6632842776589</v>
      </c>
      <c r="N277">
        <f>MIN( IF(Dashboard!$B$5 &lt;= J277, L277, IF(Dashboard!$B$5 &lt;= K277, Dashboard!$B$9 * (L277 - (L277 - 0.7*Dashboard!$B$8*E277/12) * ((Dashboard!$B$5 - J277)/(K277 - J277))), M277 * E277 / 12) ), L277 )</f>
        <v>7875</v>
      </c>
      <c r="O277">
        <f t="shared" si="8"/>
        <v>4715.5688622754496</v>
      </c>
      <c r="P277" t="str">
        <f>IF(AND(O277 &gt;= Dashboard!$B$11, C277 &lt;= Dashboard!$B$6), "Pass", "Fail")</f>
        <v>Fail</v>
      </c>
      <c r="Q277">
        <f t="shared" si="9"/>
        <v>9999999</v>
      </c>
    </row>
    <row r="278" spans="1:17" x14ac:dyDescent="0.25">
      <c r="A278" t="s">
        <v>293</v>
      </c>
      <c r="B278">
        <v>550</v>
      </c>
      <c r="C278">
        <v>20.2</v>
      </c>
      <c r="D278">
        <v>1180</v>
      </c>
      <c r="E278">
        <v>931</v>
      </c>
      <c r="F278">
        <v>4.49</v>
      </c>
      <c r="G278">
        <v>5.35</v>
      </c>
      <c r="H278">
        <v>669</v>
      </c>
      <c r="I278">
        <v>16.399999999999999</v>
      </c>
      <c r="J278">
        <f>1.76 * F278 * SQRT(29000 / Dashboard!$B$8) / 12</f>
        <v>15.859582833241374</v>
      </c>
      <c r="K278">
        <f>1.95 * G278 * (29000 / (0.7 * Dashboard!$B$8)) / 12 * SQRT((H278*1)/(E278*I278) + SQRT(((H278*1)/(E278*I278))^2 + 6.76*((0.7*Dashboard!$B$8)/29000)^2))</f>
        <v>213.37635353228708</v>
      </c>
      <c r="L278">
        <f>Dashboard!$B$8 * D278 / 12</f>
        <v>4916.666666666667</v>
      </c>
      <c r="M278">
        <f>(Dashboard!$B$9 * PI()^2 * 29000 / ((Dashboard!$B$5*12)/G278)^2) * SQRT(1 + 0.078 * (H278*1)/(E278*I278) * ((Dashboard!$B$5*12)/G278)^2)</f>
        <v>4015.0984376022129</v>
      </c>
      <c r="N278">
        <f>MIN( IF(Dashboard!$B$5 &lt;= J278, L278, IF(Dashboard!$B$5 &lt;= K278, Dashboard!$B$9 * (L278 - (L278 - 0.7*Dashboard!$B$8*E278/12) * ((Dashboard!$B$5 - J278)/(K278 - J278))), M278 * E278 / 12) ), L278 )</f>
        <v>4916.666666666667</v>
      </c>
      <c r="O278">
        <f t="shared" si="8"/>
        <v>2944.111776447106</v>
      </c>
      <c r="P278" t="str">
        <f>IF(AND(O278 &gt;= Dashboard!$B$11, C278 &lt;= Dashboard!$B$6), "Pass", "Fail")</f>
        <v>Fail</v>
      </c>
      <c r="Q278">
        <f t="shared" si="9"/>
        <v>9999999</v>
      </c>
    </row>
    <row r="279" spans="1:17" x14ac:dyDescent="0.25">
      <c r="A279" t="s">
        <v>294</v>
      </c>
      <c r="B279">
        <v>593</v>
      </c>
      <c r="C279">
        <v>43</v>
      </c>
      <c r="D279">
        <v>2760</v>
      </c>
      <c r="E279">
        <v>2340</v>
      </c>
      <c r="F279">
        <v>3.8</v>
      </c>
      <c r="G279">
        <v>4.63</v>
      </c>
      <c r="H279">
        <v>445</v>
      </c>
      <c r="I279">
        <v>39.799999999999997</v>
      </c>
      <c r="J279">
        <f>1.76 * F279 * SQRT(29000 / Dashboard!$B$8) / 12</f>
        <v>13.422364090493813</v>
      </c>
      <c r="K279">
        <f>1.95 * G279 * (29000 / (0.7 * Dashboard!$B$8)) / 12 * SQRT((H279*1)/(E279*I279) + SQRT(((H279*1)/(E279*I279))^2 + 6.76*((0.7*Dashboard!$B$8)/29000)^2))</f>
        <v>63.862651347262563</v>
      </c>
      <c r="L279">
        <f>Dashboard!$B$8 * D279 / 12</f>
        <v>11500</v>
      </c>
      <c r="M279">
        <f>(Dashboard!$B$9 * PI()^2 * 29000 / ((Dashboard!$B$5*12)/G279)^2) * SQRT(1 + 0.078 * (H279*1)/(E279*I279) * ((Dashboard!$B$5*12)/G279)^2)</f>
        <v>2715.8499901210566</v>
      </c>
      <c r="N279">
        <f>MIN( IF(Dashboard!$B$5 &lt;= J279, L279, IF(Dashboard!$B$5 &lt;= K279, Dashboard!$B$9 * (L279 - (L279 - 0.7*Dashboard!$B$8*E279/12) * ((Dashboard!$B$5 - J279)/(K279 - J279))), M279 * E279 / 12) ), L279 )</f>
        <v>11500</v>
      </c>
      <c r="O279">
        <f t="shared" si="8"/>
        <v>6886.2275449101799</v>
      </c>
      <c r="P279" t="str">
        <f>IF(AND(O279 &gt;= Dashboard!$B$11, C279 &lt;= Dashboard!$B$6), "Pass", "Fail")</f>
        <v>Fail</v>
      </c>
      <c r="Q279">
        <f t="shared" si="9"/>
        <v>9999999</v>
      </c>
    </row>
    <row r="280" spans="1:17" x14ac:dyDescent="0.25">
      <c r="A280" t="s">
        <v>295</v>
      </c>
      <c r="B280">
        <v>605</v>
      </c>
      <c r="C280">
        <v>20.9</v>
      </c>
      <c r="D280">
        <v>1320</v>
      </c>
      <c r="E280">
        <v>1040</v>
      </c>
      <c r="F280">
        <v>4.55</v>
      </c>
      <c r="G280">
        <v>5.44</v>
      </c>
      <c r="H280">
        <v>869</v>
      </c>
      <c r="I280">
        <v>16.7</v>
      </c>
      <c r="J280">
        <f>1.76 * F280 * SQRT(29000 / Dashboard!$B$8) / 12</f>
        <v>16.071514897828116</v>
      </c>
      <c r="K280">
        <f>1.95 * G280 * (29000 / (0.7 * Dashboard!$B$8)) / 12 * SQRT((H280*1)/(E280*I280) + SQRT(((H280*1)/(E280*I280))^2 + 6.76*((0.7*Dashboard!$B$8)/29000)^2))</f>
        <v>231.81706683759327</v>
      </c>
      <c r="L280">
        <f>Dashboard!$B$8 * D280 / 12</f>
        <v>5500</v>
      </c>
      <c r="M280">
        <f>(Dashboard!$B$9 * PI()^2 * 29000 / ((Dashboard!$B$5*12)/G280)^2) * SQRT(1 + 0.078 * (H280*1)/(E280*I280) * ((Dashboard!$B$5*12)/G280)^2)</f>
        <v>4197.8384273806005</v>
      </c>
      <c r="N280">
        <f>MIN( IF(Dashboard!$B$5 &lt;= J280, L280, IF(Dashboard!$B$5 &lt;= K280, Dashboard!$B$9 * (L280 - (L280 - 0.7*Dashboard!$B$8*E280/12) * ((Dashboard!$B$5 - J280)/(K280 - J280))), M280 * E280 / 12) ), L280 )</f>
        <v>5500</v>
      </c>
      <c r="O280">
        <f t="shared" si="8"/>
        <v>3293.4131736526947</v>
      </c>
      <c r="P280" t="str">
        <f>IF(AND(O280 &gt;= Dashboard!$B$11, C280 &lt;= Dashboard!$B$6), "Pass", "Fail")</f>
        <v>Fail</v>
      </c>
      <c r="Q280">
        <f t="shared" si="9"/>
        <v>9999999</v>
      </c>
    </row>
    <row r="281" spans="1:17" x14ac:dyDescent="0.25">
      <c r="A281" t="s">
        <v>296</v>
      </c>
      <c r="B281">
        <v>652</v>
      </c>
      <c r="C281">
        <v>41.1</v>
      </c>
      <c r="D281">
        <v>2910</v>
      </c>
      <c r="E281">
        <v>2460</v>
      </c>
      <c r="F281">
        <v>4.0999999999999996</v>
      </c>
      <c r="G281">
        <v>4.96</v>
      </c>
      <c r="H281">
        <v>593</v>
      </c>
      <c r="I281">
        <v>37.6</v>
      </c>
      <c r="J281">
        <f>1.76 * F281 * SQRT(29000 / Dashboard!$B$8) / 12</f>
        <v>14.482024413427533</v>
      </c>
      <c r="K281">
        <f>1.95 * G281 * (29000 / (0.7 * Dashboard!$B$8)) / 12 * SQRT((H281*1)/(E281*I281) + SQRT(((H281*1)/(E281*I281))^2 + 6.76*((0.7*Dashboard!$B$8)/29000)^2))</f>
        <v>77.735134209472307</v>
      </c>
      <c r="L281">
        <f>Dashboard!$B$8 * D281 / 12</f>
        <v>12125</v>
      </c>
      <c r="M281">
        <f>(Dashboard!$B$9 * PI()^2 * 29000 / ((Dashboard!$B$5*12)/G281)^2) * SQRT(1 + 0.078 * (H281*1)/(E281*I281) * ((Dashboard!$B$5*12)/G281)^2)</f>
        <v>3126.9229370948788</v>
      </c>
      <c r="N281">
        <f>MIN( IF(Dashboard!$B$5 &lt;= J281, L281, IF(Dashboard!$B$5 &lt;= K281, Dashboard!$B$9 * (L281 - (L281 - 0.7*Dashboard!$B$8*E281/12) * ((Dashboard!$B$5 - J281)/(K281 - J281))), M281 * E281 / 12) ), L281 )</f>
        <v>12125</v>
      </c>
      <c r="O281">
        <f t="shared" si="8"/>
        <v>7260.4790419161682</v>
      </c>
      <c r="P281" t="str">
        <f>IF(AND(O281 &gt;= Dashboard!$B$11, C281 &lt;= Dashboard!$B$6), "Pass", "Fail")</f>
        <v>Fail</v>
      </c>
      <c r="Q281">
        <f t="shared" si="9"/>
        <v>9999999</v>
      </c>
    </row>
    <row r="282" spans="1:17" x14ac:dyDescent="0.25">
      <c r="A282" t="s">
        <v>297</v>
      </c>
      <c r="B282">
        <v>655</v>
      </c>
      <c r="C282">
        <v>43.6</v>
      </c>
      <c r="D282">
        <v>3080</v>
      </c>
      <c r="E282">
        <v>2590</v>
      </c>
      <c r="F282">
        <v>3.86</v>
      </c>
      <c r="G282">
        <v>4.71</v>
      </c>
      <c r="H282">
        <v>589</v>
      </c>
      <c r="I282">
        <v>40.1</v>
      </c>
      <c r="J282">
        <f>1.76 * F282 * SQRT(29000 / Dashboard!$B$8) / 12</f>
        <v>13.634296155080555</v>
      </c>
      <c r="K282">
        <f>1.95 * G282 * (29000 / (0.7 * Dashboard!$B$8)) / 12 * SQRT((H282*1)/(E282*I282) + SQRT(((H282*1)/(E282*I282))^2 + 6.76*((0.7*Dashboard!$B$8)/29000)^2))</f>
        <v>69.90978315668184</v>
      </c>
      <c r="L282">
        <f>Dashboard!$B$8 * D282 / 12</f>
        <v>12833.333333333334</v>
      </c>
      <c r="M282">
        <f>(Dashboard!$B$9 * PI()^2 * 29000 / ((Dashboard!$B$5*12)/G282)^2) * SQRT(1 + 0.078 * (H282*1)/(E282*I282) * ((Dashboard!$B$5*12)/G282)^2)</f>
        <v>2818.4530695043295</v>
      </c>
      <c r="N282">
        <f>MIN( IF(Dashboard!$B$5 &lt;= J282, L282, IF(Dashboard!$B$5 &lt;= K282, Dashboard!$B$9 * (L282 - (L282 - 0.7*Dashboard!$B$8*E282/12) * ((Dashboard!$B$5 - J282)/(K282 - J282))), M282 * E282 / 12) ), L282 )</f>
        <v>12833.333333333334</v>
      </c>
      <c r="O282">
        <f t="shared" si="8"/>
        <v>7684.6307385229547</v>
      </c>
      <c r="P282" t="str">
        <f>IF(AND(O282 &gt;= Dashboard!$B$11, C282 &lt;= Dashboard!$B$6), "Pass", "Fail")</f>
        <v>Fail</v>
      </c>
      <c r="Q282">
        <f t="shared" si="9"/>
        <v>9999999</v>
      </c>
    </row>
    <row r="283" spans="1:17" x14ac:dyDescent="0.25">
      <c r="A283" t="s">
        <v>298</v>
      </c>
      <c r="B283">
        <v>665</v>
      </c>
      <c r="C283">
        <v>21.6</v>
      </c>
      <c r="D283">
        <v>1480</v>
      </c>
      <c r="E283">
        <v>1150</v>
      </c>
      <c r="F283">
        <v>4.62</v>
      </c>
      <c r="G283">
        <v>5.57</v>
      </c>
      <c r="H283">
        <v>1120</v>
      </c>
      <c r="I283">
        <v>17.100000000000001</v>
      </c>
      <c r="J283">
        <f>1.76 * F283 * SQRT(29000 / Dashboard!$B$8) / 12</f>
        <v>16.318768973179321</v>
      </c>
      <c r="K283">
        <f>1.95 * G283 * (29000 / (0.7 * Dashboard!$B$8)) / 12 * SQRT((H283*1)/(E283*I283) + SQRT(((H283*1)/(E283*I283))^2 + 6.76*((0.7*Dashboard!$B$8)/29000)^2))</f>
        <v>253.20959078116081</v>
      </c>
      <c r="L283">
        <f>Dashboard!$B$8 * D283 / 12</f>
        <v>6166.666666666667</v>
      </c>
      <c r="M283">
        <f>(Dashboard!$B$9 * PI()^2 * 29000 / ((Dashboard!$B$5*12)/G283)^2) * SQRT(1 + 0.078 * (H283*1)/(E283*I283) * ((Dashboard!$B$5*12)/G283)^2)</f>
        <v>4444.6359957333543</v>
      </c>
      <c r="N283">
        <f>MIN( IF(Dashboard!$B$5 &lt;= J283, L283, IF(Dashboard!$B$5 &lt;= K283, Dashboard!$B$9 * (L283 - (L283 - 0.7*Dashboard!$B$8*E283/12) * ((Dashboard!$B$5 - J283)/(K283 - J283))), M283 * E283 / 12) ), L283 )</f>
        <v>6166.666666666667</v>
      </c>
      <c r="O283">
        <f t="shared" si="8"/>
        <v>3692.6147704590821</v>
      </c>
      <c r="P283" t="str">
        <f>IF(AND(O283 &gt;= Dashboard!$B$11, C283 &lt;= Dashboard!$B$6), "Pass", "Fail")</f>
        <v>Fail</v>
      </c>
      <c r="Q283">
        <f t="shared" si="9"/>
        <v>9999999</v>
      </c>
    </row>
    <row r="284" spans="1:17" x14ac:dyDescent="0.25">
      <c r="A284" t="s">
        <v>299</v>
      </c>
      <c r="B284">
        <v>723</v>
      </c>
      <c r="C284">
        <v>41.8</v>
      </c>
      <c r="D284">
        <v>3270</v>
      </c>
      <c r="E284">
        <v>2740</v>
      </c>
      <c r="F284">
        <v>4.17</v>
      </c>
      <c r="G284">
        <v>5.0599999999999996</v>
      </c>
      <c r="H284">
        <v>785</v>
      </c>
      <c r="I284">
        <v>37.9</v>
      </c>
      <c r="J284">
        <f>1.76 * F284 * SQRT(29000 / Dashboard!$B$8) / 12</f>
        <v>14.729278488778737</v>
      </c>
      <c r="K284">
        <f>1.95 * G284 * (29000 / (0.7 * Dashboard!$B$8)) / 12 * SQRT((H284*1)/(E284*I284) + SQRT(((H284*1)/(E284*I284))^2 + 6.76*((0.7*Dashboard!$B$8)/29000)^2))</f>
        <v>85.485185156061419</v>
      </c>
      <c r="L284">
        <f>Dashboard!$B$8 * D284 / 12</f>
        <v>13625</v>
      </c>
      <c r="M284">
        <f>(Dashboard!$B$9 * PI()^2 * 29000 / ((Dashboard!$B$5*12)/G284)^2) * SQRT(1 + 0.078 * (H284*1)/(E284*I284) * ((Dashboard!$B$5*12)/G284)^2)</f>
        <v>3263.9430718285153</v>
      </c>
      <c r="N284">
        <f>MIN( IF(Dashboard!$B$5 &lt;= J284, L284, IF(Dashboard!$B$5 &lt;= K284, Dashboard!$B$9 * (L284 - (L284 - 0.7*Dashboard!$B$8*E284/12) * ((Dashboard!$B$5 - J284)/(K284 - J284))), M284 * E284 / 12) ), L284 )</f>
        <v>13625</v>
      </c>
      <c r="O284">
        <f t="shared" si="8"/>
        <v>8158.6826347305396</v>
      </c>
      <c r="P284" t="str">
        <f>IF(AND(O284 &gt;= Dashboard!$B$11, C284 &lt;= Dashboard!$B$6), "Pass", "Fail")</f>
        <v>Fail</v>
      </c>
      <c r="Q284">
        <f t="shared" si="9"/>
        <v>9999999</v>
      </c>
    </row>
    <row r="285" spans="1:17" x14ac:dyDescent="0.25">
      <c r="A285" t="s">
        <v>300</v>
      </c>
      <c r="B285">
        <v>730</v>
      </c>
      <c r="C285">
        <v>22.4</v>
      </c>
      <c r="D285">
        <v>1660</v>
      </c>
      <c r="E285">
        <v>1280</v>
      </c>
      <c r="F285">
        <v>4.6900000000000004</v>
      </c>
      <c r="G285">
        <v>5.68</v>
      </c>
      <c r="H285">
        <v>1450</v>
      </c>
      <c r="I285">
        <v>17.5</v>
      </c>
      <c r="J285">
        <f>1.76 * F285 * SQRT(29000 / Dashboard!$B$8) / 12</f>
        <v>16.566023048530521</v>
      </c>
      <c r="K285">
        <f>1.95 * G285 * (29000 / (0.7 * Dashboard!$B$8)) / 12 * SQRT((H285*1)/(E285*I285) + SQRT(((H285*1)/(E285*I285))^2 + 6.76*((0.7*Dashboard!$B$8)/29000)^2))</f>
        <v>275.25429220668963</v>
      </c>
      <c r="L285">
        <f>Dashboard!$B$8 * D285 / 12</f>
        <v>6916.666666666667</v>
      </c>
      <c r="M285">
        <f>(Dashboard!$B$9 * PI()^2 * 29000 / ((Dashboard!$B$5*12)/G285)^2) * SQRT(1 + 0.078 * (H285*1)/(E285*I285) * ((Dashboard!$B$5*12)/G285)^2)</f>
        <v>4674.9160499097397</v>
      </c>
      <c r="N285">
        <f>MIN( IF(Dashboard!$B$5 &lt;= J285, L285, IF(Dashboard!$B$5 &lt;= K285, Dashboard!$B$9 * (L285 - (L285 - 0.7*Dashboard!$B$8*E285/12) * ((Dashboard!$B$5 - J285)/(K285 - J285))), M285 * E285 / 12) ), L285 )</f>
        <v>6916.666666666667</v>
      </c>
      <c r="O285">
        <f t="shared" si="8"/>
        <v>4141.7165668662674</v>
      </c>
      <c r="P285" t="str">
        <f>IF(AND(O285 &gt;= Dashboard!$B$11, C285 &lt;= Dashboard!$B$6), "Pass", "Fail")</f>
        <v>Fail</v>
      </c>
      <c r="Q285">
        <f t="shared" si="9"/>
        <v>9999999</v>
      </c>
    </row>
    <row r="286" spans="1:17" x14ac:dyDescent="0.25">
      <c r="A286" t="s">
        <v>301</v>
      </c>
      <c r="B286">
        <v>802</v>
      </c>
      <c r="C286">
        <v>42.6</v>
      </c>
      <c r="D286">
        <v>3660</v>
      </c>
      <c r="E286">
        <v>3040</v>
      </c>
      <c r="F286">
        <v>4.22</v>
      </c>
      <c r="G286">
        <v>5.15</v>
      </c>
      <c r="H286">
        <v>1050</v>
      </c>
      <c r="I286">
        <v>38.299999999999997</v>
      </c>
      <c r="J286">
        <f>1.76 * F286 * SQRT(29000 / Dashboard!$B$8) / 12</f>
        <v>14.905888542601025</v>
      </c>
      <c r="K286">
        <f>1.95 * G286 * (29000 / (0.7 * Dashboard!$B$8)) / 12 * SQRT((H286*1)/(E286*I286) + SQRT(((H286*1)/(E286*I286))^2 + 6.76*((0.7*Dashboard!$B$8)/29000)^2))</f>
        <v>94.48371288742787</v>
      </c>
      <c r="L286">
        <f>Dashboard!$B$8 * D286 / 12</f>
        <v>15250</v>
      </c>
      <c r="M286">
        <f>(Dashboard!$B$9 * PI()^2 * 29000 / ((Dashboard!$B$5*12)/G286)^2) * SQRT(1 + 0.078 * (H286*1)/(E286*I286) * ((Dashboard!$B$5*12)/G286)^2)</f>
        <v>3393.9777281605989</v>
      </c>
      <c r="N286">
        <f>MIN( IF(Dashboard!$B$5 &lt;= J286, L286, IF(Dashboard!$B$5 &lt;= K286, Dashboard!$B$9 * (L286 - (L286 - 0.7*Dashboard!$B$8*E286/12) * ((Dashboard!$B$5 - J286)/(K286 - J286))), M286 * E286 / 12) ), L286 )</f>
        <v>15250</v>
      </c>
      <c r="O286">
        <f t="shared" si="8"/>
        <v>9131.7365269461079</v>
      </c>
      <c r="P286" t="str">
        <f>IF(AND(O286 &gt;= Dashboard!$B$11, C286 &lt;= Dashboard!$B$6), "Pass", "Fail")</f>
        <v>Fail</v>
      </c>
      <c r="Q286">
        <f t="shared" si="9"/>
        <v>9999999</v>
      </c>
    </row>
    <row r="287" spans="1:17" x14ac:dyDescent="0.25">
      <c r="A287" t="s">
        <v>302</v>
      </c>
      <c r="B287">
        <v>808</v>
      </c>
      <c r="C287">
        <v>22.8</v>
      </c>
      <c r="D287">
        <v>1830</v>
      </c>
      <c r="E287">
        <v>1390</v>
      </c>
      <c r="F287">
        <v>4.83</v>
      </c>
      <c r="G287">
        <v>5.94</v>
      </c>
      <c r="H287">
        <v>1840</v>
      </c>
      <c r="I287">
        <v>17.7</v>
      </c>
      <c r="J287">
        <f>1.76 * F287 * SQRT(29000 / Dashboard!$B$8) / 12</f>
        <v>17.060531199232923</v>
      </c>
      <c r="K287">
        <f>1.95 * G287 * (29000 / (0.7 * Dashboard!$B$8)) / 12 * SQRT((H287*1)/(E287*I287) + SQRT(((H287*1)/(E287*I287))^2 + 6.76*((0.7*Dashboard!$B$8)/29000)^2))</f>
        <v>309.38207424268637</v>
      </c>
      <c r="L287">
        <f>Dashboard!$B$8 * D287 / 12</f>
        <v>7625</v>
      </c>
      <c r="M287">
        <f>(Dashboard!$B$9 * PI()^2 * 29000 / ((Dashboard!$B$5*12)/G287)^2) * SQRT(1 + 0.078 * (H287*1)/(E287*I287) * ((Dashboard!$B$5*12)/G287)^2)</f>
        <v>5150.7733677474525</v>
      </c>
      <c r="N287">
        <f>MIN( IF(Dashboard!$B$5 &lt;= J287, L287, IF(Dashboard!$B$5 &lt;= K287, Dashboard!$B$9 * (L287 - (L287 - 0.7*Dashboard!$B$8*E287/12) * ((Dashboard!$B$5 - J287)/(K287 - J287))), M287 * E287 / 12) ), L287 )</f>
        <v>7625</v>
      </c>
      <c r="O287">
        <f t="shared" si="8"/>
        <v>4565.868263473054</v>
      </c>
      <c r="P287" t="str">
        <f>IF(AND(O287 &gt;= Dashboard!$B$11, C287 &lt;= Dashboard!$B$6), "Pass", "Fail")</f>
        <v>Fail</v>
      </c>
      <c r="Q287">
        <f t="shared" si="9"/>
        <v>9999999</v>
      </c>
    </row>
    <row r="288" spans="1:17" x14ac:dyDescent="0.25">
      <c r="A288" t="s">
        <v>303</v>
      </c>
      <c r="B288">
        <v>853</v>
      </c>
      <c r="C288">
        <v>43.1</v>
      </c>
      <c r="D288">
        <v>3920</v>
      </c>
      <c r="E288">
        <v>3250</v>
      </c>
      <c r="F288">
        <v>4.28</v>
      </c>
      <c r="G288">
        <v>5.22</v>
      </c>
      <c r="H288">
        <v>1240</v>
      </c>
      <c r="I288">
        <v>38.6</v>
      </c>
      <c r="J288">
        <f>1.76 * F288 * SQRT(29000 / Dashboard!$B$8) / 12</f>
        <v>15.117820607187769</v>
      </c>
      <c r="K288">
        <f>1.95 * G288 * (29000 / (0.7 * Dashboard!$B$8)) / 12 * SQRT((H288*1)/(E288*I288) + SQRT(((H288*1)/(E288*I288))^2 + 6.76*((0.7*Dashboard!$B$8)/29000)^2))</f>
        <v>100.02753689411574</v>
      </c>
      <c r="L288">
        <f>Dashboard!$B$8 * D288 / 12</f>
        <v>16333.333333333334</v>
      </c>
      <c r="M288">
        <f>(Dashboard!$B$9 * PI()^2 * 29000 / ((Dashboard!$B$5*12)/G288)^2) * SQRT(1 + 0.078 * (H288*1)/(E288*I288) * ((Dashboard!$B$5*12)/G288)^2)</f>
        <v>3493.5744425786725</v>
      </c>
      <c r="N288">
        <f>MIN( IF(Dashboard!$B$5 &lt;= J288, L288, IF(Dashboard!$B$5 &lt;= K288, Dashboard!$B$9 * (L288 - (L288 - 0.7*Dashboard!$B$8*E288/12) * ((Dashboard!$B$5 - J288)/(K288 - J288))), M288 * E288 / 12) ), L288 )</f>
        <v>16333.333333333334</v>
      </c>
      <c r="O288">
        <f t="shared" si="8"/>
        <v>9780.439121756488</v>
      </c>
      <c r="P288" t="str">
        <f>IF(AND(O288 &gt;= Dashboard!$B$11, C288 &lt;= Dashboard!$B$6), "Pass", "Fail")</f>
        <v>Fail</v>
      </c>
      <c r="Q288">
        <f t="shared" si="9"/>
        <v>9999999</v>
      </c>
    </row>
    <row r="289" spans="1:17" x14ac:dyDescent="0.25">
      <c r="A289" t="s">
        <v>304</v>
      </c>
      <c r="B289">
        <v>873</v>
      </c>
      <c r="C289">
        <v>23.6</v>
      </c>
      <c r="D289">
        <v>2030</v>
      </c>
      <c r="E289">
        <v>1530</v>
      </c>
      <c r="F289">
        <v>4.9000000000000004</v>
      </c>
      <c r="G289">
        <v>6.04</v>
      </c>
      <c r="H289">
        <v>2270</v>
      </c>
      <c r="I289">
        <v>18.100000000000001</v>
      </c>
      <c r="J289">
        <f>1.76 * F289 * SQRT(29000 / Dashboard!$B$8) / 12</f>
        <v>17.307785274584127</v>
      </c>
      <c r="K289">
        <f>1.95 * G289 * (29000 / (0.7 * Dashboard!$B$8)) / 12 * SQRT((H289*1)/(E289*I289) + SQRT(((H289*1)/(E289*I289))^2 + 6.76*((0.7*Dashboard!$B$8)/29000)^2))</f>
        <v>329.33864377979256</v>
      </c>
      <c r="L289">
        <f>Dashboard!$B$8 * D289 / 12</f>
        <v>8458.3333333333339</v>
      </c>
      <c r="M289">
        <f>(Dashboard!$B$9 * PI()^2 * 29000 / ((Dashboard!$B$5*12)/G289)^2) * SQRT(1 + 0.078 * (H289*1)/(E289*I289) * ((Dashboard!$B$5*12)/G289)^2)</f>
        <v>5369.5849831388632</v>
      </c>
      <c r="N289">
        <f>MIN( IF(Dashboard!$B$5 &lt;= J289, L289, IF(Dashboard!$B$5 &lt;= K289, Dashboard!$B$9 * (L289 - (L289 - 0.7*Dashboard!$B$8*E289/12) * ((Dashboard!$B$5 - J289)/(K289 - J289))), M289 * E289 / 12) ), L289 )</f>
        <v>8458.3333333333339</v>
      </c>
      <c r="O289">
        <f t="shared" si="8"/>
        <v>5064.8702594810384</v>
      </c>
      <c r="P289" t="str">
        <f>IF(AND(O289 &gt;= Dashboard!$B$11, C289 &lt;= Dashboard!$B$6), "Pass", "Fail")</f>
        <v>Fail</v>
      </c>
      <c r="Q289">
        <f t="shared" si="9"/>
        <v>9999999</v>
      </c>
    </row>
    <row r="290" spans="1:17" x14ac:dyDescent="0.25">
      <c r="A290" t="s">
        <v>305</v>
      </c>
      <c r="B290">
        <v>925</v>
      </c>
      <c r="C290">
        <v>43.1</v>
      </c>
      <c r="D290">
        <v>4130</v>
      </c>
      <c r="E290">
        <v>3390</v>
      </c>
      <c r="F290">
        <v>4.26</v>
      </c>
      <c r="G290">
        <v>5.3</v>
      </c>
      <c r="H290">
        <v>1430</v>
      </c>
      <c r="I290">
        <v>38.6</v>
      </c>
      <c r="J290">
        <f>1.76 * F290 * SQRT(29000 / Dashboard!$B$8) / 12</f>
        <v>15.047176585658852</v>
      </c>
      <c r="K290">
        <f>1.95 * G290 * (29000 / (0.7 * Dashboard!$B$8)) / 12 * SQRT((H290*1)/(E290*I290) + SQRT(((H290*1)/(E290*I290))^2 + 6.76*((0.7*Dashboard!$B$8)/29000)^2))</f>
        <v>106.55952030456722</v>
      </c>
      <c r="L290">
        <f>Dashboard!$B$8 * D290 / 12</f>
        <v>17208.333333333332</v>
      </c>
      <c r="M290">
        <f>(Dashboard!$B$9 * PI()^2 * 29000 / ((Dashboard!$B$5*12)/G290)^2) * SQRT(1 + 0.078 * (H290*1)/(E290*I290) * ((Dashboard!$B$5*12)/G290)^2)</f>
        <v>3609.456206813767</v>
      </c>
      <c r="N290">
        <f>MIN( IF(Dashboard!$B$5 &lt;= J290, L290, IF(Dashboard!$B$5 &lt;= K290, Dashboard!$B$9 * (L290 - (L290 - 0.7*Dashboard!$B$8*E290/12) * ((Dashboard!$B$5 - J290)/(K290 - J290))), M290 * E290 / 12) ), L290 )</f>
        <v>17208.333333333332</v>
      </c>
      <c r="O290">
        <f t="shared" si="8"/>
        <v>10304.391217564869</v>
      </c>
      <c r="P290" t="str">
        <f>IF(AND(O290 &gt;= Dashboard!$B$11, C290 &lt;= Dashboard!$B$6), "Pass", "Fail")</f>
        <v>Fail</v>
      </c>
      <c r="Q290">
        <f t="shared" si="9"/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selection activeCell="E12" sqref="E12"/>
    </sheetView>
  </sheetViews>
  <sheetFormatPr defaultRowHeight="15" x14ac:dyDescent="0.25"/>
  <cols>
    <col min="1" max="1" width="27.7109375" bestFit="1" customWidth="1"/>
    <col min="5" max="5" width="9.5703125" bestFit="1" customWidth="1"/>
  </cols>
  <sheetData>
    <row r="1" spans="1:5" x14ac:dyDescent="0.25">
      <c r="A1" t="s">
        <v>306</v>
      </c>
      <c r="B1" s="1">
        <v>8</v>
      </c>
    </row>
    <row r="2" spans="1:5" x14ac:dyDescent="0.25">
      <c r="A2" t="s">
        <v>307</v>
      </c>
      <c r="B2" s="1">
        <v>3</v>
      </c>
    </row>
    <row r="3" spans="1:5" x14ac:dyDescent="0.25">
      <c r="A3" t="s">
        <v>308</v>
      </c>
      <c r="B3" s="1">
        <v>8</v>
      </c>
    </row>
    <row r="4" spans="1:5" x14ac:dyDescent="0.25">
      <c r="A4" t="s">
        <v>309</v>
      </c>
      <c r="B4" s="1">
        <v>300</v>
      </c>
    </row>
    <row r="5" spans="1:5" x14ac:dyDescent="0.25">
      <c r="A5" t="s">
        <v>310</v>
      </c>
      <c r="B5" s="1">
        <v>4</v>
      </c>
    </row>
    <row r="6" spans="1:5" ht="17.25" customHeight="1" x14ac:dyDescent="0.25">
      <c r="A6" t="s">
        <v>311</v>
      </c>
      <c r="B6" s="1">
        <v>8</v>
      </c>
    </row>
    <row r="8" spans="1:5" x14ac:dyDescent="0.25">
      <c r="A8" t="s">
        <v>312</v>
      </c>
      <c r="B8">
        <v>50</v>
      </c>
    </row>
    <row r="9" spans="1:5" x14ac:dyDescent="0.25">
      <c r="A9" t="s">
        <v>313</v>
      </c>
      <c r="B9">
        <v>1</v>
      </c>
    </row>
    <row r="10" spans="1:5" x14ac:dyDescent="0.25">
      <c r="A10" t="s">
        <v>314</v>
      </c>
      <c r="B10">
        <f>(B4*B3)/1000</f>
        <v>2.4</v>
      </c>
    </row>
    <row r="11" spans="1:5" x14ac:dyDescent="0.25">
      <c r="A11" t="s">
        <v>315</v>
      </c>
      <c r="B11">
        <f>MAX( B10 * (B2 ^ 2) / 2, B10 * (B1 ^ 2) / 8)</f>
        <v>19.2</v>
      </c>
    </row>
    <row r="14" spans="1:5" x14ac:dyDescent="0.25">
      <c r="A14" t="s">
        <v>316</v>
      </c>
      <c r="B14" t="s">
        <v>1</v>
      </c>
      <c r="C14" t="s">
        <v>317</v>
      </c>
      <c r="D14" t="s">
        <v>318</v>
      </c>
      <c r="E14" t="s">
        <v>319</v>
      </c>
    </row>
    <row r="15" spans="1:5" x14ac:dyDescent="0.25">
      <c r="A15" t="str">
        <f>IF(SMALL(Database!$Q$2:$Q$2000, 1)&gt;=9999999, "", INDEX(Database!A$2:A$2000, MATCH(SMALL(Database!$Q$2:$Q$2000, 1), Database!$Q$2:$Q$2000, 0)))</f>
        <v>W8X10</v>
      </c>
      <c r="B15">
        <f>IF($A$15="", "", INDEX(Database!B$2:B$2000, MATCH(SMALL(Database!$Q$2:$Q$2000, 1), Database!$Q$2:$Q$2000, 0)))</f>
        <v>10</v>
      </c>
      <c r="C15">
        <f>IF($A$15="", "", INDEX(Database!C$2:C$2000, MATCH(SMALL(Database!$Q$2:$Q$2000, 1), Database!$Q$2:$Q$2000, 0)))</f>
        <v>7.89</v>
      </c>
      <c r="D15">
        <f>IF($A$15="", "", INDEX(Database!O$2:O$2000, MATCH(SMALL(Database!$Q$2:$Q$2000, 1), Database!$Q$2:$Q$2000, 0)))</f>
        <v>20.556092560630454</v>
      </c>
      <c r="E15" s="2">
        <f>$B$11/D15</f>
        <v>0.93402965292987261</v>
      </c>
    </row>
    <row r="16" spans="1:5" x14ac:dyDescent="0.25">
      <c r="A16" t="str">
        <f>IF(SMALL(Database!$Q$2:$Q$2000, 2)&gt;=9999999, "", INDEX(Database!A$2:A$2000, MATCH(SMALL(Database!$Q$2:$Q$2000, 2), Database!$Q$2:$Q$2000, 0)))</f>
        <v>W6X12</v>
      </c>
      <c r="B16">
        <f>IF($A$16="", "", INDEX(Database!B$2:B$2000, MATCH(SMALL(Database!$Q$2:$Q$2000, 2), Database!$Q$2:$Q$2000, 0)))</f>
        <v>12</v>
      </c>
      <c r="C16">
        <f>IF($A$16="", "", INDEX(Database!C$2:C$2000, MATCH(SMALL(Database!$Q$2:$Q$2000, 2), Database!$Q$2:$Q$2000, 0)))</f>
        <v>6.03</v>
      </c>
      <c r="D16">
        <f>IF($A$16="", "", INDEX(Database!O$2:O$2000, MATCH(SMALL(Database!$Q$2:$Q$2000, 2), Database!$Q$2:$Q$2000, 0)))</f>
        <v>19.954343117549524</v>
      </c>
      <c r="E16" s="2">
        <f t="shared" ref="E16:E24" si="0">$B$11/D16</f>
        <v>0.96219654472684235</v>
      </c>
    </row>
    <row r="17" spans="1:5" x14ac:dyDescent="0.25">
      <c r="A17" t="str">
        <f>IF(SMALL(Database!$Q$2:$Q$2000, 3)&gt;=9999999, "", INDEX(Database!A$2:A$2000, MATCH(SMALL(Database!$Q$2:$Q$2000, 3), Database!$Q$2:$Q$2000, 0)))</f>
        <v>W8X13</v>
      </c>
      <c r="B17">
        <f>IF($A$17="", "", INDEX(Database!B$2:B$2000, MATCH(SMALL(Database!$Q$2:$Q$2000, 3), Database!$Q$2:$Q$2000, 0)))</f>
        <v>13</v>
      </c>
      <c r="C17">
        <f>IF($A$17="", "", INDEX(Database!C$2:C$2000, MATCH(SMALL(Database!$Q$2:$Q$2000, 3), Database!$Q$2:$Q$2000, 0)))</f>
        <v>7.99</v>
      </c>
      <c r="D17">
        <f>IF($A$17="", "", INDEX(Database!O$2:O$2000, MATCH(SMALL(Database!$Q$2:$Q$2000, 3), Database!$Q$2:$Q$2000, 0)))</f>
        <v>26.635269879040408</v>
      </c>
      <c r="E17" s="2">
        <f t="shared" si="0"/>
        <v>0.72084871252266514</v>
      </c>
    </row>
    <row r="18" spans="1:5" x14ac:dyDescent="0.25">
      <c r="A18" t="str">
        <f>IF(SMALL(Database!$Q$2:$Q$2000, 4)&gt;=9999999, "", INDEX(Database!A$2:A$2000, MATCH(SMALL(Database!$Q$2:$Q$2000, 4), Database!$Q$2:$Q$2000, 0)))</f>
        <v>W6X15</v>
      </c>
      <c r="B18">
        <f>IF($A$18="", "", INDEX(Database!B$2:B$2000, MATCH(SMALL(Database!$Q$2:$Q$2000, 4), Database!$Q$2:$Q$2000, 0)))</f>
        <v>15</v>
      </c>
      <c r="C18">
        <f>IF($A$18="", "", INDEX(Database!C$2:C$2000, MATCH(SMALL(Database!$Q$2:$Q$2000, 4), Database!$Q$2:$Q$2000, 0)))</f>
        <v>5.99</v>
      </c>
      <c r="D18">
        <f>IF($A$18="", "", INDEX(Database!O$2:O$2000, MATCH(SMALL(Database!$Q$2:$Q$2000, 4), Database!$Q$2:$Q$2000, 0)))</f>
        <v>26.946107784431138</v>
      </c>
      <c r="E18" s="2">
        <f t="shared" si="0"/>
        <v>0.71253333333333324</v>
      </c>
    </row>
    <row r="19" spans="1:5" x14ac:dyDescent="0.25">
      <c r="A19" t="str">
        <f>IF(SMALL(Database!$Q$2:$Q$2000, 5)&gt;=9999999, "", INDEX(Database!A$2:A$2000, MATCH(SMALL(Database!$Q$2:$Q$2000, 5), Database!$Q$2:$Q$2000, 0)))</f>
        <v>W6X16</v>
      </c>
      <c r="B19">
        <f>IF($A$19="", "", INDEX(Database!B$2:B$2000, MATCH(SMALL(Database!$Q$2:$Q$2000, 5), Database!$Q$2:$Q$2000, 0)))</f>
        <v>16</v>
      </c>
      <c r="C19">
        <f>IF($A$19="", "", INDEX(Database!C$2:C$2000, MATCH(SMALL(Database!$Q$2:$Q$2000, 5), Database!$Q$2:$Q$2000, 0)))</f>
        <v>6.28</v>
      </c>
      <c r="D19">
        <f>IF($A$19="", "", INDEX(Database!O$2:O$2000, MATCH(SMALL(Database!$Q$2:$Q$2000, 5), Database!$Q$2:$Q$2000, 0)))</f>
        <v>28.569120968049887</v>
      </c>
      <c r="E19" s="2">
        <f t="shared" si="0"/>
        <v>0.67205427921538818</v>
      </c>
    </row>
    <row r="20" spans="1:5" x14ac:dyDescent="0.25">
      <c r="A20" t="str">
        <f>IF(SMALL(Database!$Q$2:$Q$2000, 6)&gt;=9999999, "", INDEX(Database!A$2:A$2000, MATCH(SMALL(Database!$Q$2:$Q$2000, 6), Database!$Q$2:$Q$2000, 0)))</f>
        <v>W5X16</v>
      </c>
      <c r="B20">
        <f>IF($A$20="", "", INDEX(Database!B$2:B$2000, MATCH(SMALL(Database!$Q$2:$Q$2000, 6), Database!$Q$2:$Q$2000, 0)))</f>
        <v>16</v>
      </c>
      <c r="C20">
        <f>IF($A$20="", "", INDEX(Database!C$2:C$2000, MATCH(SMALL(Database!$Q$2:$Q$2000, 6), Database!$Q$2:$Q$2000, 0)))</f>
        <v>5.01</v>
      </c>
      <c r="D20">
        <f>IF($A$20="", "", INDEX(Database!O$2:O$2000, MATCH(SMALL(Database!$Q$2:$Q$2000, 6), Database!$Q$2:$Q$2000, 0)))</f>
        <v>24.026946107784436</v>
      </c>
      <c r="E20" s="2">
        <f t="shared" si="0"/>
        <v>0.79910280373831755</v>
      </c>
    </row>
    <row r="21" spans="1:5" x14ac:dyDescent="0.25">
      <c r="A21" t="str">
        <f>IF(SMALL(Database!$Q$2:$Q$2000, 7)&gt;=9999999, "", INDEX(Database!A$2:A$2000, MATCH(SMALL(Database!$Q$2:$Q$2000, 7), Database!$Q$2:$Q$2000, 0)))</f>
        <v>W5X19</v>
      </c>
      <c r="B21">
        <f>IF($A$21="", "", INDEX(Database!B$2:B$2000, MATCH(SMALL(Database!$Q$2:$Q$2000, 7), Database!$Q$2:$Q$2000, 0)))</f>
        <v>19</v>
      </c>
      <c r="C21">
        <f>IF($A$21="", "", INDEX(Database!C$2:C$2000, MATCH(SMALL(Database!$Q$2:$Q$2000, 7), Database!$Q$2:$Q$2000, 0)))</f>
        <v>5.15</v>
      </c>
      <c r="D21">
        <f>IF($A$21="", "", INDEX(Database!O$2:O$2000, MATCH(SMALL(Database!$Q$2:$Q$2000, 7), Database!$Q$2:$Q$2000, 0)))</f>
        <v>28.942115768463076</v>
      </c>
      <c r="E21" s="2">
        <f t="shared" si="0"/>
        <v>0.66339310344827584</v>
      </c>
    </row>
    <row r="22" spans="1:5" x14ac:dyDescent="0.25">
      <c r="A22" t="str">
        <f>IF(SMALL(Database!$Q$2:$Q$2000, 8)&gt;=9999999, "", INDEX(Database!A$2:A$2000, MATCH(SMALL(Database!$Q$2:$Q$2000, 8), Database!$Q$2:$Q$2000, 0)))</f>
        <v>W6X20</v>
      </c>
      <c r="B22">
        <f>IF($A$22="", "", INDEX(Database!B$2:B$2000, MATCH(SMALL(Database!$Q$2:$Q$2000, 8), Database!$Q$2:$Q$2000, 0)))</f>
        <v>20</v>
      </c>
      <c r="C22">
        <f>IF($A$22="", "", INDEX(Database!C$2:C$2000, MATCH(SMALL(Database!$Q$2:$Q$2000, 8), Database!$Q$2:$Q$2000, 0)))</f>
        <v>6.2</v>
      </c>
      <c r="D22">
        <f>IF($A$22="", "", INDEX(Database!O$2:O$2000, MATCH(SMALL(Database!$Q$2:$Q$2000, 8), Database!$Q$2:$Q$2000, 0)))</f>
        <v>37.175648702594813</v>
      </c>
      <c r="E22" s="2">
        <f t="shared" si="0"/>
        <v>0.51646711409395962</v>
      </c>
    </row>
    <row r="23" spans="1:5" x14ac:dyDescent="0.25">
      <c r="A23" t="str">
        <f>IF(SMALL(Database!$Q$2:$Q$2000, 9)&gt;=9999999, "", INDEX(Database!A$2:A$2000, MATCH(SMALL(Database!$Q$2:$Q$2000, 9), Database!$Q$2:$Q$2000, 0)))</f>
        <v>W8X24</v>
      </c>
      <c r="B23">
        <f>IF($A$23="", "", INDEX(Database!B$2:B$2000, MATCH(SMALL(Database!$Q$2:$Q$2000, 9), Database!$Q$2:$Q$2000, 0)))</f>
        <v>24</v>
      </c>
      <c r="C23">
        <f>IF($A$23="", "", INDEX(Database!C$2:C$2000, MATCH(SMALL(Database!$Q$2:$Q$2000, 9), Database!$Q$2:$Q$2000, 0)))</f>
        <v>7.93</v>
      </c>
      <c r="D23">
        <f>IF($A$23="", "", INDEX(Database!O$2:O$2000, MATCH(SMALL(Database!$Q$2:$Q$2000, 9), Database!$Q$2:$Q$2000, 0)))</f>
        <v>57.634730538922156</v>
      </c>
      <c r="E23" s="2">
        <f t="shared" si="0"/>
        <v>0.3331324675324675</v>
      </c>
    </row>
    <row r="24" spans="1:5" x14ac:dyDescent="0.25">
      <c r="A24" t="str">
        <f>IF(SMALL(Database!$Q$2:$Q$2000, 10)&gt;=9999999, "", INDEX(Database!A$2:A$2000, MATCH(SMALL(Database!$Q$2:$Q$2000, 10), Database!$Q$2:$Q$2000, 0)))</f>
        <v>W6X25</v>
      </c>
      <c r="B24">
        <f>IF($A$24="", "", INDEX(Database!B$2:B$2000, MATCH(SMALL(Database!$Q$2:$Q$2000, 10), Database!$Q$2:$Q$2000, 0)))</f>
        <v>25</v>
      </c>
      <c r="C24">
        <f>IF($A$24="", "", INDEX(Database!C$2:C$2000, MATCH(SMALL(Database!$Q$2:$Q$2000, 10), Database!$Q$2:$Q$2000, 0)))</f>
        <v>6.38</v>
      </c>
      <c r="D24">
        <f>IF($A$24="", "", INDEX(Database!O$2:O$2000, MATCH(SMALL(Database!$Q$2:$Q$2000, 10), Database!$Q$2:$Q$2000, 0)))</f>
        <v>47.155688622754482</v>
      </c>
      <c r="E24" s="2">
        <f t="shared" si="0"/>
        <v>0.40716190476190484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Mateus Farias de Barros</cp:lastModifiedBy>
  <dcterms:created xsi:type="dcterms:W3CDTF">2026-06-02T14:28:15Z</dcterms:created>
  <dcterms:modified xsi:type="dcterms:W3CDTF">2026-06-02T14:44:00Z</dcterms:modified>
</cp:coreProperties>
</file>