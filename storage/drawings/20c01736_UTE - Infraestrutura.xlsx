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dradegutierrez365.sharepoint.com/sites/ProjetoeMetodologiaCivil/Documentos Compartilhados/04_Referencias_Internas/01-Projetos/18_TERMOELETRICAS/"/>
    </mc:Choice>
  </mc:AlternateContent>
  <xr:revisionPtr revIDLastSave="1705" documentId="8_{126F7A41-DCB5-4B28-BB17-D4F8C6A26812}" xr6:coauthVersionLast="47" xr6:coauthVersionMax="47" xr10:uidLastSave="{17B9D3DB-4D57-464B-A640-1E055D5D04B4}"/>
  <bookViews>
    <workbookView xWindow="28680" yWindow="-120" windowWidth="29040" windowHeight="15840" xr2:uid="{A4A775E7-546B-4312-93B3-D7F225494CA7}"/>
  </bookViews>
  <sheets>
    <sheet name="SIM. - DRENAGEM" sheetId="2" r:id="rId1"/>
    <sheet name="SIM. - TERRAPLANAGEM" sheetId="5" r:id="rId2"/>
    <sheet name="SIM. - PAVIMENTAÇÃO" sheetId="6" r:id="rId3"/>
    <sheet name="TBARC" sheetId="1" r:id="rId4"/>
  </sheets>
  <definedNames>
    <definedName name="_xlnm._FilterDatabase" localSheetId="3" hidden="1">TBARC!$I$21:$K$21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5" i="2" l="1" a="1"/>
  <c r="D16" i="2" a="1"/>
  <c r="D17" i="2" a="1"/>
  <c r="D18" i="2" a="1"/>
  <c r="D19" i="2" a="1"/>
  <c r="D20" i="2" a="1"/>
  <c r="D21" i="2" a="1"/>
  <c r="D22" i="2" a="1"/>
  <c r="D23" i="2" a="1"/>
  <c r="D24" i="2" a="1"/>
  <c r="D25" i="2" a="1"/>
  <c r="D26" i="2" a="1"/>
  <c r="D27" i="2" a="1"/>
  <c r="D28" i="2" a="1"/>
  <c r="D29" i="2" a="1"/>
  <c r="M10" i="2"/>
  <c r="M9" i="2"/>
  <c r="M8" i="2"/>
  <c r="L10" i="2"/>
  <c r="L9" i="2"/>
  <c r="L8" i="2"/>
  <c r="J7" i="2"/>
  <c r="K7" i="2"/>
  <c r="J9" i="2"/>
  <c r="J10" i="2"/>
  <c r="C4" i="2" a="1"/>
  <c r="K10" i="1"/>
  <c r="J8" i="2" l="1"/>
  <c r="K10" i="2"/>
  <c r="N10" i="2" s="1"/>
  <c r="K8" i="2"/>
  <c r="N8" i="2" s="1"/>
  <c r="K9" i="2"/>
  <c r="N9" i="2" s="1"/>
  <c r="A27" i="1"/>
  <c r="A28" i="1"/>
  <c r="A29" i="1"/>
  <c r="K16" i="1"/>
  <c r="C8" i="1"/>
  <c r="E28" i="2" l="1"/>
  <c r="E29" i="2"/>
  <c r="E15" i="2"/>
  <c r="E23" i="2"/>
  <c r="E16" i="2"/>
  <c r="E24" i="2"/>
  <c r="E17" i="2"/>
  <c r="E25" i="2"/>
  <c r="E18" i="2"/>
  <c r="E19" i="2"/>
  <c r="E22" i="2"/>
  <c r="E21" i="2"/>
  <c r="E20" i="2"/>
  <c r="E26" i="2"/>
  <c r="E2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<sst xmlns="http://schemas.openxmlformats.org/spreadsheetml/2006/main" count="209" uniqueCount="118">
  <si>
    <t xml:space="preserve">DISCIPLINA </t>
  </si>
  <si>
    <t>DIÂMETRO (mm)</t>
  </si>
  <si>
    <t>COMPRIMENTO (m)</t>
  </si>
  <si>
    <t>GNA I</t>
  </si>
  <si>
    <t>GNA II</t>
  </si>
  <si>
    <t>PCEM</t>
  </si>
  <si>
    <t>TUBOS DE DRENAGEM</t>
  </si>
  <si>
    <t>INFORMAÇÕES GERAIS DO PROJETO</t>
  </si>
  <si>
    <t>CRITÉRIOS DE DRENAGEM</t>
  </si>
  <si>
    <t>VALOR</t>
  </si>
  <si>
    <t>ITEM</t>
  </si>
  <si>
    <t>Tr</t>
  </si>
  <si>
    <t>UNIDADE</t>
  </si>
  <si>
    <t>m²</t>
  </si>
  <si>
    <t>un</t>
  </si>
  <si>
    <t>IDF - K</t>
  </si>
  <si>
    <t>IDF - a</t>
  </si>
  <si>
    <t>IDF - b</t>
  </si>
  <si>
    <t>IDF - c</t>
  </si>
  <si>
    <t>CRITÉRIOS DE TERRAPLANAGEM</t>
  </si>
  <si>
    <t>CRITÉRIOS DE PAVIMENTAÇÃO</t>
  </si>
  <si>
    <t>PAVIMENTAÇÃO</t>
  </si>
  <si>
    <t>TERRAPLANAGEM</t>
  </si>
  <si>
    <t>Área total</t>
  </si>
  <si>
    <t>Área total das turbinas</t>
  </si>
  <si>
    <t>Área unitária das turbinas</t>
  </si>
  <si>
    <t>Turbinas</t>
  </si>
  <si>
    <t>Intensidade de chuva</t>
  </si>
  <si>
    <t>Run off - Área britada</t>
  </si>
  <si>
    <t>Run off - Área pavimentada</t>
  </si>
  <si>
    <t>Run off - Área coberta</t>
  </si>
  <si>
    <t>Run off - Área de talude</t>
  </si>
  <si>
    <t>Run off - Média</t>
  </si>
  <si>
    <t xml:space="preserve">Tc </t>
  </si>
  <si>
    <t>mín</t>
  </si>
  <si>
    <t>anos</t>
  </si>
  <si>
    <t>mm/h</t>
  </si>
  <si>
    <t>m</t>
  </si>
  <si>
    <t xml:space="preserve">Empolamento 1ª e 2ª </t>
  </si>
  <si>
    <t>Corte -&gt; Aterro Compactado</t>
  </si>
  <si>
    <t>Aproveitamento - Material de Corte</t>
  </si>
  <si>
    <t>Não</t>
  </si>
  <si>
    <t>Jazida Externa considera empolamento?</t>
  </si>
  <si>
    <t>Bota-fora considera empolamento?</t>
  </si>
  <si>
    <t>Raspagem</t>
  </si>
  <si>
    <t>Largura do acesso</t>
  </si>
  <si>
    <t>Camada Asfáltica</t>
  </si>
  <si>
    <t>Base</t>
  </si>
  <si>
    <t>Sub-base</t>
  </si>
  <si>
    <t>CBR do reforço do subleito</t>
  </si>
  <si>
    <t>Reforço do subleito</t>
  </si>
  <si>
    <t>CAMADA</t>
  </si>
  <si>
    <t>m³</t>
  </si>
  <si>
    <t>REMOÇÃO DO PAV EXISTENTE</t>
  </si>
  <si>
    <t>REFORÇO DO SUBLEITO</t>
  </si>
  <si>
    <t>SUB-BASE</t>
  </si>
  <si>
    <t>BASE</t>
  </si>
  <si>
    <t>CAMADA ASFÁLTICA</t>
  </si>
  <si>
    <t>Material de sub-base</t>
  </si>
  <si>
    <t>Material de base</t>
  </si>
  <si>
    <t>Material da camada asfáltica</t>
  </si>
  <si>
    <t>CORTE</t>
  </si>
  <si>
    <t>ATERRO</t>
  </si>
  <si>
    <t>RASPAGEM</t>
  </si>
  <si>
    <t>Raio de Curva interno</t>
  </si>
  <si>
    <t>REFERÊNCIAS</t>
  </si>
  <si>
    <t>Qtd. Drenagem</t>
  </si>
  <si>
    <t>Crit. Terraplanagem</t>
  </si>
  <si>
    <t>Crit. Drenagem</t>
  </si>
  <si>
    <t>Crit. Pavimentação</t>
  </si>
  <si>
    <t>Qtd. Tererraplanagem</t>
  </si>
  <si>
    <t>Qtd. Pavimentação</t>
  </si>
  <si>
    <t>CADASTRO</t>
  </si>
  <si>
    <t>INFO</t>
  </si>
  <si>
    <t>Data de Preenchimento</t>
  </si>
  <si>
    <t>Responsável</t>
  </si>
  <si>
    <t>Wagner Lasagno</t>
  </si>
  <si>
    <t>Revisado</t>
  </si>
  <si>
    <t>Versão</t>
  </si>
  <si>
    <t>LINK</t>
  </si>
  <si>
    <t>Tipo de Ciclo</t>
  </si>
  <si>
    <t>Ciclo Aberto</t>
  </si>
  <si>
    <t>Talude de corte</t>
  </si>
  <si>
    <t>Talude de aterro</t>
  </si>
  <si>
    <t>1:2</t>
  </si>
  <si>
    <t>Largura da berma</t>
  </si>
  <si>
    <t>Declividade mínima dos dispositivos de drenagem</t>
  </si>
  <si>
    <t>Brita Graduada Simples CBR&gt;60% EXP &lt;2%</t>
  </si>
  <si>
    <t>Concreto Fck 30 Mpa</t>
  </si>
  <si>
    <t>Declividade transversal da via</t>
  </si>
  <si>
    <t>Valor de N: eixo padrão - 8,2tf - USACE</t>
  </si>
  <si>
    <t>Valor de N: eixo padrão - 8,2tf - AASHTO</t>
  </si>
  <si>
    <t>1,0 x 10^6</t>
  </si>
  <si>
    <t>4,0 x 10^5</t>
  </si>
  <si>
    <t>Run off - Terreno Natural</t>
  </si>
  <si>
    <t>x</t>
  </si>
  <si>
    <t>DISCIPLINA</t>
  </si>
  <si>
    <t>REFERÊNCIA</t>
  </si>
  <si>
    <t>ÁREA (m²)</t>
  </si>
  <si>
    <t>PROJETO</t>
  </si>
  <si>
    <t>TBARC</t>
  </si>
  <si>
    <t>UTLIN</t>
  </si>
  <si>
    <t>SIMULAÇÃO</t>
  </si>
  <si>
    <t>SETOR</t>
  </si>
  <si>
    <t>ÁREA DAS TURBINAS</t>
  </si>
  <si>
    <t>SUBESTAÇÃO</t>
  </si>
  <si>
    <t>PLUVIAL</t>
  </si>
  <si>
    <t>OLEOSA</t>
  </si>
  <si>
    <t>CONTAMINADA</t>
  </si>
  <si>
    <t>NÃO</t>
  </si>
  <si>
    <t>SIM</t>
  </si>
  <si>
    <t>[PREENCHER]</t>
  </si>
  <si>
    <t>COMP. REFERÊNCIA (m)</t>
  </si>
  <si>
    <t>COMP. PROJETO (m)</t>
  </si>
  <si>
    <t>DADOS DE ENTRADA</t>
  </si>
  <si>
    <t>RESULTADO</t>
  </si>
  <si>
    <t>TOTAL</t>
  </si>
  <si>
    <t>DADOS - ÁREAS DE CONTRIBUIÇÃO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</si>
</sst>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01">
    <xf numFmtId="0" fontId="0" fillId="0" borderId="0" xfId="0"/>
    <xf numFmtId="0" fontId="2" fillId="5" borderId="2" xfId="0" applyFont="1" applyFill="1" applyBorder="1"/>
    <xf numFmtId="0" fontId="2" fillId="5" borderId="4" xfId="0" applyFont="1" applyFill="1" applyBorder="1"/>
    <xf numFmtId="43" fontId="2" fillId="5" borderId="3" xfId="1" applyFont="1" applyFill="1" applyBorder="1"/>
    <xf numFmtId="0" fontId="3" fillId="2" borderId="0" xfId="0" applyFont="1" applyFill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4" borderId="0" xfId="0" applyFont="1" applyFill="1"/>
    <xf numFmtId="0" fontId="5" fillId="0" borderId="0" xfId="0" applyFont="1"/>
    <xf numFmtId="0" fontId="5" fillId="0" borderId="2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43" fontId="5" fillId="0" borderId="3" xfId="1" applyFont="1" applyBorder="1"/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43" fontId="5" fillId="0" borderId="6" xfId="1" applyFont="1" applyBorder="1"/>
    <xf numFmtId="0" fontId="2" fillId="5" borderId="1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43" fontId="6" fillId="5" borderId="3" xfId="1" applyFont="1" applyFill="1" applyBorder="1"/>
    <xf numFmtId="43" fontId="6" fillId="5" borderId="6" xfId="1" applyFont="1" applyFill="1" applyBorder="1"/>
    <xf numFmtId="43" fontId="6" fillId="5" borderId="3" xfId="1" applyFont="1" applyFill="1" applyBorder="1" applyAlignment="1">
      <alignment horizontal="right"/>
    </xf>
    <xf numFmtId="0" fontId="5" fillId="5" borderId="2" xfId="0" applyFont="1" applyFill="1" applyBorder="1"/>
    <xf numFmtId="0" fontId="5" fillId="5" borderId="3" xfId="0" applyFont="1" applyFill="1" applyBorder="1"/>
    <xf numFmtId="0" fontId="5" fillId="5" borderId="4" xfId="0" applyFont="1" applyFill="1" applyBorder="1"/>
    <xf numFmtId="0" fontId="5" fillId="5" borderId="6" xfId="0" applyFont="1" applyFill="1" applyBorder="1"/>
    <xf numFmtId="0" fontId="5" fillId="5" borderId="1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4" borderId="14" xfId="0" applyFont="1" applyFill="1" applyBorder="1"/>
    <xf numFmtId="0" fontId="5" fillId="0" borderId="14" xfId="0" applyFont="1" applyBorder="1"/>
    <xf numFmtId="20" fontId="2" fillId="5" borderId="3" xfId="1" quotePrefix="1" applyNumberFormat="1" applyFont="1" applyFill="1" applyBorder="1" applyAlignment="1">
      <alignment horizontal="right"/>
    </xf>
    <xf numFmtId="10" fontId="2" fillId="5" borderId="3" xfId="1" applyNumberFormat="1" applyFont="1" applyFill="1" applyBorder="1"/>
    <xf numFmtId="9" fontId="2" fillId="5" borderId="3" xfId="1" applyNumberFormat="1" applyFont="1" applyFill="1" applyBorder="1"/>
    <xf numFmtId="43" fontId="2" fillId="5" borderId="3" xfId="1" applyFont="1" applyFill="1" applyBorder="1" applyAlignment="1">
      <alignment horizontal="right"/>
    </xf>
    <xf numFmtId="43" fontId="5" fillId="4" borderId="0" xfId="1" applyFont="1" applyFill="1"/>
    <xf numFmtId="43" fontId="2" fillId="5" borderId="3" xfId="1" quotePrefix="1" applyFont="1" applyFill="1" applyBorder="1" applyAlignment="1">
      <alignment horizontal="right"/>
    </xf>
    <xf numFmtId="43" fontId="2" fillId="5" borderId="6" xfId="1" quotePrefix="1" applyFont="1" applyFill="1" applyBorder="1" applyAlignment="1">
      <alignment horizontal="right"/>
    </xf>
    <xf numFmtId="43" fontId="2" fillId="5" borderId="6" xfId="1" applyFont="1" applyFill="1" applyBorder="1"/>
    <xf numFmtId="0" fontId="0" fillId="0" borderId="0" xfId="0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43" fontId="0" fillId="0" borderId="1" xfId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8" fillId="2" borderId="17" xfId="0" applyFont="1" applyFill="1" applyBorder="1" applyAlignment="1">
      <alignment horizontal="centerContinuous"/>
    </xf>
    <xf numFmtId="0" fontId="10" fillId="2" borderId="18" xfId="0" applyFont="1" applyFill="1" applyBorder="1" applyAlignment="1">
      <alignment horizontal="centerContinuous"/>
    </xf>
    <xf numFmtId="0" fontId="10" fillId="2" borderId="19" xfId="0" applyFont="1" applyFill="1" applyBorder="1" applyAlignment="1">
      <alignment horizontal="centerContinuous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43" fontId="9" fillId="0" borderId="3" xfId="1" applyFont="1" applyBorder="1" applyAlignment="1">
      <alignment horizontal="center" vertical="center"/>
    </xf>
    <xf numFmtId="43" fontId="0" fillId="0" borderId="5" xfId="1" applyFont="1" applyBorder="1" applyAlignment="1">
      <alignment horizontal="center"/>
    </xf>
    <xf numFmtId="43" fontId="9" fillId="0" borderId="6" xfId="1" applyFont="1" applyBorder="1" applyAlignment="1">
      <alignment horizontal="center" vertical="center"/>
    </xf>
    <xf numFmtId="0" fontId="8" fillId="2" borderId="17" xfId="0" applyFont="1" applyFill="1" applyBorder="1" applyAlignment="1">
      <alignment horizontal="centerContinuous" vertical="center"/>
    </xf>
    <xf numFmtId="0" fontId="10" fillId="2" borderId="18" xfId="0" applyFont="1" applyFill="1" applyBorder="1" applyAlignment="1">
      <alignment horizontal="centerContinuous" vertical="center"/>
    </xf>
    <xf numFmtId="0" fontId="10" fillId="2" borderId="19" xfId="0" applyFont="1" applyFill="1" applyBorder="1" applyAlignment="1">
      <alignment horizontal="centerContinuous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43" fontId="0" fillId="0" borderId="3" xfId="0" applyNumberFormat="1" applyBorder="1" applyAlignment="1">
      <alignment horizontal="center" vertical="center"/>
    </xf>
    <xf numFmtId="43" fontId="0" fillId="0" borderId="5" xfId="1" applyFont="1" applyBorder="1" applyAlignment="1">
      <alignment horizontal="center" vertical="center"/>
    </xf>
    <xf numFmtId="43" fontId="0" fillId="0" borderId="6" xfId="0" applyNumberFormat="1" applyBorder="1" applyAlignment="1">
      <alignment horizontal="center" vertical="center"/>
    </xf>
    <xf numFmtId="0" fontId="8" fillId="2" borderId="18" xfId="0" applyFont="1" applyFill="1" applyBorder="1" applyAlignment="1">
      <alignment horizontal="centerContinuous"/>
    </xf>
    <xf numFmtId="0" fontId="0" fillId="0" borderId="2" xfId="1" applyNumberFormat="1" applyFont="1" applyFill="1" applyBorder="1" applyAlignment="1">
      <alignment horizontal="center"/>
    </xf>
    <xf numFmtId="43" fontId="0" fillId="0" borderId="3" xfId="1" applyFont="1" applyFill="1" applyBorder="1" applyAlignment="1">
      <alignment horizontal="center"/>
    </xf>
    <xf numFmtId="0" fontId="0" fillId="0" borderId="2" xfId="0" applyBorder="1"/>
    <xf numFmtId="43" fontId="0" fillId="0" borderId="3" xfId="1" applyFont="1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43" fontId="0" fillId="0" borderId="6" xfId="1" applyFont="1" applyBorder="1"/>
    <xf numFmtId="0" fontId="0" fillId="0" borderId="4" xfId="0" applyBorder="1" applyAlignment="1">
      <alignment horizontal="center" vertical="center"/>
    </xf>
    <xf numFmtId="43" fontId="0" fillId="0" borderId="6" xfId="1" applyFont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43" fontId="0" fillId="4" borderId="0" xfId="0" applyNumberFormat="1" applyFill="1"/>
    <xf numFmtId="0" fontId="2" fillId="5" borderId="15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14" fontId="2" fillId="5" borderId="15" xfId="0" applyNumberFormat="1" applyFont="1" applyFill="1" applyBorder="1" applyAlignment="1">
      <alignment horizontal="center"/>
    </xf>
    <xf numFmtId="1" fontId="2" fillId="5" borderId="15" xfId="1" applyNumberFormat="1" applyFont="1" applyFill="1" applyBorder="1" applyAlignment="1">
      <alignment horizontal="center"/>
    </xf>
    <xf numFmtId="1" fontId="2" fillId="5" borderId="16" xfId="1" applyNumberFormat="1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7" fillId="5" borderId="15" xfId="2" applyFill="1" applyBorder="1" applyAlignment="1">
      <alignment horizontal="center"/>
    </xf>
    <xf numFmtId="0" fontId="7" fillId="5" borderId="16" xfId="2" applyFill="1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</cellXfs>
  <cellStyles count="3">
    <cellStyle name="Hiperlink" xfId="2" builtinId="8"/>
    <cellStyle name="Normal" xfId="0" builtinId="0"/>
    <cellStyle name="Vírgula" xfId="1" builtinId="3"/>
  </cellStyles>
  <dxfs count="9">
    <dxf>
      <font>
        <b/>
        <i val="0"/>
        <color theme="3" tint="9.9948118533890809E-2"/>
      </font>
      <fill>
        <patternFill>
          <bgColor theme="3" tint="0.89996032593768116"/>
        </patternFill>
      </fill>
    </dxf>
    <dxf>
      <font>
        <b/>
        <i val="0"/>
        <color theme="5" tint="-0.24994659260841701"/>
      </font>
      <fill>
        <patternFill>
          <bgColor theme="5" tint="0.79998168889431442"/>
        </patternFill>
      </fill>
    </dxf>
    <dxf>
      <font>
        <b/>
        <i val="0"/>
        <color theme="2" tint="-0.749961851863155"/>
      </font>
      <fill>
        <patternFill>
          <bgColor theme="2" tint="-9.9948118533890809E-2"/>
        </patternFill>
      </fill>
    </dxf>
    <dxf>
      <font>
        <b/>
        <i val="0"/>
        <color theme="3" tint="9.9948118533890809E-2"/>
      </font>
      <fill>
        <patternFill>
          <bgColor theme="3" tint="0.89996032593768116"/>
        </patternFill>
      </fill>
    </dxf>
    <dxf>
      <font>
        <b/>
        <i val="0"/>
        <color theme="5" tint="-0.24994659260841701"/>
      </font>
      <fill>
        <patternFill>
          <bgColor theme="5" tint="0.79998168889431442"/>
        </patternFill>
      </fill>
    </dxf>
    <dxf>
      <font>
        <b/>
        <i val="0"/>
        <color theme="2" tint="-0.749961851863155"/>
      </font>
      <fill>
        <patternFill>
          <bgColor theme="2" tint="-9.9948118533890809E-2"/>
        </patternFill>
      </fill>
    </dxf>
    <dxf>
      <font>
        <b/>
        <i val="0"/>
        <color theme="3" tint="9.9948118533890809E-2"/>
      </font>
      <fill>
        <patternFill>
          <bgColor theme="3" tint="0.89996032593768116"/>
        </patternFill>
      </fill>
    </dxf>
    <dxf>
      <font>
        <b/>
        <i val="0"/>
        <color theme="5" tint="-0.24994659260841701"/>
      </font>
      <fill>
        <patternFill>
          <bgColor theme="5" tint="0.79998168889431442"/>
        </patternFill>
      </fill>
    </dxf>
    <dxf>
      <font>
        <b/>
        <i val="0"/>
        <color theme="2" tint="-0.749961851863155"/>
      </font>
      <fill>
        <patternFill>
          <bgColor theme="2" tint="-9.9948118533890809E-2"/>
        </patternFill>
      </fill>
    </dxf>
  </dxfs>
  <tableStyles count="0" defaultTableStyle="TableStyleMedium2" defaultPivotStyle="PivotStyleLight16"/>
  <colors>
    <mruColors>
      <color rgb="FF8E3D10"/>
      <color rgb="FF66FF66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ndradegutierrez365.sharepoint.com/:b:/r/sites/ProjetoeMetodologiaCivil/Documentos%20Compartilhados/04_Referencias_Internas/01-Projetos/18_TERMOELETRICAS/UTE_TBARC/01.Drenagem/00.Drenagem%20Pluvial/01.Mem%C3%B3ria%20de%20C%C3%A1lculo/UTPC-TPP-AFR-01-00-CI-MC-0004_01.pdf?d=w0a067aa6fc3b4151820c7a863b41d971&amp;csf=1&amp;web=1&amp;e=x2HPxf" TargetMode="External"/><Relationship Id="rId2" Type="http://schemas.openxmlformats.org/officeDocument/2006/relationships/hyperlink" Target="https://andradegutierrez365.sharepoint.com/:b:/r/sites/ProjetoeMetodologiaCivil/Documentos%20Compartilhados/04_Referencias_Internas/01-Projetos/18_TERMOELETRICAS/UTE_TBARC/02.Pavimenta%C3%A7%C3%A3o/01.Mem%C3%B3ria%20de%20C%C3%A1lculo/UTPC-TPP-AFR-01-00-CI-MC-0001_02.pdf?d=w071b8448d15f48099bf890ccaa458d69&amp;csf=1&amp;web=1&amp;e=NgmSgd" TargetMode="External"/><Relationship Id="rId1" Type="http://schemas.openxmlformats.org/officeDocument/2006/relationships/hyperlink" Target="../../../../../../:u:/r/sites/ProjetoeMetodologiaCivil/Documentos%20Compartilhados/04_Referencias_Internas/01-Projetos/18_TERMOELETRICAS/UTE_TBARC/Drenagem/UNIFICADA%20-%20DRE%20-%20GTT-EDITADO.dwg?d=wf99025c198824fd89a1fdf412e058c53&amp;csf=1&amp;web=1&amp;e=hBKn8T" TargetMode="External"/><Relationship Id="rId6" Type="http://schemas.openxmlformats.org/officeDocument/2006/relationships/hyperlink" Target="../../../../../../:u:/r/sites/ProjetoeMetodologiaCivil/Documentos%20Compartilhados/04_Referencias_Internas/01-Projetos/18_TERMOELETRICAS/UTE_TBARC/Drenagem/UNIFICADA%20-%20DRE%20-%20GTT-EDITADO.dwg?d=wf99025c198824fd89a1fdf412e058c53&amp;csf=1&amp;web=1&amp;e=hBKn8T" TargetMode="External"/><Relationship Id="rId5" Type="http://schemas.openxmlformats.org/officeDocument/2006/relationships/hyperlink" Target="https://andradegutierrez365.sharepoint.com/:b:/r/sites/ProjetoeMetodologiaCivil/Documentos%20Compartilhados/04_Referencias_Internas/01-Projetos/18_TERMOELETRICAS/UTE_TBARC/02.Pavimenta%C3%A7%C3%A3o/01.Mem%C3%B3ria%20de%20C%C3%A1lculo/UTPC-TPP-AFR-01-00-CI-MC-0001_02.pdf?d=w071b8448d15f48099bf890ccaa458d69&amp;csf=1&amp;web=1&amp;e=NgmSgd" TargetMode="External"/><Relationship Id="rId4" Type="http://schemas.openxmlformats.org/officeDocument/2006/relationships/hyperlink" Target="https://andradegutierrez365.sharepoint.com/:b:/r/sites/ProjetoeMetodologiaCivil/Documentos%20Compartilhados/04_Referencias_Internas/01-Projetos/18_TERMOELETRICAS/UTE_TBARC/01.Drenagem/00.Drenagem%20Pluvial/01.Mem%C3%B3ria%20de%20C%C3%A1lculo/UTPC-TPP-AFR-01-00-CI-MC-0004_01.pdf?d=w0a067aa6fc3b4151820c7a863b41d971&amp;csf=1&amp;web=1&amp;e=x2HPx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8A5B7-BD10-4D80-9BD9-5E5EEC9D269D}">
  <sheetPr>
    <tabColor theme="3" tint="0.249977111117893"/>
  </sheetPr>
  <dimension ref="A1:AZ99"/>
  <sheetViews>
    <sheetView showGridLines="0" tabSelected="1" workbookViewId="0">
      <selection activeCell="E15" sqref="E15:E25"/>
    </sheetView>
  </sheetViews>
  <sheetFormatPr defaultRowHeight="14.4" x14ac:dyDescent="0.3"/>
  <cols>
    <col min="1" max="1" width="5.109375" customWidth="1"/>
    <col min="2" max="2" width="14.44140625" bestFit="1" customWidth="1"/>
    <col min="3" max="3" width="17.77734375" bestFit="1" customWidth="1"/>
    <col min="4" max="4" width="21" bestFit="1" customWidth="1"/>
    <col min="5" max="5" width="18" bestFit="1" customWidth="1"/>
    <col min="6" max="7" width="13.77734375" bestFit="1" customWidth="1"/>
    <col min="8" max="8" width="5.109375" customWidth="1"/>
    <col min="9" max="9" width="13.77734375" style="40" bestFit="1" customWidth="1"/>
    <col min="10" max="10" width="17.77734375" style="40" bestFit="1" customWidth="1"/>
    <col min="11" max="11" width="12" style="40" bestFit="1" customWidth="1"/>
    <col min="12" max="13" width="12.33203125" style="40" bestFit="1" customWidth="1"/>
    <col min="14" max="14" width="11.44140625" style="40" bestFit="1" customWidth="1"/>
    <col min="15" max="15" width="8.88671875" style="40"/>
  </cols>
  <sheetData>
    <row r="1" spans="1:52" ht="15" thickBot="1" x14ac:dyDescent="0.35">
      <c r="A1" s="74"/>
      <c r="B1" s="74"/>
      <c r="C1" s="74"/>
      <c r="D1" s="74"/>
      <c r="E1" s="74"/>
      <c r="F1" s="74"/>
      <c r="G1" s="74"/>
      <c r="H1" s="74"/>
      <c r="I1" s="75"/>
      <c r="J1" s="75"/>
      <c r="K1" s="75"/>
      <c r="L1" s="75"/>
      <c r="M1" s="75"/>
      <c r="N1" s="75"/>
      <c r="O1" s="75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</row>
    <row r="2" spans="1:52" x14ac:dyDescent="0.3">
      <c r="A2" s="74"/>
      <c r="B2" s="47" t="s">
        <v>102</v>
      </c>
      <c r="C2" s="49"/>
      <c r="D2" s="74"/>
      <c r="E2" s="74"/>
      <c r="F2" s="74"/>
      <c r="G2" s="74"/>
      <c r="H2" s="74"/>
      <c r="I2" s="75"/>
      <c r="J2" s="75"/>
      <c r="K2" s="75"/>
      <c r="L2" s="75"/>
      <c r="M2" s="75"/>
      <c r="N2" s="75"/>
      <c r="O2" s="75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</row>
    <row r="3" spans="1:52" x14ac:dyDescent="0.3">
      <c r="A3" s="74"/>
      <c r="B3" s="50" t="s">
        <v>97</v>
      </c>
      <c r="C3" s="51" t="s">
        <v>98</v>
      </c>
      <c r="D3" s="74"/>
      <c r="E3" s="74"/>
      <c r="F3" s="74"/>
      <c r="G3" s="74"/>
      <c r="H3" s="74"/>
      <c r="I3" s="75"/>
      <c r="J3" s="75"/>
      <c r="K3" s="75"/>
      <c r="L3" s="75"/>
      <c r="M3" s="75"/>
      <c r="N3" s="75"/>
      <c r="O3" s="75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</row>
    <row r="4" spans="1:52" ht="15" thickBot="1" x14ac:dyDescent="0.35">
      <c r="A4" s="74"/>
      <c r="B4" s="72" t="s">
        <v>100</v>
      </c>
      <c r="C4" s="73" cm="1">
        <f t="array" aca="1" ref="C4" ca="1">IFERROR(INDIRECT("'"&amp;$B4&amp;"'!C05"),"-")</f>
        <v>59949</v>
      </c>
      <c r="D4" s="74"/>
      <c r="E4" s="74"/>
      <c r="F4" s="74"/>
      <c r="G4" s="74"/>
      <c r="H4" s="74"/>
      <c r="I4" s="75"/>
      <c r="J4" s="75"/>
      <c r="K4" s="75"/>
      <c r="L4" s="75"/>
      <c r="M4" s="75"/>
      <c r="N4" s="75"/>
      <c r="O4" s="75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</row>
    <row r="5" spans="1:52" ht="15" thickBot="1" x14ac:dyDescent="0.35">
      <c r="A5" s="74"/>
      <c r="B5" s="74"/>
      <c r="C5" s="74"/>
      <c r="D5" s="74"/>
      <c r="E5" s="74"/>
      <c r="F5" s="74"/>
      <c r="G5" s="74"/>
      <c r="H5" s="74"/>
      <c r="I5" s="75"/>
      <c r="J5" s="75"/>
      <c r="K5" s="75"/>
      <c r="L5" s="75"/>
      <c r="M5" s="75"/>
      <c r="N5" s="75"/>
      <c r="O5" s="75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</row>
    <row r="6" spans="1:52" x14ac:dyDescent="0.3">
      <c r="A6" s="74"/>
      <c r="B6" s="47" t="s">
        <v>114</v>
      </c>
      <c r="C6" s="63"/>
      <c r="D6" s="63"/>
      <c r="E6" s="63"/>
      <c r="F6" s="48"/>
      <c r="G6" s="49"/>
      <c r="H6" s="74"/>
      <c r="I6" s="55" t="s">
        <v>117</v>
      </c>
      <c r="J6" s="56"/>
      <c r="K6" s="56"/>
      <c r="L6" s="56"/>
      <c r="M6" s="56"/>
      <c r="N6" s="57"/>
      <c r="O6" s="75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</row>
    <row r="7" spans="1:52" x14ac:dyDescent="0.3">
      <c r="A7" s="74"/>
      <c r="B7" s="50" t="s">
        <v>99</v>
      </c>
      <c r="C7" s="41" t="s">
        <v>103</v>
      </c>
      <c r="D7" s="41" t="s">
        <v>106</v>
      </c>
      <c r="E7" s="41" t="s">
        <v>107</v>
      </c>
      <c r="F7" s="41" t="s">
        <v>108</v>
      </c>
      <c r="G7" s="51" t="s">
        <v>98</v>
      </c>
      <c r="H7" s="74"/>
      <c r="I7" s="58" t="s">
        <v>96</v>
      </c>
      <c r="J7" s="45" t="str">
        <f>'SIM. - DRENAGEM'!$C$8</f>
        <v>ÁREA DAS TURBINAS</v>
      </c>
      <c r="K7" s="45" t="str">
        <f>'SIM. - DRENAGEM'!$C$9</f>
        <v>SUBESTAÇÃO</v>
      </c>
      <c r="L7" s="45" t="s">
        <v>111</v>
      </c>
      <c r="M7" s="45" t="s">
        <v>111</v>
      </c>
      <c r="N7" s="59" t="s">
        <v>116</v>
      </c>
      <c r="O7" s="75"/>
      <c r="P7" s="75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</row>
    <row r="8" spans="1:52" x14ac:dyDescent="0.3">
      <c r="A8" s="74"/>
      <c r="B8" s="64" t="s">
        <v>101</v>
      </c>
      <c r="C8" s="43" t="s">
        <v>104</v>
      </c>
      <c r="D8" s="44" t="s">
        <v>110</v>
      </c>
      <c r="E8" s="44" t="s">
        <v>110</v>
      </c>
      <c r="F8" s="44" t="s">
        <v>110</v>
      </c>
      <c r="G8" s="65">
        <v>64567.29</v>
      </c>
      <c r="H8" s="74"/>
      <c r="I8" s="10" t="s">
        <v>106</v>
      </c>
      <c r="J8" s="46">
        <f>IF(AND('SIM. - DRENAGEM'!J$7='SIM. - DRENAGEM'!$C$8,_xlfn.XLOOKUP($I8,'SIM. - DRENAGEM'!$B$7:$G$7,'SIM. - DRENAGEM'!$B$8:$G$8)="SIM"),'SIM. - DRENAGEM'!$G$8,0)</f>
        <v>64567.29</v>
      </c>
      <c r="K8" s="46">
        <f>IF(AND('SIM. - DRENAGEM'!K$7='SIM. - DRENAGEM'!$C$9,_xlfn.XLOOKUP($I8,'SIM. - DRENAGEM'!$B$7:$G$7,'SIM. - DRENAGEM'!$B$9:$G$9)="SIM"),'SIM. - DRENAGEM'!$G$9,0)</f>
        <v>50353.84</v>
      </c>
      <c r="L8" s="46">
        <f>IF(AND('SIM. - DRENAGEM'!L$7=$C$10,_xlfn.XLOOKUP($I8,'SIM. - DRENAGEM'!$B$7:$G$7,$B$10:$G$10)="SIM"),$G$10,0)</f>
        <v>0</v>
      </c>
      <c r="M8" s="46">
        <f>IF(AND('SIM. - DRENAGEM'!M$7=$C$11,_xlfn.XLOOKUP($I8,'SIM. - DRENAGEM'!$B$7:$G$7,$B$11:$G$11)="SIM"),$G$11,0)</f>
        <v>0</v>
      </c>
      <c r="N8" s="60">
        <f>J8+K8</f>
        <v>114921.13</v>
      </c>
      <c r="O8" s="75"/>
      <c r="P8" s="75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</row>
    <row r="9" spans="1:52" x14ac:dyDescent="0.3">
      <c r="A9" s="74"/>
      <c r="B9" s="64" t="s">
        <v>101</v>
      </c>
      <c r="C9" s="43" t="s">
        <v>105</v>
      </c>
      <c r="D9" s="44" t="s">
        <v>110</v>
      </c>
      <c r="E9" s="44" t="s">
        <v>109</v>
      </c>
      <c r="F9" s="44" t="s">
        <v>109</v>
      </c>
      <c r="G9" s="65">
        <v>50353.84</v>
      </c>
      <c r="H9" s="74"/>
      <c r="I9" s="10" t="s">
        <v>107</v>
      </c>
      <c r="J9" s="46">
        <f>IF(_xlfn.XLOOKUP(I9,'SIM. - DRENAGEM'!$B$7:$G$7,'SIM. - DRENAGEM'!$B$8:$G$8)="SIM",'SIM. - DRENAGEM'!$G$8)</f>
        <v>64567.29</v>
      </c>
      <c r="K9" s="46">
        <f>IF(AND('SIM. - DRENAGEM'!K$7='SIM. - DRENAGEM'!$C$9,_xlfn.XLOOKUP($I9,'SIM. - DRENAGEM'!$B$7:$G$7,'SIM. - DRENAGEM'!$B$9:$G$9)="SIM"),'SIM. - DRENAGEM'!$G$9,0)</f>
        <v>0</v>
      </c>
      <c r="L9" s="46">
        <f>IF(AND('SIM. - DRENAGEM'!L$7=$C$10,_xlfn.XLOOKUP($I9,'SIM. - DRENAGEM'!$B$7:$G$7,$B$10:$G$10)="SIM"),$G$10,0)</f>
        <v>0</v>
      </c>
      <c r="M9" s="46">
        <f>IF(AND('SIM. - DRENAGEM'!M$7=$C$11,_xlfn.XLOOKUP($I9,'SIM. - DRENAGEM'!$B$7:$G$7,$B$11:$G$11)="SIM"),$G$11,0)</f>
        <v>0</v>
      </c>
      <c r="N9" s="60">
        <f>J9+K9</f>
        <v>64567.29</v>
      </c>
      <c r="O9" s="75"/>
      <c r="P9" s="75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</row>
    <row r="10" spans="1:52" ht="15" thickBot="1" x14ac:dyDescent="0.35">
      <c r="A10" s="74"/>
      <c r="B10" s="66" t="s">
        <v>111</v>
      </c>
      <c r="C10" s="43" t="s">
        <v>111</v>
      </c>
      <c r="D10" s="44" t="s">
        <v>111</v>
      </c>
      <c r="E10" s="44" t="s">
        <v>111</v>
      </c>
      <c r="F10" s="44" t="s">
        <v>111</v>
      </c>
      <c r="G10" s="67" t="s">
        <v>111</v>
      </c>
      <c r="H10" s="74"/>
      <c r="I10" s="13" t="s">
        <v>108</v>
      </c>
      <c r="J10" s="61">
        <f>IF(_xlfn.XLOOKUP(I10,'SIM. - DRENAGEM'!$B$7:$G$7,'SIM. - DRENAGEM'!$B$8:$G$8)="SIM",'SIM. - DRENAGEM'!$G$8)</f>
        <v>64567.29</v>
      </c>
      <c r="K10" s="61">
        <f>IF(AND('SIM. - DRENAGEM'!K$7='SIM. - DRENAGEM'!$C$9,_xlfn.XLOOKUP($I10,'SIM. - DRENAGEM'!$B$7:$G$7,'SIM. - DRENAGEM'!$B$9:$G$9)="SIM"),'SIM. - DRENAGEM'!$G$9,0)</f>
        <v>0</v>
      </c>
      <c r="L10" s="61">
        <f>IF(AND('SIM. - DRENAGEM'!L$7=$C$10,_xlfn.XLOOKUP($I10,'SIM. - DRENAGEM'!$B$7:$G$7,$B$10:$G$10)="SIM"),$G$10,0)</f>
        <v>0</v>
      </c>
      <c r="M10" s="61">
        <f>IF(AND('SIM. - DRENAGEM'!M$7=$C$11,_xlfn.XLOOKUP($I10,'SIM. - DRENAGEM'!$B$7:$G$7,$B$11:$G$11)="SIM"),$G$11,0)</f>
        <v>0</v>
      </c>
      <c r="N10" s="62">
        <f>J10+K10</f>
        <v>64567.29</v>
      </c>
      <c r="O10" s="75"/>
      <c r="P10" s="75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</row>
    <row r="11" spans="1:52" ht="15" thickBot="1" x14ac:dyDescent="0.35">
      <c r="A11" s="74"/>
      <c r="B11" s="68" t="s">
        <v>111</v>
      </c>
      <c r="C11" s="69" t="s">
        <v>111</v>
      </c>
      <c r="D11" s="70" t="s">
        <v>111</v>
      </c>
      <c r="E11" s="70" t="s">
        <v>111</v>
      </c>
      <c r="F11" s="70" t="s">
        <v>111</v>
      </c>
      <c r="G11" s="71" t="s">
        <v>111</v>
      </c>
      <c r="H11" s="74"/>
      <c r="I11" s="74"/>
      <c r="J11" s="75"/>
      <c r="K11" s="75"/>
      <c r="L11" s="75"/>
      <c r="M11" s="75"/>
      <c r="N11" s="75"/>
      <c r="O11" s="75"/>
      <c r="P11" s="75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</row>
    <row r="12" spans="1:52" ht="15" thickBot="1" x14ac:dyDescent="0.35">
      <c r="A12" s="74"/>
      <c r="B12" s="74"/>
      <c r="C12" s="74"/>
      <c r="D12" s="74"/>
      <c r="E12" s="74"/>
      <c r="F12" s="74"/>
      <c r="G12" s="74"/>
      <c r="H12" s="74"/>
      <c r="I12" s="75"/>
      <c r="J12" s="75"/>
      <c r="K12" s="75"/>
      <c r="L12" s="75"/>
      <c r="M12" s="75"/>
      <c r="N12" s="75"/>
      <c r="O12" s="75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</row>
    <row r="13" spans="1:52" x14ac:dyDescent="0.3">
      <c r="A13" s="74"/>
      <c r="B13" s="47" t="s">
        <v>115</v>
      </c>
      <c r="C13" s="48"/>
      <c r="D13" s="48"/>
      <c r="E13" s="49"/>
      <c r="F13" s="74"/>
      <c r="G13" s="74"/>
      <c r="H13" s="74"/>
      <c r="I13" s="75"/>
      <c r="J13" s="75"/>
      <c r="K13" s="75"/>
      <c r="L13" s="75"/>
      <c r="M13" s="75"/>
      <c r="N13" s="75"/>
      <c r="O13" s="75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</row>
    <row r="14" spans="1:52" x14ac:dyDescent="0.3">
      <c r="A14" s="74"/>
      <c r="B14" s="50" t="s">
        <v>96</v>
      </c>
      <c r="C14" s="41" t="s">
        <v>1</v>
      </c>
      <c r="D14" s="41" t="s">
        <v>112</v>
      </c>
      <c r="E14" s="51" t="s">
        <v>113</v>
      </c>
      <c r="F14" s="74"/>
      <c r="G14" s="74"/>
      <c r="H14" s="74"/>
      <c r="I14" s="74"/>
      <c r="J14" s="74"/>
      <c r="K14" s="75"/>
      <c r="L14" s="75"/>
      <c r="M14" s="75"/>
      <c r="N14" s="75"/>
      <c r="O14" s="75"/>
      <c r="P14" s="75"/>
      <c r="Q14" s="75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</row>
    <row r="15" spans="1:52" x14ac:dyDescent="0.3">
      <c r="A15" s="74"/>
      <c r="B15" s="10" t="s">
        <v>106</v>
      </c>
      <c r="C15" s="11">
        <v>100</v>
      </c>
      <c r="D15" s="42" cm="1">
        <f t="array" aca="1" ref="D15" ca="1">IFERROR(INDIRECT("'"&amp;'SIM. - DRENAGEM'!$B$4&amp;"'!K22"),"-")</f>
        <v>25.03</v>
      </c>
      <c r="E15" s="52">
        <f ca="1">_xlfn.XLOOKUP($B15,'SIM. - DRENAGEM'!$I$8:$I$10,'SIM. - DRENAGEM'!$N$8:$N$10)/'SIM. - DRENAGEM'!$C$4*$D15</f>
        <v>47.982049473719336</v>
      </c>
      <c r="F15" s="74"/>
      <c r="G15" s="74"/>
      <c r="H15" s="74"/>
      <c r="I15" s="74"/>
      <c r="J15" s="74"/>
      <c r="K15" s="75"/>
      <c r="L15" s="75"/>
      <c r="M15" s="75"/>
      <c r="N15" s="75"/>
      <c r="O15" s="75"/>
      <c r="P15" s="75"/>
      <c r="Q15" s="75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</row>
    <row r="16" spans="1:52" x14ac:dyDescent="0.3">
      <c r="A16" s="74"/>
      <c r="B16" s="10" t="s">
        <v>106</v>
      </c>
      <c r="C16" s="11">
        <v>150</v>
      </c>
      <c r="D16" s="42" cm="1">
        <f t="array" aca="1" ref="D16" ca="1">IFERROR(INDIRECT("'"&amp;'SIM. - DRENAGEM'!$B$4&amp;"'!K23"),"-")</f>
        <v>23.01</v>
      </c>
      <c r="E16" s="52">
        <f ca="1">_xlfn.XLOOKUP($B16,'SIM. - DRENAGEM'!$I$8:$I$10,'SIM. - DRENAGEM'!$N$8:$N$10)/'SIM. - DRENAGEM'!$C$4*$D16</f>
        <v>44.109746639643703</v>
      </c>
      <c r="F16" s="74"/>
      <c r="G16" s="74"/>
      <c r="H16" s="74"/>
      <c r="I16" s="74"/>
      <c r="J16" s="74"/>
      <c r="K16" s="75"/>
      <c r="L16" s="75"/>
      <c r="M16" s="75"/>
      <c r="N16" s="75"/>
      <c r="O16" s="75"/>
      <c r="P16" s="75"/>
      <c r="Q16" s="75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</row>
    <row r="17" spans="1:52" x14ac:dyDescent="0.3">
      <c r="A17" s="74"/>
      <c r="B17" s="10" t="s">
        <v>106</v>
      </c>
      <c r="C17" s="11">
        <v>200</v>
      </c>
      <c r="D17" s="42" cm="1">
        <f t="array" aca="1" ref="D17" ca="1">IFERROR(INDIRECT("'"&amp;'SIM. - DRENAGEM'!$B$4&amp;"'!K24"),"-")</f>
        <v>162.19999999999999</v>
      </c>
      <c r="E17" s="52">
        <f ca="1">_xlfn.XLOOKUP($B17,'SIM. - DRENAGEM'!$I$8:$I$10,'SIM. - DRENAGEM'!$N$8:$N$10)/'SIM. - DRENAGEM'!$C$4*$D17</f>
        <v>310.93441568666702</v>
      </c>
      <c r="F17" s="74"/>
      <c r="G17" s="74"/>
      <c r="H17" s="74"/>
      <c r="I17" s="74"/>
      <c r="J17" s="74"/>
      <c r="K17" s="75"/>
      <c r="L17" s="75"/>
      <c r="M17" s="75"/>
      <c r="N17" s="75"/>
      <c r="O17" s="75"/>
      <c r="P17" s="75"/>
      <c r="Q17" s="75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</row>
    <row r="18" spans="1:52" x14ac:dyDescent="0.3">
      <c r="A18" s="74"/>
      <c r="B18" s="10" t="s">
        <v>106</v>
      </c>
      <c r="C18" s="11">
        <v>250</v>
      </c>
      <c r="D18" s="42" cm="1">
        <f t="array" aca="1" ref="D18" ca="1">IFERROR(INDIRECT("'"&amp;'SIM. - DRENAGEM'!$B$4&amp;"'!K25"),"-")</f>
        <v>40.299999999999997</v>
      </c>
      <c r="E18" s="52">
        <f ca="1">_xlfn.XLOOKUP($B18,'SIM. - DRENAGEM'!$I$8:$I$10,'SIM. - DRENAGEM'!$N$8:$N$10)/'SIM. - DRENAGEM'!$C$4*$D18</f>
        <v>77.25435852140987</v>
      </c>
      <c r="F18" s="74"/>
      <c r="G18" s="74"/>
      <c r="H18" s="74"/>
      <c r="I18" s="75"/>
      <c r="J18" s="75"/>
      <c r="K18" s="75"/>
      <c r="L18" s="75"/>
      <c r="M18" s="75"/>
      <c r="N18" s="75"/>
      <c r="O18" s="75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</row>
    <row r="19" spans="1:52" x14ac:dyDescent="0.3">
      <c r="A19" s="74"/>
      <c r="B19" s="10" t="s">
        <v>106</v>
      </c>
      <c r="C19" s="11">
        <v>300</v>
      </c>
      <c r="D19" s="42" cm="1">
        <f t="array" aca="1" ref="D19" ca="1">IFERROR(INDIRECT("'"&amp;'SIM. - DRENAGEM'!$B$4&amp;"'!K26"),"-")</f>
        <v>677.3</v>
      </c>
      <c r="E19" s="52">
        <f ca="1">_xlfn.XLOOKUP($B19,'SIM. - DRENAGEM'!$I$8:$I$10,'SIM. - DRENAGEM'!$N$8:$N$10)/'SIM. - DRENAGEM'!$C$4*$D19</f>
        <v>1298.3716383759529</v>
      </c>
      <c r="F19" s="76"/>
      <c r="G19" s="74"/>
      <c r="H19" s="74"/>
      <c r="I19" s="75"/>
      <c r="J19" s="75"/>
      <c r="K19" s="75"/>
      <c r="L19" s="75"/>
      <c r="M19" s="75"/>
      <c r="N19" s="75"/>
      <c r="O19" s="75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</row>
    <row r="20" spans="1:52" x14ac:dyDescent="0.3">
      <c r="A20" s="74"/>
      <c r="B20" s="10" t="s">
        <v>106</v>
      </c>
      <c r="C20" s="11">
        <v>400</v>
      </c>
      <c r="D20" s="42" cm="1">
        <f t="array" aca="1" ref="D20" ca="1">IFERROR(INDIRECT("'"&amp;'SIM. - DRENAGEM'!$B$4&amp;"'!K27"),"-")</f>
        <v>205.22</v>
      </c>
      <c r="E20" s="52">
        <f ca="1">_xlfn.XLOOKUP($B20,'SIM. - DRENAGEM'!$I$8:$I$10,'SIM. - DRENAGEM'!$N$8:$N$10)/'SIM. - DRENAGEM'!$C$4*$D20</f>
        <v>393.4029641628718</v>
      </c>
      <c r="F20" s="74"/>
      <c r="G20" s="74"/>
      <c r="H20" s="74"/>
      <c r="I20" s="75"/>
      <c r="J20" s="75"/>
      <c r="K20" s="75"/>
      <c r="L20" s="75"/>
      <c r="M20" s="75"/>
      <c r="N20" s="75"/>
      <c r="O20" s="75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</row>
    <row r="21" spans="1:52" x14ac:dyDescent="0.3">
      <c r="A21" s="74"/>
      <c r="B21" s="10" t="s">
        <v>106</v>
      </c>
      <c r="C21" s="11">
        <v>600</v>
      </c>
      <c r="D21" s="42" cm="1">
        <f t="array" aca="1" ref="D21" ca="1">IFERROR(INDIRECT("'"&amp;'SIM. - DRENAGEM'!$B$4&amp;"'!K28"),"-")</f>
        <v>188.11</v>
      </c>
      <c r="E21" s="52">
        <f ca="1">_xlfn.XLOOKUP($B21,'SIM. - DRENAGEM'!$I$8:$I$10,'SIM. - DRENAGEM'!$N$8:$N$10)/'SIM. - DRENAGEM'!$C$4*$D21</f>
        <v>360.60340896929063</v>
      </c>
      <c r="F21" s="74"/>
      <c r="G21" s="74"/>
      <c r="H21" s="74"/>
      <c r="I21" s="75"/>
      <c r="J21" s="75"/>
      <c r="K21" s="75"/>
      <c r="L21" s="75"/>
      <c r="M21" s="75"/>
      <c r="N21" s="75"/>
      <c r="O21" s="75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</row>
    <row r="22" spans="1:52" x14ac:dyDescent="0.3">
      <c r="A22" s="74"/>
      <c r="B22" s="10" t="s">
        <v>106</v>
      </c>
      <c r="C22" s="11">
        <v>800</v>
      </c>
      <c r="D22" s="42" cm="1">
        <f t="array" aca="1" ref="D22" ca="1">IFERROR(INDIRECT("'"&amp;'SIM. - DRENAGEM'!$B$4&amp;"'!K29"),"-")</f>
        <v>338.7</v>
      </c>
      <c r="E22" s="52">
        <f ca="1">_xlfn.XLOOKUP($B22,'SIM. - DRENAGEM'!$I$8:$I$10,'SIM. - DRENAGEM'!$N$8:$N$10)/'SIM. - DRENAGEM'!$C$4*$D22</f>
        <v>649.28166826802783</v>
      </c>
      <c r="F22" s="74"/>
      <c r="G22" s="74"/>
      <c r="H22" s="74"/>
      <c r="I22" s="75"/>
      <c r="J22" s="75"/>
      <c r="K22" s="75"/>
      <c r="L22" s="75"/>
      <c r="M22" s="75"/>
      <c r="N22" s="75"/>
      <c r="O22" s="75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</row>
    <row r="23" spans="1:52" x14ac:dyDescent="0.3">
      <c r="A23" s="74"/>
      <c r="B23" s="10" t="s">
        <v>106</v>
      </c>
      <c r="C23" s="11">
        <v>1050</v>
      </c>
      <c r="D23" s="42" cm="1">
        <f t="array" aca="1" ref="D23" ca="1">IFERROR(INDIRECT("'"&amp;'SIM. - DRENAGEM'!$B$4&amp;"'!K30"),"-")</f>
        <v>233.91</v>
      </c>
      <c r="E23" s="52">
        <f ca="1">_xlfn.XLOOKUP($B23,'SIM. - DRENAGEM'!$I$8:$I$10,'SIM. - DRENAGEM'!$N$8:$N$10)/'SIM. - DRENAGEM'!$C$4*$D23</f>
        <v>448.4011662963519</v>
      </c>
      <c r="F23" s="74"/>
      <c r="G23" s="74"/>
      <c r="H23" s="74"/>
      <c r="I23" s="75"/>
      <c r="J23" s="75"/>
      <c r="K23" s="75"/>
      <c r="L23" s="75"/>
      <c r="M23" s="75"/>
      <c r="N23" s="75"/>
      <c r="O23" s="75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</row>
    <row r="24" spans="1:52" x14ac:dyDescent="0.3">
      <c r="A24" s="74"/>
      <c r="B24" s="10" t="s">
        <v>106</v>
      </c>
      <c r="C24" s="11">
        <v>1200</v>
      </c>
      <c r="D24" s="42" cm="1">
        <f t="array" aca="1" ref="D24" ca="1">IFERROR(INDIRECT("'"&amp;'SIM. - DRENAGEM'!$B$4&amp;"'!K31"),"-")</f>
        <v>42.32</v>
      </c>
      <c r="E24" s="52">
        <f ca="1">_xlfn.XLOOKUP($B24,'SIM. - DRENAGEM'!$I$8:$I$10,'SIM. - DRENAGEM'!$N$8:$N$10)/'SIM. - DRENAGEM'!$C$4*$D24</f>
        <v>81.12666135548551</v>
      </c>
      <c r="F24" s="74"/>
      <c r="G24" s="74"/>
      <c r="H24" s="74"/>
      <c r="I24" s="75"/>
      <c r="J24" s="75"/>
      <c r="K24" s="75"/>
      <c r="L24" s="75"/>
      <c r="M24" s="75"/>
      <c r="N24" s="75"/>
      <c r="O24" s="75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</row>
    <row r="25" spans="1:52" x14ac:dyDescent="0.3">
      <c r="A25" s="74"/>
      <c r="B25" s="10" t="s">
        <v>106</v>
      </c>
      <c r="C25" s="11">
        <v>1500</v>
      </c>
      <c r="D25" s="42" cm="1">
        <f t="array" aca="1" ref="D25" ca="1">IFERROR(INDIRECT("'"&amp;'SIM. - DRENAGEM'!$B$4&amp;"'!K32"),"-")</f>
        <v>17.59</v>
      </c>
      <c r="E25" s="52">
        <f ca="1">_xlfn.XLOOKUP($B25,'SIM. - DRENAGEM'!$I$8:$I$10,'SIM. - DRENAGEM'!$N$8:$N$10)/'SIM. - DRENAGEM'!$C$4*$D25</f>
        <v>33.719706362074433</v>
      </c>
      <c r="F25" s="74"/>
      <c r="G25" s="74"/>
      <c r="H25" s="74"/>
      <c r="I25" s="75"/>
      <c r="J25" s="75"/>
      <c r="K25" s="75"/>
      <c r="L25" s="75"/>
      <c r="M25" s="75"/>
      <c r="N25" s="75"/>
      <c r="O25" s="75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</row>
    <row r="26" spans="1:52" x14ac:dyDescent="0.3">
      <c r="A26" s="74"/>
      <c r="B26" s="10" t="s">
        <v>107</v>
      </c>
      <c r="C26" s="11">
        <v>150</v>
      </c>
      <c r="D26" s="42" cm="1">
        <f t="array" aca="1" ref="D26" ca="1">IFERROR(INDIRECT("'"&amp;'SIM. - DRENAGEM'!$B$4&amp;"'!K33"),"-")</f>
        <v>814.35</v>
      </c>
      <c r="E26" s="52">
        <f ca="1">_xlfn.XLOOKUP($B26,'SIM. - DRENAGEM'!$I$8:$I$10,'SIM. - DRENAGEM'!$N$8:$N$10)/'SIM. - DRENAGEM'!$C$4*$D26</f>
        <v>877.08506583095641</v>
      </c>
      <c r="F26" s="74"/>
      <c r="G26" s="74"/>
      <c r="H26" s="74"/>
      <c r="I26" s="75"/>
      <c r="J26" s="75"/>
      <c r="K26" s="75"/>
      <c r="L26" s="75"/>
      <c r="M26" s="75"/>
      <c r="N26" s="75"/>
      <c r="O26" s="75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</row>
    <row r="27" spans="1:52" x14ac:dyDescent="0.3">
      <c r="A27" s="74"/>
      <c r="B27" s="10" t="s">
        <v>107</v>
      </c>
      <c r="C27" s="11">
        <v>400</v>
      </c>
      <c r="D27" s="42" cm="1">
        <f t="array" aca="1" ref="D27" ca="1">IFERROR(INDIRECT("'"&amp;'SIM. - DRENAGEM'!$B$4&amp;"'!K34"),"-")</f>
        <v>363.32</v>
      </c>
      <c r="E27" s="52">
        <f ca="1">_xlfn.XLOOKUP($B27,'SIM. - DRENAGEM'!$I$8:$I$10,'SIM. - DRENAGEM'!$N$8:$N$10)/'SIM. - DRENAGEM'!$C$4*$D27</f>
        <v>391.30907609468051</v>
      </c>
      <c r="F27" s="74"/>
      <c r="G27" s="74"/>
      <c r="H27" s="74"/>
      <c r="I27" s="75"/>
      <c r="J27" s="75"/>
      <c r="K27" s="75"/>
      <c r="L27" s="75"/>
      <c r="M27" s="75"/>
      <c r="N27" s="75"/>
      <c r="O27" s="75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</row>
    <row r="28" spans="1:52" x14ac:dyDescent="0.3">
      <c r="A28" s="74"/>
      <c r="B28" s="10" t="s">
        <v>108</v>
      </c>
      <c r="C28" s="11">
        <v>100</v>
      </c>
      <c r="D28" s="42" cm="1">
        <f t="array" aca="1" ref="D28" ca="1">IFERROR(INDIRECT("'"&amp;'SIM. - DRENAGEM'!$B$4&amp;"'!K35"),"-")</f>
        <v>366.37</v>
      </c>
      <c r="E28" s="52">
        <f ca="1">_xlfn.XLOOKUP($B28,'SIM. - DRENAGEM'!$I$8:$I$10,'SIM. - DRENAGEM'!$N$8:$N$10)/'SIM. - DRENAGEM'!$C$4*$D28</f>
        <v>394.59403888805485</v>
      </c>
      <c r="F28" s="74"/>
      <c r="G28" s="74"/>
      <c r="H28" s="74"/>
      <c r="I28" s="75"/>
      <c r="J28" s="75"/>
      <c r="K28" s="75"/>
      <c r="L28" s="75"/>
      <c r="M28" s="75"/>
      <c r="N28" s="75"/>
      <c r="O28" s="75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</row>
    <row r="29" spans="1:52" ht="15" thickBot="1" x14ac:dyDescent="0.35">
      <c r="A29" s="74"/>
      <c r="B29" s="13" t="s">
        <v>108</v>
      </c>
      <c r="C29" s="14">
        <v>150</v>
      </c>
      <c r="D29" s="53" cm="1">
        <f t="array" aca="1" ref="D29" ca="1">IFERROR(INDIRECT("'"&amp;'SIM. - DRENAGEM'!$B$4&amp;"'!K36"),"-")</f>
        <v>977.68</v>
      </c>
      <c r="E29" s="54">
        <f ca="1">_xlfn.XLOOKUP($B29,'SIM. - DRENAGEM'!$I$8:$I$10,'SIM. - DRENAGEM'!$N$8:$N$10)/'SIM. - DRENAGEM'!$C$4*$D29</f>
        <v>1052.9975160086074</v>
      </c>
      <c r="F29" s="74"/>
      <c r="G29" s="74"/>
      <c r="H29" s="74"/>
      <c r="I29" s="75"/>
      <c r="J29" s="75"/>
      <c r="K29" s="75"/>
      <c r="L29" s="75"/>
      <c r="M29" s="75"/>
      <c r="N29" s="75"/>
      <c r="O29" s="75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</row>
    <row r="30" spans="1:52" x14ac:dyDescent="0.3">
      <c r="A30" s="74"/>
      <c r="B30" s="74"/>
      <c r="C30" s="74"/>
      <c r="D30" s="74"/>
      <c r="E30" s="74"/>
      <c r="F30" s="74"/>
      <c r="G30" s="74"/>
      <c r="H30" s="74"/>
      <c r="I30" s="75"/>
      <c r="J30" s="75"/>
      <c r="K30" s="75"/>
      <c r="L30" s="75"/>
      <c r="M30" s="75"/>
      <c r="N30" s="75"/>
      <c r="O30" s="75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</row>
    <row r="31" spans="1:52" x14ac:dyDescent="0.3">
      <c r="A31" s="74"/>
      <c r="B31" s="74"/>
      <c r="C31" s="74"/>
      <c r="D31" s="74"/>
      <c r="E31" s="74"/>
      <c r="F31" s="74"/>
      <c r="G31" s="74"/>
      <c r="H31" s="74"/>
      <c r="I31" s="75"/>
      <c r="J31" s="75"/>
      <c r="K31" s="75"/>
      <c r="L31" s="75"/>
      <c r="M31" s="75"/>
      <c r="N31" s="75"/>
      <c r="O31" s="75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</row>
    <row r="32" spans="1:52" x14ac:dyDescent="0.3">
      <c r="A32" s="74"/>
      <c r="B32" s="74"/>
      <c r="C32" s="74"/>
      <c r="D32" s="74"/>
      <c r="E32" s="74"/>
      <c r="F32" s="74"/>
      <c r="G32" s="74"/>
      <c r="H32" s="74"/>
      <c r="I32" s="75"/>
      <c r="J32" s="75"/>
      <c r="K32" s="75"/>
      <c r="L32" s="75"/>
      <c r="M32" s="75"/>
      <c r="N32" s="75"/>
      <c r="O32" s="75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</row>
    <row r="33" spans="1:52" x14ac:dyDescent="0.3">
      <c r="A33" s="74"/>
      <c r="B33" s="74"/>
      <c r="C33" s="74"/>
      <c r="D33" s="74"/>
      <c r="E33" s="74"/>
      <c r="F33" s="74"/>
      <c r="G33" s="74"/>
      <c r="H33" s="74"/>
      <c r="I33" s="75"/>
      <c r="J33" s="75"/>
      <c r="K33" s="75"/>
      <c r="L33" s="75"/>
      <c r="M33" s="75"/>
      <c r="N33" s="75"/>
      <c r="O33" s="75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</row>
    <row r="34" spans="1:52" x14ac:dyDescent="0.3">
      <c r="A34" s="74"/>
      <c r="B34" s="74"/>
      <c r="C34" s="74"/>
      <c r="D34" s="74"/>
      <c r="E34" s="74"/>
      <c r="F34" s="74"/>
      <c r="G34" s="74"/>
      <c r="H34" s="74"/>
      <c r="I34" s="75"/>
      <c r="J34" s="75"/>
      <c r="K34" s="75"/>
      <c r="L34" s="75"/>
      <c r="M34" s="75"/>
      <c r="N34" s="75"/>
      <c r="O34" s="75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</row>
    <row r="35" spans="1:52" x14ac:dyDescent="0.3">
      <c r="A35" s="74"/>
      <c r="B35" s="74"/>
      <c r="C35" s="74"/>
      <c r="D35" s="74"/>
      <c r="E35" s="74"/>
      <c r="F35" s="74"/>
      <c r="G35" s="74"/>
      <c r="H35" s="74"/>
      <c r="I35" s="75"/>
      <c r="J35" s="75"/>
      <c r="K35" s="75"/>
      <c r="L35" s="75"/>
      <c r="M35" s="75"/>
      <c r="N35" s="75"/>
      <c r="O35" s="75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</row>
    <row r="36" spans="1:52" x14ac:dyDescent="0.3">
      <c r="A36" s="74"/>
      <c r="B36" s="74"/>
      <c r="C36" s="74"/>
      <c r="D36" s="74"/>
      <c r="E36" s="74"/>
      <c r="F36" s="74"/>
      <c r="G36" s="74"/>
      <c r="H36" s="74"/>
      <c r="I36" s="75"/>
      <c r="J36" s="75"/>
      <c r="K36" s="75"/>
      <c r="L36" s="75"/>
      <c r="M36" s="75"/>
      <c r="N36" s="75"/>
      <c r="O36" s="75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</row>
    <row r="37" spans="1:52" x14ac:dyDescent="0.3">
      <c r="A37" s="74"/>
      <c r="B37" s="74"/>
      <c r="C37" s="74"/>
      <c r="D37" s="74"/>
      <c r="E37" s="74"/>
      <c r="F37" s="74"/>
      <c r="G37" s="74"/>
      <c r="H37" s="74"/>
      <c r="I37" s="75"/>
      <c r="J37" s="75"/>
      <c r="K37" s="75"/>
      <c r="L37" s="75"/>
      <c r="M37" s="75"/>
      <c r="N37" s="75"/>
      <c r="O37" s="75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</row>
    <row r="38" spans="1:52" x14ac:dyDescent="0.3">
      <c r="A38" s="74"/>
      <c r="B38" s="74"/>
      <c r="C38" s="74"/>
      <c r="D38" s="74"/>
      <c r="E38" s="74"/>
      <c r="F38" s="74"/>
      <c r="G38" s="74"/>
      <c r="H38" s="74"/>
      <c r="I38" s="75"/>
      <c r="J38" s="75"/>
      <c r="K38" s="75"/>
      <c r="L38" s="75"/>
      <c r="M38" s="75"/>
      <c r="N38" s="75"/>
      <c r="O38" s="75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</row>
    <row r="39" spans="1:52" x14ac:dyDescent="0.3">
      <c r="A39" s="74"/>
      <c r="B39" s="74"/>
      <c r="C39" s="74"/>
      <c r="D39" s="74"/>
      <c r="E39" s="74"/>
      <c r="F39" s="74"/>
      <c r="G39" s="74"/>
      <c r="H39" s="74"/>
      <c r="I39" s="75"/>
      <c r="J39" s="75"/>
      <c r="K39" s="75"/>
      <c r="L39" s="75"/>
      <c r="M39" s="75"/>
      <c r="N39" s="75"/>
      <c r="O39" s="75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</row>
    <row r="40" spans="1:52" x14ac:dyDescent="0.3">
      <c r="A40" s="74"/>
      <c r="B40" s="74"/>
      <c r="C40" s="74"/>
      <c r="D40" s="74"/>
      <c r="E40" s="74"/>
      <c r="F40" s="74"/>
      <c r="G40" s="74"/>
      <c r="H40" s="74"/>
      <c r="I40" s="75"/>
      <c r="J40" s="75"/>
      <c r="K40" s="75"/>
      <c r="L40" s="75"/>
      <c r="M40" s="75"/>
      <c r="N40" s="75"/>
      <c r="O40" s="75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</row>
    <row r="41" spans="1:52" x14ac:dyDescent="0.3">
      <c r="A41" s="74"/>
      <c r="B41" s="74"/>
      <c r="C41" s="74"/>
      <c r="D41" s="74"/>
      <c r="E41" s="74"/>
      <c r="F41" s="74"/>
      <c r="G41" s="74"/>
      <c r="H41" s="74"/>
      <c r="I41" s="75"/>
      <c r="J41" s="75"/>
      <c r="K41" s="75"/>
      <c r="L41" s="75"/>
      <c r="M41" s="75"/>
      <c r="N41" s="75"/>
      <c r="O41" s="75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</row>
    <row r="42" spans="1:52" x14ac:dyDescent="0.3">
      <c r="A42" s="74"/>
      <c r="B42" s="74"/>
      <c r="C42" s="74"/>
      <c r="D42" s="74"/>
      <c r="E42" s="74"/>
      <c r="F42" s="74"/>
      <c r="G42" s="74"/>
      <c r="H42" s="74"/>
      <c r="I42" s="75"/>
      <c r="J42" s="75"/>
      <c r="K42" s="75"/>
      <c r="L42" s="75"/>
      <c r="M42" s="75"/>
      <c r="N42" s="75"/>
      <c r="O42" s="75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</row>
    <row r="43" spans="1:52" x14ac:dyDescent="0.3">
      <c r="A43" s="74"/>
      <c r="B43" s="74"/>
      <c r="C43" s="74"/>
      <c r="D43" s="74"/>
      <c r="E43" s="74"/>
      <c r="F43" s="74"/>
      <c r="G43" s="74"/>
      <c r="H43" s="74"/>
      <c r="I43" s="75"/>
      <c r="J43" s="75"/>
      <c r="K43" s="75"/>
      <c r="L43" s="75"/>
      <c r="M43" s="75"/>
      <c r="N43" s="75"/>
      <c r="O43" s="75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</row>
    <row r="44" spans="1:52" x14ac:dyDescent="0.3">
      <c r="A44" s="74"/>
      <c r="B44" s="74"/>
      <c r="C44" s="74"/>
      <c r="D44" s="74"/>
      <c r="E44" s="74"/>
      <c r="F44" s="74"/>
      <c r="G44" s="74"/>
      <c r="H44" s="74"/>
      <c r="I44" s="75"/>
      <c r="J44" s="75"/>
      <c r="K44" s="75"/>
      <c r="L44" s="75"/>
      <c r="M44" s="75"/>
      <c r="N44" s="75"/>
      <c r="O44" s="75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</row>
    <row r="45" spans="1:52" x14ac:dyDescent="0.3">
      <c r="A45" s="74"/>
      <c r="B45" s="74"/>
      <c r="C45" s="74"/>
      <c r="D45" s="74"/>
      <c r="E45" s="74"/>
      <c r="F45" s="74"/>
      <c r="G45" s="74"/>
      <c r="H45" s="74"/>
      <c r="I45" s="75"/>
      <c r="J45" s="75"/>
      <c r="K45" s="75"/>
      <c r="L45" s="75"/>
      <c r="M45" s="75"/>
      <c r="N45" s="75"/>
      <c r="O45" s="75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</row>
    <row r="46" spans="1:52" x14ac:dyDescent="0.3">
      <c r="A46" s="74"/>
      <c r="B46" s="74"/>
      <c r="C46" s="74"/>
      <c r="D46" s="74"/>
      <c r="E46" s="74"/>
      <c r="F46" s="74"/>
      <c r="G46" s="74"/>
      <c r="H46" s="74"/>
      <c r="I46" s="75"/>
      <c r="J46" s="75"/>
      <c r="K46" s="75"/>
      <c r="L46" s="75"/>
      <c r="M46" s="75"/>
      <c r="N46" s="75"/>
      <c r="O46" s="75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</row>
    <row r="47" spans="1:52" x14ac:dyDescent="0.3">
      <c r="A47" s="74"/>
      <c r="B47" s="74"/>
      <c r="C47" s="74"/>
      <c r="D47" s="74"/>
      <c r="E47" s="74"/>
      <c r="F47" s="74"/>
      <c r="G47" s="74"/>
      <c r="H47" s="74"/>
      <c r="I47" s="75"/>
      <c r="J47" s="75"/>
      <c r="K47" s="75"/>
      <c r="L47" s="75"/>
      <c r="M47" s="75"/>
      <c r="N47" s="75"/>
      <c r="O47" s="75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</row>
    <row r="48" spans="1:52" x14ac:dyDescent="0.3">
      <c r="A48" s="74"/>
      <c r="B48" s="74"/>
      <c r="C48" s="74"/>
      <c r="D48" s="74"/>
      <c r="E48" s="74"/>
      <c r="F48" s="74"/>
      <c r="G48" s="74"/>
      <c r="H48" s="74"/>
      <c r="I48" s="75"/>
      <c r="J48" s="75"/>
      <c r="K48" s="75"/>
      <c r="L48" s="75"/>
      <c r="M48" s="75"/>
      <c r="N48" s="75"/>
      <c r="O48" s="75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</row>
    <row r="49" spans="1:52" x14ac:dyDescent="0.3">
      <c r="A49" s="74"/>
      <c r="B49" s="74"/>
      <c r="C49" s="74"/>
      <c r="D49" s="74"/>
      <c r="E49" s="74"/>
      <c r="F49" s="74"/>
      <c r="G49" s="74"/>
      <c r="H49" s="74"/>
      <c r="I49" s="75"/>
      <c r="J49" s="75"/>
      <c r="K49" s="75"/>
      <c r="L49" s="75"/>
      <c r="M49" s="75"/>
      <c r="N49" s="75"/>
      <c r="O49" s="75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</row>
    <row r="50" spans="1:52" x14ac:dyDescent="0.3">
      <c r="A50" s="74"/>
      <c r="B50" s="74"/>
      <c r="C50" s="74"/>
      <c r="D50" s="74"/>
      <c r="E50" s="74"/>
      <c r="F50" s="74"/>
      <c r="G50" s="74"/>
      <c r="H50" s="74"/>
      <c r="I50" s="75"/>
      <c r="J50" s="75"/>
      <c r="K50" s="75"/>
      <c r="L50" s="75"/>
      <c r="M50" s="75"/>
      <c r="N50" s="75"/>
      <c r="O50" s="75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</row>
    <row r="51" spans="1:52" x14ac:dyDescent="0.3">
      <c r="A51" s="74"/>
      <c r="B51" s="74"/>
      <c r="C51" s="74"/>
      <c r="D51" s="74"/>
      <c r="E51" s="74"/>
      <c r="F51" s="74"/>
      <c r="G51" s="74"/>
      <c r="H51" s="74"/>
      <c r="I51" s="75"/>
      <c r="J51" s="75"/>
      <c r="K51" s="75"/>
      <c r="L51" s="75"/>
      <c r="M51" s="75"/>
      <c r="N51" s="75"/>
      <c r="O51" s="75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</row>
    <row r="52" spans="1:52" x14ac:dyDescent="0.3">
      <c r="A52" s="74"/>
      <c r="B52" s="74"/>
      <c r="C52" s="74"/>
      <c r="D52" s="74"/>
      <c r="E52" s="74"/>
      <c r="F52" s="74"/>
      <c r="G52" s="74"/>
      <c r="H52" s="74"/>
      <c r="I52" s="75"/>
      <c r="J52" s="75"/>
      <c r="K52" s="75"/>
      <c r="L52" s="75"/>
      <c r="M52" s="75"/>
      <c r="N52" s="75"/>
      <c r="O52" s="75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</row>
    <row r="53" spans="1:52" x14ac:dyDescent="0.3">
      <c r="A53" s="74"/>
      <c r="B53" s="74"/>
      <c r="C53" s="74"/>
      <c r="D53" s="74"/>
      <c r="E53" s="74"/>
      <c r="F53" s="74"/>
      <c r="G53" s="74"/>
      <c r="H53" s="74"/>
      <c r="I53" s="75"/>
      <c r="J53" s="75"/>
      <c r="K53" s="75"/>
      <c r="L53" s="75"/>
      <c r="M53" s="75"/>
      <c r="N53" s="75"/>
      <c r="O53" s="75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</row>
    <row r="54" spans="1:52" x14ac:dyDescent="0.3">
      <c r="A54" s="74"/>
      <c r="B54" s="74"/>
      <c r="C54" s="74"/>
      <c r="D54" s="74"/>
      <c r="E54" s="74"/>
      <c r="F54" s="74"/>
      <c r="G54" s="74"/>
      <c r="H54" s="74"/>
      <c r="I54" s="75"/>
      <c r="J54" s="75"/>
      <c r="K54" s="75"/>
      <c r="L54" s="75"/>
      <c r="M54" s="75"/>
      <c r="N54" s="75"/>
      <c r="O54" s="75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</row>
    <row r="55" spans="1:52" x14ac:dyDescent="0.3">
      <c r="A55" s="74"/>
      <c r="B55" s="74"/>
      <c r="C55" s="74"/>
      <c r="D55" s="74"/>
      <c r="E55" s="74"/>
      <c r="F55" s="74"/>
      <c r="G55" s="74"/>
      <c r="H55" s="74"/>
      <c r="I55" s="75"/>
      <c r="J55" s="75"/>
      <c r="K55" s="75"/>
      <c r="L55" s="75"/>
      <c r="M55" s="75"/>
      <c r="N55" s="75"/>
      <c r="O55" s="75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</row>
    <row r="56" spans="1:52" x14ac:dyDescent="0.3">
      <c r="A56" s="74"/>
      <c r="B56" s="74"/>
      <c r="C56" s="74"/>
      <c r="D56" s="74"/>
      <c r="E56" s="74"/>
      <c r="F56" s="74"/>
      <c r="G56" s="74"/>
      <c r="H56" s="74"/>
      <c r="I56" s="75"/>
      <c r="J56" s="75"/>
      <c r="K56" s="75"/>
      <c r="L56" s="75"/>
      <c r="M56" s="75"/>
      <c r="N56" s="75"/>
      <c r="O56" s="75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</row>
    <row r="57" spans="1:52" x14ac:dyDescent="0.3">
      <c r="A57" s="74"/>
      <c r="B57" s="74"/>
      <c r="C57" s="74"/>
      <c r="D57" s="74"/>
      <c r="E57" s="74"/>
      <c r="F57" s="74"/>
      <c r="G57" s="74"/>
      <c r="H57" s="74"/>
      <c r="I57" s="75"/>
      <c r="J57" s="75"/>
      <c r="K57" s="75"/>
      <c r="L57" s="75"/>
      <c r="M57" s="75"/>
      <c r="N57" s="75"/>
      <c r="O57" s="75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</row>
    <row r="58" spans="1:52" x14ac:dyDescent="0.3">
      <c r="A58" s="74"/>
      <c r="B58" s="74"/>
      <c r="C58" s="74"/>
      <c r="D58" s="74"/>
      <c r="E58" s="74"/>
      <c r="F58" s="74"/>
      <c r="G58" s="74"/>
      <c r="H58" s="74"/>
      <c r="I58" s="75"/>
      <c r="J58" s="75"/>
      <c r="K58" s="75"/>
      <c r="L58" s="75"/>
      <c r="M58" s="75"/>
      <c r="N58" s="75"/>
      <c r="O58" s="75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</row>
    <row r="59" spans="1:52" x14ac:dyDescent="0.3">
      <c r="A59" s="74"/>
      <c r="B59" s="74"/>
      <c r="C59" s="74"/>
      <c r="D59" s="74"/>
      <c r="E59" s="74"/>
      <c r="F59" s="74"/>
      <c r="G59" s="74"/>
      <c r="H59" s="74"/>
      <c r="I59" s="75"/>
      <c r="J59" s="75"/>
      <c r="K59" s="75"/>
      <c r="L59" s="75"/>
      <c r="M59" s="75"/>
      <c r="N59" s="75"/>
      <c r="O59" s="75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</row>
    <row r="60" spans="1:52" x14ac:dyDescent="0.3">
      <c r="A60" s="74"/>
      <c r="B60" s="74"/>
      <c r="C60" s="74"/>
      <c r="D60" s="74"/>
      <c r="E60" s="74"/>
      <c r="F60" s="74"/>
      <c r="G60" s="74"/>
      <c r="H60" s="74"/>
      <c r="I60" s="75"/>
      <c r="J60" s="75"/>
      <c r="K60" s="75"/>
      <c r="L60" s="75"/>
      <c r="M60" s="75"/>
      <c r="N60" s="75"/>
      <c r="O60" s="75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</row>
    <row r="61" spans="1:52" x14ac:dyDescent="0.3">
      <c r="A61" s="74"/>
      <c r="B61" s="74"/>
      <c r="C61" s="74"/>
      <c r="D61" s="74"/>
      <c r="E61" s="74"/>
      <c r="F61" s="74"/>
      <c r="G61" s="74"/>
      <c r="H61" s="74"/>
      <c r="I61" s="75"/>
      <c r="J61" s="75"/>
      <c r="K61" s="75"/>
      <c r="L61" s="75"/>
      <c r="M61" s="75"/>
      <c r="N61" s="75"/>
      <c r="O61" s="75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</row>
    <row r="62" spans="1:52" x14ac:dyDescent="0.3">
      <c r="A62" s="74"/>
      <c r="B62" s="74"/>
      <c r="C62" s="74"/>
      <c r="D62" s="74"/>
      <c r="E62" s="74"/>
      <c r="F62" s="74"/>
      <c r="G62" s="74"/>
      <c r="H62" s="74"/>
      <c r="I62" s="75"/>
      <c r="J62" s="75"/>
      <c r="K62" s="75"/>
      <c r="L62" s="75"/>
      <c r="M62" s="75"/>
      <c r="N62" s="75"/>
      <c r="O62" s="75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</row>
    <row r="63" spans="1:52" x14ac:dyDescent="0.3">
      <c r="A63" s="74"/>
      <c r="B63" s="74"/>
      <c r="C63" s="74"/>
      <c r="D63" s="74"/>
      <c r="E63" s="74"/>
      <c r="F63" s="74"/>
      <c r="G63" s="74"/>
      <c r="H63" s="74"/>
      <c r="I63" s="75"/>
      <c r="J63" s="75"/>
      <c r="K63" s="75"/>
      <c r="L63" s="75"/>
      <c r="M63" s="75"/>
      <c r="N63" s="75"/>
      <c r="O63" s="75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</row>
    <row r="64" spans="1:52" x14ac:dyDescent="0.3">
      <c r="A64" s="74"/>
      <c r="B64" s="74"/>
      <c r="C64" s="74"/>
      <c r="D64" s="74"/>
      <c r="E64" s="74"/>
      <c r="F64" s="74"/>
      <c r="G64" s="74"/>
      <c r="H64" s="74"/>
      <c r="I64" s="75"/>
      <c r="J64" s="75"/>
      <c r="K64" s="75"/>
      <c r="L64" s="75"/>
      <c r="M64" s="75"/>
      <c r="N64" s="75"/>
      <c r="O64" s="75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</row>
    <row r="65" spans="1:52" x14ac:dyDescent="0.3">
      <c r="A65" s="74"/>
      <c r="B65" s="74"/>
      <c r="C65" s="74"/>
      <c r="D65" s="74"/>
      <c r="E65" s="74"/>
      <c r="F65" s="74"/>
      <c r="G65" s="74"/>
      <c r="H65" s="74"/>
      <c r="I65" s="75"/>
      <c r="J65" s="75"/>
      <c r="K65" s="75"/>
      <c r="L65" s="75"/>
      <c r="M65" s="75"/>
      <c r="N65" s="75"/>
      <c r="O65" s="75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  <c r="AZ65" s="74"/>
    </row>
    <row r="66" spans="1:52" x14ac:dyDescent="0.3">
      <c r="A66" s="74"/>
      <c r="B66" s="74"/>
      <c r="C66" s="74"/>
      <c r="D66" s="74"/>
      <c r="E66" s="74"/>
      <c r="F66" s="74"/>
      <c r="G66" s="74"/>
      <c r="H66" s="74"/>
      <c r="I66" s="75"/>
      <c r="J66" s="75"/>
      <c r="K66" s="75"/>
      <c r="L66" s="75"/>
      <c r="M66" s="75"/>
      <c r="N66" s="75"/>
      <c r="O66" s="75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4"/>
      <c r="AP66" s="74"/>
      <c r="AQ66" s="74"/>
      <c r="AR66" s="74"/>
      <c r="AS66" s="74"/>
      <c r="AT66" s="74"/>
      <c r="AU66" s="74"/>
      <c r="AV66" s="74"/>
      <c r="AW66" s="74"/>
      <c r="AX66" s="74"/>
      <c r="AY66" s="74"/>
      <c r="AZ66" s="74"/>
    </row>
    <row r="67" spans="1:52" x14ac:dyDescent="0.3">
      <c r="A67" s="74"/>
      <c r="B67" s="74"/>
      <c r="C67" s="74"/>
      <c r="D67" s="74"/>
      <c r="E67" s="74"/>
      <c r="F67" s="74"/>
      <c r="G67" s="74"/>
      <c r="H67" s="74"/>
      <c r="I67" s="75"/>
      <c r="J67" s="75"/>
      <c r="K67" s="75"/>
      <c r="L67" s="75"/>
      <c r="M67" s="75"/>
      <c r="N67" s="75"/>
      <c r="O67" s="75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  <c r="AR67" s="74"/>
      <c r="AS67" s="74"/>
      <c r="AT67" s="74"/>
      <c r="AU67" s="74"/>
      <c r="AV67" s="74"/>
      <c r="AW67" s="74"/>
      <c r="AX67" s="74"/>
      <c r="AY67" s="74"/>
      <c r="AZ67" s="74"/>
    </row>
    <row r="68" spans="1:52" x14ac:dyDescent="0.3">
      <c r="A68" s="74"/>
      <c r="B68" s="74"/>
      <c r="C68" s="74"/>
      <c r="D68" s="74"/>
      <c r="E68" s="74"/>
      <c r="F68" s="74"/>
      <c r="G68" s="74"/>
      <c r="H68" s="74"/>
      <c r="I68" s="75"/>
      <c r="J68" s="75"/>
      <c r="K68" s="75"/>
      <c r="L68" s="75"/>
      <c r="M68" s="75"/>
      <c r="N68" s="75"/>
      <c r="O68" s="75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4"/>
      <c r="AV68" s="74"/>
      <c r="AW68" s="74"/>
      <c r="AX68" s="74"/>
      <c r="AY68" s="74"/>
      <c r="AZ68" s="74"/>
    </row>
    <row r="69" spans="1:52" x14ac:dyDescent="0.3">
      <c r="A69" s="74"/>
      <c r="B69" s="74"/>
      <c r="C69" s="74"/>
      <c r="D69" s="74"/>
      <c r="E69" s="74"/>
      <c r="F69" s="74"/>
      <c r="G69" s="74"/>
      <c r="H69" s="74"/>
      <c r="I69" s="75"/>
      <c r="J69" s="75"/>
      <c r="K69" s="75"/>
      <c r="L69" s="75"/>
      <c r="M69" s="75"/>
      <c r="N69" s="75"/>
      <c r="O69" s="75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</row>
    <row r="70" spans="1:52" x14ac:dyDescent="0.3">
      <c r="A70" s="74"/>
      <c r="B70" s="74"/>
      <c r="C70" s="74"/>
      <c r="D70" s="74"/>
      <c r="E70" s="74"/>
      <c r="F70" s="74"/>
      <c r="G70" s="74"/>
      <c r="H70" s="74"/>
      <c r="I70" s="75"/>
      <c r="J70" s="75"/>
      <c r="K70" s="75"/>
      <c r="L70" s="75"/>
      <c r="M70" s="75"/>
      <c r="N70" s="75"/>
      <c r="O70" s="75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74"/>
      <c r="AT70" s="74"/>
      <c r="AU70" s="74"/>
      <c r="AV70" s="74"/>
      <c r="AW70" s="74"/>
      <c r="AX70" s="74"/>
      <c r="AY70" s="74"/>
      <c r="AZ70" s="74"/>
    </row>
    <row r="71" spans="1:52" x14ac:dyDescent="0.3">
      <c r="A71" s="74"/>
      <c r="B71" s="74"/>
      <c r="C71" s="74"/>
      <c r="D71" s="74"/>
      <c r="E71" s="74"/>
      <c r="F71" s="74"/>
      <c r="G71" s="74"/>
      <c r="H71" s="74"/>
      <c r="I71" s="75"/>
      <c r="J71" s="75"/>
      <c r="K71" s="75"/>
      <c r="L71" s="75"/>
      <c r="M71" s="75"/>
      <c r="N71" s="75"/>
      <c r="O71" s="75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/>
      <c r="AR71" s="74"/>
      <c r="AS71" s="74"/>
      <c r="AT71" s="74"/>
      <c r="AU71" s="74"/>
      <c r="AV71" s="74"/>
      <c r="AW71" s="74"/>
      <c r="AX71" s="74"/>
      <c r="AY71" s="74"/>
      <c r="AZ71" s="74"/>
    </row>
    <row r="72" spans="1:52" x14ac:dyDescent="0.3">
      <c r="A72" s="74"/>
      <c r="B72" s="74"/>
      <c r="C72" s="74"/>
      <c r="D72" s="74"/>
      <c r="E72" s="74"/>
      <c r="F72" s="74"/>
      <c r="G72" s="74"/>
      <c r="H72" s="74"/>
      <c r="I72" s="75"/>
      <c r="J72" s="75"/>
      <c r="K72" s="75"/>
      <c r="L72" s="75"/>
      <c r="M72" s="75"/>
      <c r="N72" s="75"/>
      <c r="O72" s="75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  <c r="AO72" s="74"/>
      <c r="AP72" s="74"/>
      <c r="AQ72" s="74"/>
      <c r="AR72" s="74"/>
      <c r="AS72" s="74"/>
      <c r="AT72" s="74"/>
      <c r="AU72" s="74"/>
      <c r="AV72" s="74"/>
      <c r="AW72" s="74"/>
      <c r="AX72" s="74"/>
      <c r="AY72" s="74"/>
      <c r="AZ72" s="74"/>
    </row>
    <row r="73" spans="1:52" x14ac:dyDescent="0.3">
      <c r="A73" s="74"/>
      <c r="B73" s="74"/>
      <c r="C73" s="74"/>
      <c r="D73" s="74"/>
      <c r="E73" s="74"/>
      <c r="F73" s="74"/>
      <c r="G73" s="74"/>
      <c r="H73" s="74"/>
      <c r="I73" s="75"/>
      <c r="J73" s="75"/>
      <c r="K73" s="75"/>
      <c r="L73" s="75"/>
      <c r="M73" s="75"/>
      <c r="N73" s="75"/>
      <c r="O73" s="75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  <c r="AS73" s="74"/>
      <c r="AT73" s="74"/>
      <c r="AU73" s="74"/>
      <c r="AV73" s="74"/>
      <c r="AW73" s="74"/>
      <c r="AX73" s="74"/>
      <c r="AY73" s="74"/>
      <c r="AZ73" s="74"/>
    </row>
    <row r="74" spans="1:52" x14ac:dyDescent="0.3">
      <c r="A74" s="74"/>
      <c r="B74" s="74"/>
      <c r="C74" s="74"/>
      <c r="D74" s="74"/>
      <c r="E74" s="74"/>
      <c r="F74" s="74"/>
      <c r="G74" s="74"/>
      <c r="H74" s="74"/>
      <c r="I74" s="75"/>
      <c r="J74" s="75"/>
      <c r="K74" s="75"/>
      <c r="L74" s="75"/>
      <c r="M74" s="75"/>
      <c r="N74" s="75"/>
      <c r="O74" s="75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74"/>
      <c r="AQ74" s="74"/>
      <c r="AR74" s="74"/>
      <c r="AS74" s="74"/>
      <c r="AT74" s="74"/>
      <c r="AU74" s="74"/>
      <c r="AV74" s="74"/>
      <c r="AW74" s="74"/>
      <c r="AX74" s="74"/>
      <c r="AY74" s="74"/>
      <c r="AZ74" s="74"/>
    </row>
    <row r="75" spans="1:52" x14ac:dyDescent="0.3">
      <c r="A75" s="74"/>
      <c r="B75" s="74"/>
      <c r="C75" s="74"/>
      <c r="D75" s="74"/>
      <c r="E75" s="74"/>
      <c r="F75" s="74"/>
      <c r="G75" s="74"/>
      <c r="H75" s="74"/>
      <c r="I75" s="75"/>
      <c r="J75" s="75"/>
      <c r="K75" s="75"/>
      <c r="L75" s="75"/>
      <c r="M75" s="75"/>
      <c r="N75" s="75"/>
      <c r="O75" s="75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</row>
    <row r="76" spans="1:52" x14ac:dyDescent="0.3">
      <c r="A76" s="74"/>
      <c r="B76" s="74"/>
      <c r="C76" s="74"/>
      <c r="D76" s="74"/>
      <c r="E76" s="74"/>
      <c r="F76" s="74"/>
      <c r="G76" s="74"/>
      <c r="H76" s="74"/>
      <c r="I76" s="75"/>
      <c r="J76" s="75"/>
      <c r="K76" s="75"/>
      <c r="L76" s="75"/>
      <c r="M76" s="75"/>
      <c r="N76" s="75"/>
      <c r="O76" s="75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4"/>
      <c r="AX76" s="74"/>
      <c r="AY76" s="74"/>
      <c r="AZ76" s="74"/>
    </row>
    <row r="77" spans="1:52" x14ac:dyDescent="0.3">
      <c r="A77" s="74"/>
      <c r="B77" s="74"/>
      <c r="C77" s="74"/>
      <c r="D77" s="74"/>
      <c r="E77" s="74"/>
      <c r="F77" s="74"/>
      <c r="G77" s="74"/>
      <c r="H77" s="74"/>
      <c r="I77" s="75"/>
      <c r="J77" s="75"/>
      <c r="K77" s="75"/>
      <c r="L77" s="75"/>
      <c r="M77" s="75"/>
      <c r="N77" s="75"/>
      <c r="O77" s="75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74"/>
      <c r="AT77" s="74"/>
      <c r="AU77" s="74"/>
      <c r="AV77" s="74"/>
      <c r="AW77" s="74"/>
      <c r="AX77" s="74"/>
      <c r="AY77" s="74"/>
      <c r="AZ77" s="74"/>
    </row>
    <row r="78" spans="1:52" x14ac:dyDescent="0.3">
      <c r="A78" s="74"/>
      <c r="B78" s="74"/>
      <c r="C78" s="74"/>
      <c r="D78" s="74"/>
      <c r="E78" s="74"/>
      <c r="F78" s="74"/>
      <c r="G78" s="74"/>
      <c r="H78" s="74"/>
      <c r="I78" s="75"/>
      <c r="J78" s="75"/>
      <c r="K78" s="75"/>
      <c r="L78" s="75"/>
      <c r="M78" s="75"/>
      <c r="N78" s="75"/>
      <c r="O78" s="75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/>
      <c r="AX78" s="74"/>
      <c r="AY78" s="74"/>
      <c r="AZ78" s="74"/>
    </row>
    <row r="79" spans="1:52" x14ac:dyDescent="0.3">
      <c r="A79" s="74"/>
      <c r="B79" s="74"/>
      <c r="C79" s="74"/>
      <c r="D79" s="74"/>
      <c r="E79" s="74"/>
      <c r="F79" s="74"/>
      <c r="G79" s="74"/>
      <c r="H79" s="74"/>
      <c r="I79" s="75"/>
      <c r="J79" s="75"/>
      <c r="K79" s="75"/>
      <c r="L79" s="75"/>
      <c r="M79" s="75"/>
      <c r="N79" s="75"/>
      <c r="O79" s="75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</row>
    <row r="80" spans="1:52" x14ac:dyDescent="0.3">
      <c r="A80" s="74"/>
      <c r="B80" s="74"/>
      <c r="C80" s="74"/>
      <c r="D80" s="74"/>
      <c r="E80" s="74"/>
      <c r="F80" s="74"/>
      <c r="G80" s="74"/>
      <c r="H80" s="74"/>
      <c r="I80" s="75"/>
      <c r="J80" s="75"/>
      <c r="K80" s="75"/>
      <c r="L80" s="75"/>
      <c r="M80" s="75"/>
      <c r="N80" s="75"/>
      <c r="O80" s="75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</row>
    <row r="81" spans="1:52" x14ac:dyDescent="0.3">
      <c r="A81" s="74"/>
      <c r="B81" s="74"/>
      <c r="C81" s="74"/>
      <c r="D81" s="74"/>
      <c r="E81" s="74"/>
      <c r="F81" s="74"/>
      <c r="G81" s="74"/>
      <c r="H81" s="74"/>
      <c r="I81" s="75"/>
      <c r="J81" s="75"/>
      <c r="K81" s="75"/>
      <c r="L81" s="75"/>
      <c r="M81" s="75"/>
      <c r="N81" s="75"/>
      <c r="O81" s="75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  <c r="AX81" s="74"/>
      <c r="AY81" s="74"/>
      <c r="AZ81" s="74"/>
    </row>
    <row r="82" spans="1:52" x14ac:dyDescent="0.3">
      <c r="A82" s="74"/>
      <c r="B82" s="74"/>
      <c r="C82" s="74"/>
      <c r="D82" s="74"/>
      <c r="E82" s="74"/>
      <c r="F82" s="74"/>
      <c r="G82" s="74"/>
      <c r="H82" s="74"/>
      <c r="I82" s="75"/>
      <c r="J82" s="75"/>
      <c r="K82" s="75"/>
      <c r="L82" s="75"/>
      <c r="M82" s="75"/>
      <c r="N82" s="75"/>
      <c r="O82" s="75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</row>
    <row r="83" spans="1:52" x14ac:dyDescent="0.3">
      <c r="A83" s="74"/>
      <c r="B83" s="74"/>
      <c r="C83" s="74"/>
      <c r="D83" s="74"/>
      <c r="E83" s="74"/>
      <c r="F83" s="74"/>
      <c r="G83" s="74"/>
      <c r="H83" s="74"/>
      <c r="I83" s="75"/>
      <c r="J83" s="75"/>
      <c r="K83" s="75"/>
      <c r="L83" s="75"/>
      <c r="M83" s="75"/>
      <c r="N83" s="75"/>
      <c r="O83" s="75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</row>
    <row r="84" spans="1:52" x14ac:dyDescent="0.3">
      <c r="A84" s="74"/>
      <c r="B84" s="74"/>
      <c r="C84" s="74"/>
      <c r="D84" s="74"/>
      <c r="E84" s="74"/>
      <c r="F84" s="74"/>
      <c r="G84" s="74"/>
      <c r="H84" s="74"/>
      <c r="I84" s="75"/>
      <c r="J84" s="75"/>
      <c r="K84" s="75"/>
      <c r="L84" s="75"/>
      <c r="M84" s="75"/>
      <c r="N84" s="75"/>
      <c r="O84" s="75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</row>
    <row r="85" spans="1:52" x14ac:dyDescent="0.3">
      <c r="A85" s="74"/>
      <c r="B85" s="74"/>
      <c r="C85" s="74"/>
      <c r="D85" s="74"/>
      <c r="E85" s="74"/>
      <c r="F85" s="74"/>
      <c r="G85" s="74"/>
      <c r="H85" s="74"/>
      <c r="I85" s="75"/>
      <c r="J85" s="75"/>
      <c r="K85" s="75"/>
      <c r="L85" s="75"/>
      <c r="M85" s="75"/>
      <c r="N85" s="75"/>
      <c r="O85" s="75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</row>
    <row r="86" spans="1:52" x14ac:dyDescent="0.3">
      <c r="A86" s="74"/>
      <c r="B86" s="74"/>
      <c r="C86" s="74"/>
      <c r="D86" s="74"/>
      <c r="E86" s="74"/>
      <c r="F86" s="74"/>
      <c r="G86" s="74"/>
      <c r="H86" s="74"/>
      <c r="I86" s="75"/>
      <c r="J86" s="75"/>
      <c r="K86" s="75"/>
      <c r="L86" s="75"/>
      <c r="M86" s="75"/>
      <c r="N86" s="75"/>
      <c r="O86" s="75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/>
      <c r="AX86" s="74"/>
      <c r="AY86" s="74"/>
      <c r="AZ86" s="74"/>
    </row>
    <row r="87" spans="1:52" x14ac:dyDescent="0.3">
      <c r="A87" s="74"/>
      <c r="B87" s="74"/>
      <c r="C87" s="74"/>
      <c r="D87" s="74"/>
      <c r="E87" s="74"/>
      <c r="F87" s="74"/>
      <c r="G87" s="74"/>
      <c r="H87" s="74"/>
      <c r="I87" s="75"/>
      <c r="J87" s="75"/>
      <c r="K87" s="75"/>
      <c r="L87" s="75"/>
      <c r="M87" s="75"/>
      <c r="N87" s="75"/>
      <c r="O87" s="75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</row>
    <row r="88" spans="1:52" x14ac:dyDescent="0.3">
      <c r="A88" s="74"/>
      <c r="B88" s="74"/>
      <c r="C88" s="74"/>
      <c r="D88" s="74"/>
      <c r="E88" s="74"/>
      <c r="F88" s="74"/>
      <c r="G88" s="74"/>
      <c r="H88" s="74"/>
      <c r="I88" s="75"/>
      <c r="J88" s="75"/>
      <c r="K88" s="75"/>
      <c r="L88" s="75"/>
      <c r="M88" s="75"/>
      <c r="N88" s="75"/>
      <c r="O88" s="75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/>
      <c r="AX88" s="74"/>
      <c r="AY88" s="74"/>
      <c r="AZ88" s="74"/>
    </row>
    <row r="89" spans="1:52" x14ac:dyDescent="0.3">
      <c r="A89" s="74"/>
      <c r="B89" s="74"/>
      <c r="C89" s="74"/>
      <c r="D89" s="74"/>
      <c r="E89" s="74"/>
      <c r="F89" s="74"/>
      <c r="G89" s="74"/>
      <c r="H89" s="74"/>
      <c r="I89" s="75"/>
      <c r="J89" s="75"/>
      <c r="K89" s="75"/>
      <c r="L89" s="75"/>
      <c r="M89" s="75"/>
      <c r="N89" s="75"/>
      <c r="O89" s="75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</row>
    <row r="90" spans="1:52" x14ac:dyDescent="0.3">
      <c r="A90" s="74"/>
      <c r="B90" s="74"/>
      <c r="C90" s="74"/>
      <c r="D90" s="74"/>
      <c r="E90" s="74"/>
      <c r="F90" s="74"/>
      <c r="G90" s="74"/>
      <c r="H90" s="74"/>
      <c r="I90" s="75"/>
      <c r="J90" s="75"/>
      <c r="K90" s="75"/>
      <c r="L90" s="75"/>
      <c r="M90" s="75"/>
      <c r="N90" s="75"/>
      <c r="O90" s="75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</row>
    <row r="91" spans="1:52" x14ac:dyDescent="0.3">
      <c r="A91" s="74"/>
      <c r="B91" s="74"/>
      <c r="C91" s="74"/>
      <c r="D91" s="74"/>
      <c r="E91" s="74"/>
      <c r="F91" s="74"/>
      <c r="G91" s="74"/>
      <c r="H91" s="74"/>
      <c r="I91" s="75"/>
      <c r="J91" s="75"/>
      <c r="K91" s="75"/>
      <c r="L91" s="75"/>
      <c r="M91" s="75"/>
      <c r="N91" s="75"/>
      <c r="O91" s="75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</row>
    <row r="92" spans="1:52" x14ac:dyDescent="0.3">
      <c r="A92" s="74"/>
      <c r="B92" s="74"/>
      <c r="C92" s="74"/>
      <c r="D92" s="74"/>
      <c r="E92" s="74"/>
      <c r="F92" s="74"/>
      <c r="G92" s="74"/>
      <c r="H92" s="74"/>
      <c r="I92" s="75"/>
      <c r="J92" s="75"/>
      <c r="K92" s="75"/>
      <c r="L92" s="75"/>
      <c r="M92" s="75"/>
      <c r="N92" s="75"/>
      <c r="O92" s="75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</row>
    <row r="93" spans="1:52" x14ac:dyDescent="0.3">
      <c r="A93" s="74"/>
      <c r="B93" s="74"/>
      <c r="C93" s="74"/>
      <c r="D93" s="74"/>
      <c r="E93" s="74"/>
      <c r="F93" s="74"/>
      <c r="G93" s="74"/>
      <c r="H93" s="74"/>
      <c r="I93" s="75"/>
      <c r="J93" s="75"/>
      <c r="K93" s="75"/>
      <c r="L93" s="75"/>
      <c r="M93" s="75"/>
      <c r="N93" s="75"/>
      <c r="O93" s="75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</row>
    <row r="94" spans="1:52" x14ac:dyDescent="0.3">
      <c r="A94" s="74"/>
      <c r="B94" s="74"/>
      <c r="C94" s="74"/>
      <c r="D94" s="74"/>
      <c r="E94" s="74"/>
      <c r="F94" s="74"/>
      <c r="G94" s="74"/>
      <c r="H94" s="74"/>
      <c r="I94" s="75"/>
      <c r="J94" s="75"/>
      <c r="K94" s="75"/>
      <c r="L94" s="75"/>
      <c r="M94" s="75"/>
      <c r="N94" s="75"/>
      <c r="O94" s="75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</row>
    <row r="95" spans="1:52" x14ac:dyDescent="0.3">
      <c r="A95" s="74"/>
      <c r="B95" s="74"/>
      <c r="C95" s="74"/>
      <c r="D95" s="74"/>
      <c r="E95" s="74"/>
      <c r="F95" s="74"/>
      <c r="G95" s="74"/>
      <c r="H95" s="74"/>
      <c r="I95" s="75"/>
      <c r="J95" s="75"/>
      <c r="K95" s="75"/>
      <c r="L95" s="75"/>
      <c r="M95" s="75"/>
      <c r="N95" s="75"/>
      <c r="O95" s="75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</row>
    <row r="96" spans="1:52" x14ac:dyDescent="0.3">
      <c r="A96" s="74"/>
      <c r="B96" s="74"/>
      <c r="C96" s="74"/>
      <c r="D96" s="74"/>
      <c r="E96" s="74"/>
      <c r="F96" s="74"/>
      <c r="G96" s="74"/>
      <c r="H96" s="74"/>
      <c r="I96" s="75"/>
      <c r="J96" s="75"/>
      <c r="K96" s="75"/>
      <c r="L96" s="75"/>
      <c r="M96" s="75"/>
      <c r="N96" s="75"/>
      <c r="O96" s="75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</row>
    <row r="97" spans="1:52" x14ac:dyDescent="0.3">
      <c r="A97" s="74"/>
      <c r="B97" s="74"/>
      <c r="C97" s="74"/>
      <c r="D97" s="74"/>
      <c r="E97" s="74"/>
      <c r="F97" s="74"/>
      <c r="G97" s="74"/>
      <c r="H97" s="74"/>
      <c r="I97" s="75"/>
      <c r="J97" s="75"/>
      <c r="K97" s="75"/>
      <c r="L97" s="75"/>
      <c r="M97" s="75"/>
      <c r="N97" s="75"/>
      <c r="O97" s="75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</row>
    <row r="98" spans="1:52" x14ac:dyDescent="0.3">
      <c r="A98" s="74"/>
      <c r="B98" s="74"/>
      <c r="C98" s="74"/>
      <c r="D98" s="74"/>
      <c r="E98" s="74"/>
      <c r="F98" s="74"/>
      <c r="G98" s="74"/>
      <c r="H98" s="74"/>
      <c r="I98" s="75"/>
      <c r="J98" s="75"/>
      <c r="K98" s="75"/>
      <c r="L98" s="75"/>
      <c r="M98" s="75"/>
      <c r="N98" s="75"/>
      <c r="O98" s="75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</row>
    <row r="99" spans="1:52" x14ac:dyDescent="0.3">
      <c r="A99" s="74"/>
      <c r="B99" s="74"/>
      <c r="C99" s="74"/>
      <c r="D99" s="74"/>
      <c r="E99" s="74"/>
      <c r="F99" s="74"/>
      <c r="G99" s="74"/>
      <c r="H99" s="74"/>
      <c r="I99" s="75"/>
      <c r="J99" s="75"/>
      <c r="K99" s="75"/>
      <c r="L99" s="75"/>
      <c r="M99" s="75"/>
      <c r="N99" s="75"/>
      <c r="O99" s="75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</row>
  </sheetData>
  <conditionalFormatting sqref="B15:B29">
    <cfRule type="containsText" dxfId="8" priority="5" operator="containsText" text="CONTAMINADA">
      <formula>NOT(ISERROR(SEARCH("CONTAMINADA",B15)))</formula>
    </cfRule>
    <cfRule type="containsText" dxfId="7" priority="6" operator="containsText" text="OLEOSA">
      <formula>NOT(ISERROR(SEARCH("OLEOSA",B15)))</formula>
    </cfRule>
    <cfRule type="containsText" dxfId="6" priority="7" operator="containsText" text="PLUVIAL">
      <formula>NOT(ISERROR(SEARCH("PLUVIAL",B15)))</formula>
    </cfRule>
  </conditionalFormatting>
  <conditionalFormatting sqref="C15:C25">
    <cfRule type="dataBar" priority="3">
      <dataBar>
        <cfvo type="min"/>
        <cfvo type="max"/>
        <color theme="2" tint="-9.9978637043366805E-2"/>
      </dataBar>
      <extLst>
        <ext xmlns:x14="http://schemas.microsoft.com/office/spreadsheetml/2009/9/main" uri="{B025F937-C7B1-47D3-B67F-A62EFF666E3E}">
          <x14:id>{CF4C5F3B-2366-4576-B5D0-0393EDF079EB}</x14:id>
        </ext>
      </extLst>
    </cfRule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{68861F84-0E4A-4A34-A2C7-CF80681B6A5B}</x14:id>
        </ext>
      </extLst>
    </cfRule>
  </conditionalFormatting>
  <conditionalFormatting sqref="C26:C29">
    <cfRule type="dataBar" priority="1">
      <dataBar>
        <cfvo type="min"/>
        <cfvo type="max"/>
        <color theme="2" tint="-9.9978637043366805E-2"/>
      </dataBar>
      <extLst>
        <ext xmlns:x14="http://schemas.microsoft.com/office/spreadsheetml/2009/9/main" uri="{B025F937-C7B1-47D3-B67F-A62EFF666E3E}">
          <x14:id>{297AE216-1199-4D00-B275-DDE345936D32}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{F36430D6-A1AB-478C-94F5-E4F79B088C22}</x14:id>
        </ext>
      </extLst>
    </cfRule>
  </conditionalFormatting>
  <conditionalFormatting sqref="I8:I10">
    <cfRule type="containsText" dxfId="5" priority="8" operator="containsText" text="CONTAMINADA">
      <formula>NOT(ISERROR(SEARCH("CONTAMINADA",I8)))</formula>
    </cfRule>
    <cfRule type="containsText" dxfId="4" priority="9" operator="containsText" text="OLEOSA">
      <formula>NOT(ISERROR(SEARCH("OLEOSA",I8)))</formula>
    </cfRule>
    <cfRule type="containsText" dxfId="3" priority="10" operator="containsText" text="PLUVIAL">
      <formula>NOT(ISERROR(SEARCH("PLUVIAL",I8)))</formula>
    </cfRule>
  </conditionalFormatting>
  <dataValidations count="4">
    <dataValidation type="list" allowBlank="1" showInputMessage="1" showErrorMessage="1" sqref="D8:F12" xr:uid="{AC946008-7C80-42F8-8C38-8E1A3D175542}">
      <formula1>"SIM,NÃO,[PREENCHER]"</formula1>
    </dataValidation>
    <dataValidation type="list" allowBlank="1" showInputMessage="1" showErrorMessage="1" sqref="B4" xr:uid="{BCF38845-8EBB-4199-B813-F84B76E61813}">
      <formula1>"TBARC,[PREENCHER]"</formula1>
    </dataValidation>
    <dataValidation type="list" allowBlank="1" showInputMessage="1" showErrorMessage="1" sqref="I8:I10 B15:B29" xr:uid="{2C6553FE-2FBB-485B-92B8-6727A46432B1}">
      <formula1>"PLUVIAL,OLEOSA,CONTAMINADA"</formula1>
    </dataValidation>
    <dataValidation type="list" allowBlank="1" showInputMessage="1" showErrorMessage="1" sqref="C15:C29" xr:uid="{4B23BD8A-9090-479A-BDE7-5556CE67BBF9}">
      <formula1>"100,150,200,250,300,400,600,800,1050,1200,1500"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4C5F3B-2366-4576-B5D0-0393EDF079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861F84-0E4A-4A34-A2C7-CF80681B6A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C15:C25</xm:sqref>
        </x14:conditionalFormatting>
        <x14:conditionalFormatting xmlns:xm="http://schemas.microsoft.com/office/excel/2006/main">
          <x14:cfRule type="dataBar" id="{297AE216-1199-4D00-B275-DDE345936D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6430D6-A1AB-478C-94F5-E4F79B088C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C26:C29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BB6E5-5508-4811-8B10-A9FFF87AB85D}">
  <sheetPr>
    <tabColor rgb="FF8E3D10"/>
  </sheetPr>
  <dimension ref="A1"/>
  <sheetViews>
    <sheetView workbookViewId="0">
      <selection activeCell="D28" sqref="D28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9428-9356-42FA-A94E-FF98771CBC0C}">
  <sheetPr>
    <tabColor theme="1" tint="0.249977111117893"/>
  </sheetPr>
  <dimension ref="A1"/>
  <sheetViews>
    <sheetView workbookViewId="0">
      <selection activeCell="J28" sqref="J28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E427-B1BA-4CF2-B888-E7E2FF226AC6}">
  <sheetPr>
    <tabColor theme="2" tint="-0.249977111117893"/>
  </sheetPr>
  <dimension ref="A1:AQT388"/>
  <sheetViews>
    <sheetView showGridLines="0" zoomScaleNormal="100" workbookViewId="0">
      <pane xSplit="3" topLeftCell="D1" activePane="topRight" state="frozen"/>
      <selection pane="topRight" activeCell="J22" sqref="J22"/>
    </sheetView>
  </sheetViews>
  <sheetFormatPr defaultRowHeight="14.4" x14ac:dyDescent="0.3"/>
  <cols>
    <col min="1" max="1" width="23.44140625" style="9" bestFit="1" customWidth="1"/>
    <col min="2" max="2" width="9.6640625" style="9" customWidth="1"/>
    <col min="3" max="3" width="13.77734375" style="31" bestFit="1" customWidth="1"/>
    <col min="4" max="4" width="2.33203125" style="9" customWidth="1"/>
    <col min="5" max="5" width="44.5546875" style="9" bestFit="1" customWidth="1"/>
    <col min="6" max="6" width="9.6640625" style="9" bestFit="1" customWidth="1"/>
    <col min="7" max="7" width="7.44140625" style="9" bestFit="1" customWidth="1"/>
    <col min="8" max="8" width="2.109375" style="9" customWidth="1"/>
    <col min="9" max="9" width="23.33203125" style="9" bestFit="1" customWidth="1"/>
    <col min="10" max="10" width="20.5546875" style="9" bestFit="1" customWidth="1"/>
    <col min="11" max="11" width="23.44140625" style="9" bestFit="1" customWidth="1"/>
    <col min="12" max="12" width="2.5546875" style="8" customWidth="1"/>
    <col min="13" max="13" width="35.77734375" style="9" bestFit="1" customWidth="1"/>
    <col min="14" max="14" width="9.6640625" style="9" bestFit="1" customWidth="1"/>
    <col min="15" max="15" width="40.21875" style="9" bestFit="1" customWidth="1"/>
    <col min="16" max="16" width="13.77734375" style="9" bestFit="1" customWidth="1"/>
    <col min="17" max="16384" width="8.88671875" style="9"/>
  </cols>
  <sheetData>
    <row r="1" spans="1:1138" s="4" customFormat="1" x14ac:dyDescent="0.3">
      <c r="A1" s="87" t="s">
        <v>7</v>
      </c>
      <c r="B1" s="88"/>
      <c r="C1" s="89"/>
      <c r="D1" s="8"/>
      <c r="E1" s="84" t="s">
        <v>19</v>
      </c>
      <c r="F1" s="85"/>
      <c r="G1" s="86"/>
      <c r="H1" s="8"/>
      <c r="I1" s="84" t="s">
        <v>8</v>
      </c>
      <c r="J1" s="85"/>
      <c r="K1" s="86"/>
      <c r="L1" s="8"/>
      <c r="M1" s="84" t="s">
        <v>20</v>
      </c>
      <c r="N1" s="85"/>
      <c r="O1" s="86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</row>
    <row r="2" spans="1:1138" s="4" customFormat="1" x14ac:dyDescent="0.3">
      <c r="A2" s="87"/>
      <c r="B2" s="88"/>
      <c r="C2" s="89"/>
      <c r="D2" s="8"/>
      <c r="E2" s="87"/>
      <c r="F2" s="88"/>
      <c r="G2" s="89"/>
      <c r="H2" s="8"/>
      <c r="I2" s="87"/>
      <c r="J2" s="88"/>
      <c r="K2" s="89"/>
      <c r="L2" s="8"/>
      <c r="M2" s="87"/>
      <c r="N2" s="88"/>
      <c r="O2" s="89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/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/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  <c r="ZQ2" s="9"/>
      <c r="ZR2" s="9"/>
      <c r="ZS2" s="9"/>
      <c r="ZT2" s="9"/>
      <c r="ZU2" s="9"/>
      <c r="ZV2" s="9"/>
      <c r="ZW2" s="9"/>
      <c r="ZX2" s="9"/>
      <c r="ZY2" s="9"/>
      <c r="ZZ2" s="9"/>
      <c r="AAA2" s="9"/>
      <c r="AAB2" s="9"/>
      <c r="AAC2" s="9"/>
      <c r="AAD2" s="9"/>
      <c r="AAE2" s="9"/>
      <c r="AAF2" s="9"/>
      <c r="AAG2" s="9"/>
      <c r="AAH2" s="9"/>
      <c r="AAI2" s="9"/>
      <c r="AAJ2" s="9"/>
      <c r="AAK2" s="9"/>
      <c r="AAL2" s="9"/>
      <c r="AAM2" s="9"/>
      <c r="AAN2" s="9"/>
      <c r="AAO2" s="9"/>
      <c r="AAP2" s="9"/>
      <c r="AAQ2" s="9"/>
      <c r="AAR2" s="9"/>
      <c r="AAS2" s="9"/>
      <c r="AAT2" s="9"/>
      <c r="AAU2" s="9"/>
      <c r="AAV2" s="9"/>
      <c r="AAW2" s="9"/>
      <c r="AAX2" s="9"/>
      <c r="AAY2" s="9"/>
      <c r="AAZ2" s="9"/>
      <c r="ABA2" s="9"/>
      <c r="ABB2" s="9"/>
      <c r="ABC2" s="9"/>
      <c r="ABD2" s="9"/>
      <c r="ABE2" s="9"/>
      <c r="ABF2" s="9"/>
      <c r="ABG2" s="9"/>
      <c r="ABH2" s="9"/>
      <c r="ABI2" s="9"/>
      <c r="ABJ2" s="9"/>
      <c r="ABK2" s="9"/>
      <c r="ABL2" s="9"/>
      <c r="ABM2" s="9"/>
      <c r="ABN2" s="9"/>
      <c r="ABO2" s="9"/>
      <c r="ABP2" s="9"/>
      <c r="ABQ2" s="9"/>
      <c r="ABR2" s="9"/>
      <c r="ABS2" s="9"/>
      <c r="ABT2" s="9"/>
      <c r="ABU2" s="9"/>
      <c r="ABV2" s="9"/>
      <c r="ABW2" s="9"/>
      <c r="ABX2" s="9"/>
      <c r="ABY2" s="9"/>
      <c r="ABZ2" s="9"/>
      <c r="ACA2" s="9"/>
      <c r="ACB2" s="9"/>
      <c r="ACC2" s="9"/>
      <c r="ACD2" s="9"/>
      <c r="ACE2" s="9"/>
      <c r="ACF2" s="9"/>
      <c r="ACG2" s="9"/>
      <c r="ACH2" s="9"/>
      <c r="ACI2" s="9"/>
      <c r="ACJ2" s="9"/>
      <c r="ACK2" s="9"/>
      <c r="ACL2" s="9"/>
      <c r="ACM2" s="9"/>
      <c r="ACN2" s="9"/>
      <c r="ACO2" s="9"/>
      <c r="ACP2" s="9"/>
      <c r="ACQ2" s="9"/>
      <c r="ACR2" s="9"/>
      <c r="ACS2" s="9"/>
      <c r="ACT2" s="9"/>
      <c r="ACU2" s="9"/>
      <c r="ACV2" s="9"/>
      <c r="ACW2" s="9"/>
      <c r="ACX2" s="9"/>
      <c r="ACY2" s="9"/>
      <c r="ACZ2" s="9"/>
      <c r="ADA2" s="9"/>
      <c r="ADB2" s="9"/>
      <c r="ADC2" s="9"/>
      <c r="ADD2" s="9"/>
      <c r="ADE2" s="9"/>
      <c r="ADF2" s="9"/>
      <c r="ADG2" s="9"/>
      <c r="ADH2" s="9"/>
      <c r="ADI2" s="9"/>
      <c r="ADJ2" s="9"/>
      <c r="ADK2" s="9"/>
      <c r="ADL2" s="9"/>
      <c r="ADM2" s="9"/>
      <c r="ADN2" s="9"/>
      <c r="ADO2" s="9"/>
      <c r="ADP2" s="9"/>
      <c r="ADQ2" s="9"/>
      <c r="ADR2" s="9"/>
      <c r="ADS2" s="9"/>
      <c r="ADT2" s="9"/>
      <c r="ADU2" s="9"/>
      <c r="ADV2" s="9"/>
      <c r="ADW2" s="9"/>
      <c r="ADX2" s="9"/>
      <c r="ADY2" s="9"/>
      <c r="ADZ2" s="9"/>
      <c r="AEA2" s="9"/>
      <c r="AEB2" s="9"/>
      <c r="AEC2" s="9"/>
      <c r="AED2" s="9"/>
      <c r="AEE2" s="9"/>
      <c r="AEF2" s="9"/>
      <c r="AEG2" s="9"/>
      <c r="AEH2" s="9"/>
      <c r="AEI2" s="9"/>
      <c r="AEJ2" s="9"/>
      <c r="AEK2" s="9"/>
      <c r="AEL2" s="9"/>
      <c r="AEM2" s="9"/>
      <c r="AEN2" s="9"/>
      <c r="AEO2" s="9"/>
      <c r="AEP2" s="9"/>
      <c r="AEQ2" s="9"/>
      <c r="AER2" s="9"/>
      <c r="AES2" s="9"/>
      <c r="AET2" s="9"/>
      <c r="AEU2" s="9"/>
      <c r="AEV2" s="9"/>
      <c r="AEW2" s="9"/>
      <c r="AEX2" s="9"/>
      <c r="AEY2" s="9"/>
      <c r="AEZ2" s="9"/>
      <c r="AFA2" s="9"/>
      <c r="AFB2" s="9"/>
      <c r="AFC2" s="9"/>
      <c r="AFD2" s="9"/>
      <c r="AFE2" s="9"/>
      <c r="AFF2" s="9"/>
      <c r="AFG2" s="9"/>
      <c r="AFH2" s="9"/>
      <c r="AFI2" s="9"/>
      <c r="AFJ2" s="9"/>
      <c r="AFK2" s="9"/>
      <c r="AFL2" s="9"/>
      <c r="AFM2" s="9"/>
      <c r="AFN2" s="9"/>
      <c r="AFO2" s="9"/>
      <c r="AFP2" s="9"/>
      <c r="AFQ2" s="9"/>
      <c r="AFR2" s="9"/>
      <c r="AFS2" s="9"/>
      <c r="AFT2" s="9"/>
      <c r="AFU2" s="9"/>
      <c r="AFV2" s="9"/>
      <c r="AFW2" s="9"/>
      <c r="AFX2" s="9"/>
      <c r="AFY2" s="9"/>
      <c r="AFZ2" s="9"/>
      <c r="AGA2" s="9"/>
      <c r="AGB2" s="9"/>
      <c r="AGC2" s="9"/>
      <c r="AGD2" s="9"/>
      <c r="AGE2" s="9"/>
      <c r="AGF2" s="9"/>
      <c r="AGG2" s="9"/>
      <c r="AGH2" s="9"/>
      <c r="AGI2" s="9"/>
      <c r="AGJ2" s="9"/>
      <c r="AGK2" s="9"/>
      <c r="AGL2" s="9"/>
      <c r="AGM2" s="9"/>
      <c r="AGN2" s="9"/>
      <c r="AGO2" s="9"/>
      <c r="AGP2" s="9"/>
      <c r="AGQ2" s="9"/>
      <c r="AGR2" s="9"/>
      <c r="AGS2" s="9"/>
      <c r="AGT2" s="9"/>
      <c r="AGU2" s="9"/>
      <c r="AGV2" s="9"/>
      <c r="AGW2" s="9"/>
      <c r="AGX2" s="9"/>
      <c r="AGY2" s="9"/>
      <c r="AGZ2" s="9"/>
      <c r="AHA2" s="9"/>
      <c r="AHB2" s="9"/>
      <c r="AHC2" s="9"/>
      <c r="AHD2" s="9"/>
      <c r="AHE2" s="9"/>
      <c r="AHF2" s="9"/>
      <c r="AHG2" s="9"/>
      <c r="AHH2" s="9"/>
      <c r="AHI2" s="9"/>
      <c r="AHJ2" s="9"/>
      <c r="AHK2" s="9"/>
      <c r="AHL2" s="9"/>
      <c r="AHM2" s="9"/>
      <c r="AHN2" s="9"/>
      <c r="AHO2" s="9"/>
      <c r="AHP2" s="9"/>
      <c r="AHQ2" s="9"/>
      <c r="AHR2" s="9"/>
      <c r="AHS2" s="9"/>
      <c r="AHT2" s="9"/>
      <c r="AHU2" s="9"/>
      <c r="AHV2" s="9"/>
      <c r="AHW2" s="9"/>
      <c r="AHX2" s="9"/>
      <c r="AHY2" s="9"/>
      <c r="AHZ2" s="9"/>
      <c r="AIA2" s="9"/>
      <c r="AIB2" s="9"/>
      <c r="AIC2" s="9"/>
      <c r="AID2" s="9"/>
      <c r="AIE2" s="9"/>
      <c r="AIF2" s="9"/>
      <c r="AIG2" s="9"/>
      <c r="AIH2" s="9"/>
      <c r="AII2" s="9"/>
      <c r="AIJ2" s="9"/>
      <c r="AIK2" s="9"/>
      <c r="AIL2" s="9"/>
      <c r="AIM2" s="9"/>
      <c r="AIN2" s="9"/>
      <c r="AIO2" s="9"/>
      <c r="AIP2" s="9"/>
      <c r="AIQ2" s="9"/>
      <c r="AIR2" s="9"/>
      <c r="AIS2" s="9"/>
      <c r="AIT2" s="9"/>
      <c r="AIU2" s="9"/>
      <c r="AIV2" s="9"/>
      <c r="AIW2" s="9"/>
      <c r="AIX2" s="9"/>
      <c r="AIY2" s="9"/>
      <c r="AIZ2" s="9"/>
      <c r="AJA2" s="9"/>
      <c r="AJB2" s="9"/>
      <c r="AJC2" s="9"/>
      <c r="AJD2" s="9"/>
      <c r="AJE2" s="9"/>
      <c r="AJF2" s="9"/>
      <c r="AJG2" s="9"/>
      <c r="AJH2" s="9"/>
      <c r="AJI2" s="9"/>
      <c r="AJJ2" s="9"/>
      <c r="AJK2" s="9"/>
      <c r="AJL2" s="9"/>
      <c r="AJM2" s="9"/>
      <c r="AJN2" s="9"/>
      <c r="AJO2" s="9"/>
      <c r="AJP2" s="9"/>
      <c r="AJQ2" s="9"/>
      <c r="AJR2" s="9"/>
      <c r="AJS2" s="9"/>
      <c r="AJT2" s="9"/>
      <c r="AJU2" s="9"/>
      <c r="AJV2" s="9"/>
      <c r="AJW2" s="9"/>
      <c r="AJX2" s="9"/>
      <c r="AJY2" s="9"/>
      <c r="AJZ2" s="9"/>
      <c r="AKA2" s="9"/>
      <c r="AKB2" s="9"/>
      <c r="AKC2" s="9"/>
      <c r="AKD2" s="9"/>
      <c r="AKE2" s="9"/>
      <c r="AKF2" s="9"/>
      <c r="AKG2" s="9"/>
      <c r="AKH2" s="9"/>
      <c r="AKI2" s="9"/>
      <c r="AKJ2" s="9"/>
      <c r="AKK2" s="9"/>
      <c r="AKL2" s="9"/>
      <c r="AKM2" s="9"/>
      <c r="AKN2" s="9"/>
      <c r="AKO2" s="9"/>
      <c r="AKP2" s="9"/>
      <c r="AKQ2" s="9"/>
      <c r="AKR2" s="9"/>
      <c r="AKS2" s="9"/>
      <c r="AKT2" s="9"/>
      <c r="AKU2" s="9"/>
      <c r="AKV2" s="9"/>
      <c r="AKW2" s="9"/>
      <c r="AKX2" s="9"/>
      <c r="AKY2" s="9"/>
      <c r="AKZ2" s="9"/>
      <c r="ALA2" s="9"/>
      <c r="ALB2" s="9"/>
      <c r="ALC2" s="9"/>
      <c r="ALD2" s="9"/>
      <c r="ALE2" s="9"/>
      <c r="ALF2" s="9"/>
      <c r="ALG2" s="9"/>
      <c r="ALH2" s="9"/>
      <c r="ALI2" s="9"/>
      <c r="ALJ2" s="9"/>
      <c r="ALK2" s="9"/>
      <c r="ALL2" s="9"/>
      <c r="ALM2" s="9"/>
      <c r="ALN2" s="9"/>
      <c r="ALO2" s="9"/>
      <c r="ALP2" s="9"/>
      <c r="ALQ2" s="9"/>
      <c r="ALR2" s="9"/>
      <c r="ALS2" s="9"/>
      <c r="ALT2" s="9"/>
      <c r="ALU2" s="9"/>
      <c r="ALV2" s="9"/>
      <c r="ALW2" s="9"/>
      <c r="ALX2" s="9"/>
      <c r="ALY2" s="9"/>
      <c r="ALZ2" s="9"/>
      <c r="AMA2" s="9"/>
      <c r="AMB2" s="9"/>
      <c r="AMC2" s="9"/>
      <c r="AMD2" s="9"/>
      <c r="AME2" s="9"/>
      <c r="AMF2" s="9"/>
      <c r="AMG2" s="9"/>
      <c r="AMH2" s="9"/>
      <c r="AMI2" s="9"/>
      <c r="AMJ2" s="9"/>
      <c r="AMK2" s="9"/>
      <c r="AML2" s="9"/>
      <c r="AMM2" s="9"/>
      <c r="AMN2" s="9"/>
      <c r="AMO2" s="9"/>
      <c r="AMP2" s="9"/>
      <c r="AMQ2" s="9"/>
      <c r="AMR2" s="9"/>
      <c r="AMS2" s="9"/>
      <c r="AMT2" s="9"/>
      <c r="AMU2" s="9"/>
      <c r="AMV2" s="9"/>
      <c r="AMW2" s="9"/>
      <c r="AMX2" s="9"/>
      <c r="AMY2" s="9"/>
      <c r="AMZ2" s="9"/>
      <c r="ANA2" s="9"/>
      <c r="ANB2" s="9"/>
      <c r="ANC2" s="9"/>
      <c r="AND2" s="9"/>
      <c r="ANE2" s="9"/>
      <c r="ANF2" s="9"/>
      <c r="ANG2" s="9"/>
      <c r="ANH2" s="9"/>
      <c r="ANI2" s="9"/>
      <c r="ANJ2" s="9"/>
      <c r="ANK2" s="9"/>
      <c r="ANL2" s="9"/>
      <c r="ANM2" s="9"/>
      <c r="ANN2" s="9"/>
      <c r="ANO2" s="9"/>
      <c r="ANP2" s="9"/>
      <c r="ANQ2" s="9"/>
      <c r="ANR2" s="9"/>
      <c r="ANS2" s="9"/>
      <c r="ANT2" s="9"/>
      <c r="ANU2" s="9"/>
      <c r="ANV2" s="9"/>
      <c r="ANW2" s="9"/>
      <c r="ANX2" s="9"/>
      <c r="ANY2" s="9"/>
      <c r="ANZ2" s="9"/>
      <c r="AOA2" s="9"/>
      <c r="AOB2" s="9"/>
      <c r="AOC2" s="9"/>
      <c r="AOD2" s="9"/>
      <c r="AOE2" s="9"/>
      <c r="AOF2" s="9"/>
      <c r="AOG2" s="9"/>
      <c r="AOH2" s="9"/>
      <c r="AOI2" s="9"/>
      <c r="AOJ2" s="9"/>
      <c r="AOK2" s="9"/>
      <c r="AOL2" s="9"/>
      <c r="AOM2" s="9"/>
      <c r="AON2" s="9"/>
      <c r="AOO2" s="9"/>
      <c r="AOP2" s="9"/>
      <c r="AOQ2" s="9"/>
      <c r="AOR2" s="9"/>
      <c r="AOS2" s="9"/>
      <c r="AOT2" s="9"/>
      <c r="AOU2" s="9"/>
      <c r="AOV2" s="9"/>
      <c r="AOW2" s="9"/>
      <c r="AOX2" s="9"/>
      <c r="AOY2" s="9"/>
      <c r="AOZ2" s="9"/>
      <c r="APA2" s="9"/>
      <c r="APB2" s="9"/>
      <c r="APC2" s="9"/>
      <c r="APD2" s="9"/>
      <c r="APE2" s="9"/>
      <c r="APF2" s="9"/>
      <c r="APG2" s="9"/>
      <c r="APH2" s="9"/>
      <c r="API2" s="9"/>
      <c r="APJ2" s="9"/>
      <c r="APK2" s="9"/>
      <c r="APL2" s="9"/>
      <c r="APM2" s="9"/>
      <c r="APN2" s="9"/>
      <c r="APO2" s="9"/>
      <c r="APP2" s="9"/>
      <c r="APQ2" s="9"/>
      <c r="APR2" s="9"/>
      <c r="APS2" s="9"/>
      <c r="APT2" s="9"/>
      <c r="APU2" s="9"/>
      <c r="APV2" s="9"/>
      <c r="APW2" s="9"/>
      <c r="APX2" s="9"/>
      <c r="APY2" s="9"/>
      <c r="APZ2" s="9"/>
      <c r="AQA2" s="9"/>
      <c r="AQB2" s="9"/>
      <c r="AQC2" s="9"/>
      <c r="AQD2" s="9"/>
      <c r="AQE2" s="9"/>
      <c r="AQF2" s="9"/>
      <c r="AQG2" s="9"/>
      <c r="AQH2" s="9"/>
      <c r="AQI2" s="9"/>
      <c r="AQJ2" s="9"/>
      <c r="AQK2" s="9"/>
      <c r="AQL2" s="9"/>
      <c r="AQM2" s="9"/>
      <c r="AQN2" s="9"/>
      <c r="AQO2" s="9"/>
      <c r="AQP2" s="9"/>
      <c r="AQQ2" s="9"/>
      <c r="AQR2" s="9"/>
      <c r="AQS2" s="9"/>
      <c r="AQT2" s="9"/>
    </row>
    <row r="3" spans="1:1138" x14ac:dyDescent="0.3">
      <c r="A3" s="5" t="s">
        <v>10</v>
      </c>
      <c r="B3" s="6" t="s">
        <v>12</v>
      </c>
      <c r="C3" s="7" t="s">
        <v>9</v>
      </c>
      <c r="D3" s="8"/>
      <c r="E3" s="5" t="s">
        <v>10</v>
      </c>
      <c r="F3" s="6" t="s">
        <v>12</v>
      </c>
      <c r="G3" s="7" t="s">
        <v>9</v>
      </c>
      <c r="H3" s="8"/>
      <c r="I3" s="5" t="s">
        <v>10</v>
      </c>
      <c r="J3" s="6" t="s">
        <v>12</v>
      </c>
      <c r="K3" s="7" t="s">
        <v>9</v>
      </c>
      <c r="M3" s="5" t="s">
        <v>10</v>
      </c>
      <c r="N3" s="6" t="s">
        <v>12</v>
      </c>
      <c r="O3" s="7" t="s">
        <v>9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</row>
    <row r="4" spans="1:1138" x14ac:dyDescent="0.3">
      <c r="A4" s="1" t="s">
        <v>80</v>
      </c>
      <c r="B4" s="16"/>
      <c r="C4" s="3" t="s">
        <v>81</v>
      </c>
      <c r="D4" s="8"/>
      <c r="E4" s="1" t="s">
        <v>38</v>
      </c>
      <c r="F4" s="16"/>
      <c r="G4" s="18"/>
      <c r="H4" s="8"/>
      <c r="I4" s="1" t="s">
        <v>15</v>
      </c>
      <c r="J4" s="16"/>
      <c r="K4" s="3">
        <v>0</v>
      </c>
      <c r="M4" s="1" t="s">
        <v>45</v>
      </c>
      <c r="N4" s="16" t="s">
        <v>37</v>
      </c>
      <c r="O4" s="3">
        <v>6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</row>
    <row r="5" spans="1:1138" x14ac:dyDescent="0.3">
      <c r="A5" s="1" t="s">
        <v>23</v>
      </c>
      <c r="B5" s="16" t="s">
        <v>13</v>
      </c>
      <c r="C5" s="3">
        <v>59949</v>
      </c>
      <c r="D5" s="8"/>
      <c r="E5" s="1" t="s">
        <v>39</v>
      </c>
      <c r="F5" s="16"/>
      <c r="G5" s="18"/>
      <c r="H5" s="8"/>
      <c r="I5" s="1" t="s">
        <v>16</v>
      </c>
      <c r="J5" s="16"/>
      <c r="K5" s="3">
        <v>0</v>
      </c>
      <c r="M5" s="1" t="s">
        <v>64</v>
      </c>
      <c r="N5" s="16" t="s">
        <v>37</v>
      </c>
      <c r="O5" s="3">
        <v>10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</row>
    <row r="6" spans="1:1138" x14ac:dyDescent="0.3">
      <c r="A6" s="1" t="s">
        <v>26</v>
      </c>
      <c r="B6" s="16" t="s">
        <v>14</v>
      </c>
      <c r="C6" s="3">
        <v>4</v>
      </c>
      <c r="D6" s="8"/>
      <c r="E6" s="1" t="s">
        <v>40</v>
      </c>
      <c r="F6" s="16"/>
      <c r="G6" s="18"/>
      <c r="H6" s="8"/>
      <c r="I6" s="1" t="s">
        <v>17</v>
      </c>
      <c r="J6" s="16"/>
      <c r="K6" s="3">
        <v>0</v>
      </c>
      <c r="M6" s="1" t="s">
        <v>49</v>
      </c>
      <c r="N6" s="16"/>
      <c r="O6" s="34">
        <v>0.15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</row>
    <row r="7" spans="1:1138" x14ac:dyDescent="0.3">
      <c r="A7" s="1" t="s">
        <v>25</v>
      </c>
      <c r="B7" s="16" t="s">
        <v>13</v>
      </c>
      <c r="C7" s="3">
        <v>8666</v>
      </c>
      <c r="D7" s="8"/>
      <c r="E7" s="1" t="s">
        <v>43</v>
      </c>
      <c r="F7" s="16"/>
      <c r="G7" s="20"/>
      <c r="H7" s="8"/>
      <c r="I7" s="1" t="s">
        <v>18</v>
      </c>
      <c r="J7" s="16"/>
      <c r="K7" s="3">
        <v>0</v>
      </c>
      <c r="M7" s="1" t="s">
        <v>50</v>
      </c>
      <c r="N7" s="16" t="s">
        <v>37</v>
      </c>
      <c r="O7" s="3">
        <v>0.6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</row>
    <row r="8" spans="1:1138" x14ac:dyDescent="0.3">
      <c r="A8" s="1" t="s">
        <v>24</v>
      </c>
      <c r="B8" s="16" t="s">
        <v>13</v>
      </c>
      <c r="C8" s="3">
        <f>C7*C6</f>
        <v>34664</v>
      </c>
      <c r="D8" s="8"/>
      <c r="E8" s="1" t="s">
        <v>42</v>
      </c>
      <c r="F8" s="16"/>
      <c r="G8" s="20"/>
      <c r="H8" s="8"/>
      <c r="I8" s="1" t="s">
        <v>11</v>
      </c>
      <c r="J8" s="16" t="s">
        <v>35</v>
      </c>
      <c r="K8" s="3">
        <v>20</v>
      </c>
      <c r="M8" s="1" t="s">
        <v>58</v>
      </c>
      <c r="N8" s="16"/>
      <c r="O8" s="35" t="s">
        <v>87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</row>
    <row r="9" spans="1:1138" x14ac:dyDescent="0.3">
      <c r="A9" s="8"/>
      <c r="B9" s="8"/>
      <c r="C9" s="30"/>
      <c r="D9" s="8"/>
      <c r="E9" s="1" t="s">
        <v>44</v>
      </c>
      <c r="F9" s="16" t="s">
        <v>37</v>
      </c>
      <c r="G9" s="3">
        <v>0.3</v>
      </c>
      <c r="H9" s="8"/>
      <c r="I9" s="1" t="s">
        <v>33</v>
      </c>
      <c r="J9" s="16" t="s">
        <v>34</v>
      </c>
      <c r="K9" s="3">
        <v>10</v>
      </c>
      <c r="M9" s="1" t="s">
        <v>48</v>
      </c>
      <c r="N9" s="16" t="s">
        <v>37</v>
      </c>
      <c r="O9" s="3">
        <v>0.2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</row>
    <row r="10" spans="1:1138" x14ac:dyDescent="0.3">
      <c r="A10" s="87" t="s">
        <v>65</v>
      </c>
      <c r="B10" s="88"/>
      <c r="C10" s="89"/>
      <c r="D10" s="8"/>
      <c r="E10" s="1" t="s">
        <v>82</v>
      </c>
      <c r="F10" s="16"/>
      <c r="G10" s="32" t="s">
        <v>84</v>
      </c>
      <c r="H10" s="8"/>
      <c r="I10" s="1" t="s">
        <v>27</v>
      </c>
      <c r="J10" s="16" t="s">
        <v>36</v>
      </c>
      <c r="K10" s="3">
        <f>IFERROR((K4*(K8^K5))/(K9+(K6^K7)),154.3)</f>
        <v>154.30000000000001</v>
      </c>
      <c r="M10" s="1" t="s">
        <v>59</v>
      </c>
      <c r="N10" s="16"/>
      <c r="O10" s="35" t="s">
        <v>87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</row>
    <row r="11" spans="1:1138" x14ac:dyDescent="0.3">
      <c r="A11" s="87"/>
      <c r="B11" s="88"/>
      <c r="C11" s="89"/>
      <c r="D11" s="8"/>
      <c r="E11" s="1" t="s">
        <v>83</v>
      </c>
      <c r="F11" s="16"/>
      <c r="G11" s="32" t="s">
        <v>84</v>
      </c>
      <c r="H11" s="8"/>
      <c r="I11" s="1" t="s">
        <v>28</v>
      </c>
      <c r="J11" s="16"/>
      <c r="K11" s="3">
        <v>0.4</v>
      </c>
      <c r="M11" s="1" t="s">
        <v>47</v>
      </c>
      <c r="N11" s="16" t="s">
        <v>37</v>
      </c>
      <c r="O11" s="3">
        <v>0.15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</row>
    <row r="12" spans="1:1138" x14ac:dyDescent="0.3">
      <c r="A12" s="5" t="s">
        <v>10</v>
      </c>
      <c r="B12" s="82" t="s">
        <v>79</v>
      </c>
      <c r="C12" s="83"/>
      <c r="D12" s="8"/>
      <c r="E12" s="1" t="s">
        <v>85</v>
      </c>
      <c r="F12" s="16" t="s">
        <v>37</v>
      </c>
      <c r="G12" s="3">
        <v>3</v>
      </c>
      <c r="H12" s="8"/>
      <c r="I12" s="1" t="s">
        <v>29</v>
      </c>
      <c r="J12" s="16"/>
      <c r="K12" s="3">
        <v>0.9</v>
      </c>
      <c r="M12" s="1" t="s">
        <v>60</v>
      </c>
      <c r="N12" s="16"/>
      <c r="O12" s="35" t="s">
        <v>88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</row>
    <row r="13" spans="1:1138" x14ac:dyDescent="0.3">
      <c r="A13" s="1" t="s">
        <v>67</v>
      </c>
      <c r="B13" s="77"/>
      <c r="C13" s="78"/>
      <c r="D13" s="8"/>
      <c r="E13" s="1" t="s">
        <v>86</v>
      </c>
      <c r="F13" s="16"/>
      <c r="G13" s="33">
        <v>3.0000000000000001E-3</v>
      </c>
      <c r="H13" s="8"/>
      <c r="I13" s="1" t="s">
        <v>30</v>
      </c>
      <c r="J13" s="16" t="s">
        <v>95</v>
      </c>
      <c r="K13" s="3">
        <v>0.95</v>
      </c>
      <c r="M13" s="1" t="s">
        <v>46</v>
      </c>
      <c r="N13" s="16" t="s">
        <v>37</v>
      </c>
      <c r="O13" s="3">
        <v>0.15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</row>
    <row r="14" spans="1:1138" x14ac:dyDescent="0.3">
      <c r="A14" s="1" t="s">
        <v>68</v>
      </c>
      <c r="B14" s="96" t="s">
        <v>79</v>
      </c>
      <c r="C14" s="97"/>
      <c r="D14" s="8"/>
      <c r="E14" s="1"/>
      <c r="F14" s="16"/>
      <c r="G14" s="18"/>
      <c r="H14" s="8"/>
      <c r="I14" s="1" t="s">
        <v>31</v>
      </c>
      <c r="J14" s="16"/>
      <c r="K14" s="3">
        <v>0.5</v>
      </c>
      <c r="M14" s="1" t="s">
        <v>89</v>
      </c>
      <c r="N14" s="16"/>
      <c r="O14" s="34">
        <v>0.01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</row>
    <row r="15" spans="1:1138" x14ac:dyDescent="0.3">
      <c r="A15" s="1" t="s">
        <v>69</v>
      </c>
      <c r="B15" s="96" t="s">
        <v>79</v>
      </c>
      <c r="C15" s="97"/>
      <c r="D15" s="8"/>
      <c r="E15" s="1"/>
      <c r="F15" s="16"/>
      <c r="G15" s="18"/>
      <c r="H15" s="8"/>
      <c r="I15" s="1" t="s">
        <v>94</v>
      </c>
      <c r="J15" s="16"/>
      <c r="K15" s="3">
        <v>0.4</v>
      </c>
      <c r="M15" s="1" t="s">
        <v>90</v>
      </c>
      <c r="N15" s="16"/>
      <c r="O15" s="37" t="s">
        <v>92</v>
      </c>
      <c r="P15" s="36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</row>
    <row r="16" spans="1:1138" ht="15" thickBot="1" x14ac:dyDescent="0.35">
      <c r="A16" s="1" t="s">
        <v>70</v>
      </c>
      <c r="B16" s="77"/>
      <c r="C16" s="78"/>
      <c r="D16" s="8"/>
      <c r="E16" s="2"/>
      <c r="F16" s="17"/>
      <c r="G16" s="19"/>
      <c r="H16" s="8"/>
      <c r="I16" s="2" t="s">
        <v>32</v>
      </c>
      <c r="J16" s="17"/>
      <c r="K16" s="39">
        <f>AVERAGE(K11,K12,K13,K14,K15)</f>
        <v>0.63</v>
      </c>
      <c r="M16" s="2" t="s">
        <v>91</v>
      </c>
      <c r="N16" s="17"/>
      <c r="O16" s="38" t="s">
        <v>93</v>
      </c>
      <c r="P16" s="36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</row>
    <row r="17" spans="1:1138" x14ac:dyDescent="0.3">
      <c r="A17" s="1" t="s">
        <v>66</v>
      </c>
      <c r="B17" s="96" t="s">
        <v>79</v>
      </c>
      <c r="C17" s="97"/>
      <c r="D17" s="8"/>
      <c r="E17" s="8"/>
      <c r="F17" s="8"/>
      <c r="G17" s="8"/>
      <c r="H17" s="8"/>
      <c r="I17" s="8"/>
      <c r="J17" s="8"/>
      <c r="K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</row>
    <row r="18" spans="1:1138" ht="15" thickBot="1" x14ac:dyDescent="0.35">
      <c r="A18" s="1" t="s">
        <v>71</v>
      </c>
      <c r="B18" s="96"/>
      <c r="C18" s="78"/>
      <c r="D18" s="8"/>
      <c r="E18" s="8"/>
      <c r="F18" s="8"/>
      <c r="G18" s="8"/>
      <c r="H18" s="8"/>
      <c r="I18" s="8"/>
      <c r="J18" s="8"/>
      <c r="K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</row>
    <row r="19" spans="1:1138" s="4" customFormat="1" x14ac:dyDescent="0.3">
      <c r="A19" s="8"/>
      <c r="B19" s="8"/>
      <c r="C19" s="30"/>
      <c r="D19" s="8"/>
      <c r="E19" s="84" t="s">
        <v>22</v>
      </c>
      <c r="F19" s="85"/>
      <c r="G19" s="86"/>
      <c r="H19" s="8"/>
      <c r="I19" s="90" t="s">
        <v>6</v>
      </c>
      <c r="J19" s="91"/>
      <c r="K19" s="92"/>
      <c r="L19" s="8"/>
      <c r="M19" s="84" t="s">
        <v>21</v>
      </c>
      <c r="N19" s="85"/>
      <c r="O19" s="86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  <c r="IW19" s="9"/>
      <c r="IX19" s="9"/>
      <c r="IY19" s="9"/>
      <c r="IZ19" s="9"/>
      <c r="JA19" s="9"/>
      <c r="JB19" s="9"/>
      <c r="JC19" s="9"/>
      <c r="JD19" s="9"/>
      <c r="JE19" s="9"/>
      <c r="JF19" s="9"/>
      <c r="JG19" s="9"/>
      <c r="JH19" s="9"/>
      <c r="JI19" s="9"/>
      <c r="JJ19" s="9"/>
      <c r="JK19" s="9"/>
      <c r="JL19" s="9"/>
      <c r="JM19" s="9"/>
      <c r="JN19" s="9"/>
      <c r="JO19" s="9"/>
      <c r="JP19" s="9"/>
      <c r="JQ19" s="9"/>
      <c r="JR19" s="9"/>
      <c r="JS19" s="9"/>
      <c r="JT19" s="9"/>
      <c r="JU19" s="9"/>
      <c r="JV19" s="9"/>
      <c r="JW19" s="9"/>
      <c r="JX19" s="9"/>
      <c r="JY19" s="9"/>
      <c r="JZ19" s="9"/>
      <c r="KA19" s="9"/>
      <c r="KB19" s="9"/>
      <c r="KC19" s="9"/>
      <c r="KD19" s="9"/>
      <c r="KE19" s="9"/>
      <c r="KF19" s="9"/>
      <c r="KG19" s="9"/>
      <c r="KH19" s="9"/>
      <c r="KI19" s="9"/>
      <c r="KJ19" s="9"/>
      <c r="KK19" s="9"/>
      <c r="KL19" s="9"/>
      <c r="KM19" s="9"/>
      <c r="KN19" s="9"/>
      <c r="KO19" s="9"/>
      <c r="KP19" s="9"/>
      <c r="KQ19" s="9"/>
      <c r="KR19" s="9"/>
      <c r="KS19" s="9"/>
      <c r="KT19" s="9"/>
      <c r="KU19" s="9"/>
      <c r="KV19" s="9"/>
      <c r="KW19" s="9"/>
      <c r="KX19" s="9"/>
      <c r="KY19" s="9"/>
      <c r="KZ19" s="9"/>
      <c r="LA19" s="9"/>
      <c r="LB19" s="9"/>
      <c r="LC19" s="9"/>
      <c r="LD19" s="9"/>
      <c r="LE19" s="9"/>
      <c r="LF19" s="9"/>
      <c r="LG19" s="9"/>
      <c r="LH19" s="9"/>
      <c r="LI19" s="9"/>
      <c r="LJ19" s="9"/>
      <c r="LK19" s="9"/>
      <c r="LL19" s="9"/>
      <c r="LM19" s="9"/>
      <c r="LN19" s="9"/>
      <c r="LO19" s="9"/>
      <c r="LP19" s="9"/>
      <c r="LQ19" s="9"/>
      <c r="LR19" s="9"/>
      <c r="LS19" s="9"/>
      <c r="LT19" s="9"/>
      <c r="LU19" s="9"/>
      <c r="LV19" s="9"/>
      <c r="LW19" s="9"/>
      <c r="LX19" s="9"/>
      <c r="LY19" s="9"/>
      <c r="LZ19" s="9"/>
      <c r="MA19" s="9"/>
      <c r="MB19" s="9"/>
      <c r="MC19" s="9"/>
      <c r="MD19" s="9"/>
      <c r="ME19" s="9"/>
      <c r="MF19" s="9"/>
      <c r="MG19" s="9"/>
      <c r="MH19" s="9"/>
      <c r="MI19" s="9"/>
      <c r="MJ19" s="9"/>
      <c r="MK19" s="9"/>
      <c r="ML19" s="9"/>
      <c r="MM19" s="9"/>
      <c r="MN19" s="9"/>
      <c r="MO19" s="9"/>
      <c r="MP19" s="9"/>
      <c r="MQ19" s="9"/>
      <c r="MR19" s="9"/>
      <c r="MS19" s="9"/>
      <c r="MT19" s="9"/>
      <c r="MU19" s="9"/>
      <c r="MV19" s="9"/>
      <c r="MW19" s="9"/>
      <c r="MX19" s="9"/>
      <c r="MY19" s="9"/>
      <c r="MZ19" s="9"/>
      <c r="NA19" s="9"/>
      <c r="NB19" s="9"/>
      <c r="NC19" s="9"/>
      <c r="ND19" s="9"/>
      <c r="NE19" s="9"/>
      <c r="NF19" s="9"/>
      <c r="NG19" s="9"/>
      <c r="NH19" s="9"/>
      <c r="NI19" s="9"/>
      <c r="NJ19" s="9"/>
      <c r="NK19" s="9"/>
      <c r="NL19" s="9"/>
      <c r="NM19" s="9"/>
      <c r="NN19" s="9"/>
      <c r="NO19" s="9"/>
      <c r="NP19" s="9"/>
      <c r="NQ19" s="9"/>
      <c r="NR19" s="9"/>
      <c r="NS19" s="9"/>
      <c r="NT19" s="9"/>
      <c r="NU19" s="9"/>
      <c r="NV19" s="9"/>
      <c r="NW19" s="9"/>
      <c r="NX19" s="9"/>
      <c r="NY19" s="9"/>
      <c r="NZ19" s="9"/>
      <c r="OA19" s="9"/>
      <c r="OB19" s="9"/>
      <c r="OC19" s="9"/>
      <c r="OD19" s="9"/>
      <c r="OE19" s="9"/>
      <c r="OF19" s="9"/>
      <c r="OG19" s="9"/>
      <c r="OH19" s="9"/>
      <c r="OI19" s="9"/>
      <c r="OJ19" s="9"/>
      <c r="OK19" s="9"/>
      <c r="OL19" s="9"/>
      <c r="OM19" s="9"/>
      <c r="ON19" s="9"/>
      <c r="OO19" s="9"/>
      <c r="OP19" s="9"/>
      <c r="OQ19" s="9"/>
      <c r="OR19" s="9"/>
      <c r="OS19" s="9"/>
      <c r="OT19" s="9"/>
      <c r="OU19" s="9"/>
      <c r="OV19" s="9"/>
      <c r="OW19" s="9"/>
      <c r="OX19" s="9"/>
      <c r="OY19" s="9"/>
      <c r="OZ19" s="9"/>
      <c r="PA19" s="9"/>
      <c r="PB19" s="9"/>
      <c r="PC19" s="9"/>
      <c r="PD19" s="9"/>
      <c r="PE19" s="9"/>
      <c r="PF19" s="9"/>
      <c r="PG19" s="9"/>
      <c r="PH19" s="9"/>
      <c r="PI19" s="9"/>
      <c r="PJ19" s="9"/>
      <c r="PK19" s="9"/>
      <c r="PL19" s="9"/>
      <c r="PM19" s="9"/>
      <c r="PN19" s="9"/>
      <c r="PO19" s="9"/>
      <c r="PP19" s="9"/>
      <c r="PQ19" s="9"/>
      <c r="PR19" s="9"/>
      <c r="PS19" s="9"/>
      <c r="PT19" s="9"/>
      <c r="PU19" s="9"/>
      <c r="PV19" s="9"/>
      <c r="PW19" s="9"/>
      <c r="PX19" s="9"/>
      <c r="PY19" s="9"/>
      <c r="PZ19" s="9"/>
      <c r="QA19" s="9"/>
      <c r="QB19" s="9"/>
      <c r="QC19" s="9"/>
      <c r="QD19" s="9"/>
      <c r="QE19" s="9"/>
      <c r="QF19" s="9"/>
      <c r="QG19" s="9"/>
      <c r="QH19" s="9"/>
      <c r="QI19" s="9"/>
      <c r="QJ19" s="9"/>
      <c r="QK19" s="9"/>
      <c r="QL19" s="9"/>
      <c r="QM19" s="9"/>
      <c r="QN19" s="9"/>
      <c r="QO19" s="9"/>
      <c r="QP19" s="9"/>
      <c r="QQ19" s="9"/>
      <c r="QR19" s="9"/>
      <c r="QS19" s="9"/>
      <c r="QT19" s="9"/>
      <c r="QU19" s="9"/>
      <c r="QV19" s="9"/>
      <c r="QW19" s="9"/>
      <c r="QX19" s="9"/>
      <c r="QY19" s="9"/>
      <c r="QZ19" s="9"/>
      <c r="RA19" s="9"/>
      <c r="RB19" s="9"/>
      <c r="RC19" s="9"/>
      <c r="RD19" s="9"/>
      <c r="RE19" s="9"/>
      <c r="RF19" s="9"/>
      <c r="RG19" s="9"/>
      <c r="RH19" s="9"/>
      <c r="RI19" s="9"/>
      <c r="RJ19" s="9"/>
      <c r="RK19" s="9"/>
      <c r="RL19" s="9"/>
      <c r="RM19" s="9"/>
      <c r="RN19" s="9"/>
      <c r="RO19" s="9"/>
      <c r="RP19" s="9"/>
      <c r="RQ19" s="9"/>
      <c r="RR19" s="9"/>
      <c r="RS19" s="9"/>
      <c r="RT19" s="9"/>
      <c r="RU19" s="9"/>
      <c r="RV19" s="9"/>
      <c r="RW19" s="9"/>
      <c r="RX19" s="9"/>
      <c r="RY19" s="9"/>
      <c r="RZ19" s="9"/>
      <c r="SA19" s="9"/>
      <c r="SB19" s="9"/>
      <c r="SC19" s="9"/>
      <c r="SD19" s="9"/>
      <c r="SE19" s="9"/>
      <c r="SF19" s="9"/>
      <c r="SG19" s="9"/>
      <c r="SH19" s="9"/>
      <c r="SI19" s="9"/>
      <c r="SJ19" s="9"/>
      <c r="SK19" s="9"/>
      <c r="SL19" s="9"/>
      <c r="SM19" s="9"/>
      <c r="SN19" s="9"/>
      <c r="SO19" s="9"/>
      <c r="SP19" s="9"/>
      <c r="SQ19" s="9"/>
      <c r="SR19" s="9"/>
      <c r="SS19" s="9"/>
      <c r="ST19" s="9"/>
      <c r="SU19" s="9"/>
      <c r="SV19" s="9"/>
      <c r="SW19" s="9"/>
      <c r="SX19" s="9"/>
      <c r="SY19" s="9"/>
      <c r="SZ19" s="9"/>
      <c r="TA19" s="9"/>
      <c r="TB19" s="9"/>
      <c r="TC19" s="9"/>
      <c r="TD19" s="9"/>
      <c r="TE19" s="9"/>
      <c r="TF19" s="9"/>
      <c r="TG19" s="9"/>
      <c r="TH19" s="9"/>
      <c r="TI19" s="9"/>
      <c r="TJ19" s="9"/>
      <c r="TK19" s="9"/>
      <c r="TL19" s="9"/>
      <c r="TM19" s="9"/>
      <c r="TN19" s="9"/>
      <c r="TO19" s="9"/>
      <c r="TP19" s="9"/>
      <c r="TQ19" s="9"/>
      <c r="TR19" s="9"/>
      <c r="TS19" s="9"/>
      <c r="TT19" s="9"/>
      <c r="TU19" s="9"/>
      <c r="TV19" s="9"/>
      <c r="TW19" s="9"/>
      <c r="TX19" s="9"/>
      <c r="TY19" s="9"/>
      <c r="TZ19" s="9"/>
      <c r="UA19" s="9"/>
      <c r="UB19" s="9"/>
      <c r="UC19" s="9"/>
      <c r="UD19" s="9"/>
      <c r="UE19" s="9"/>
      <c r="UF19" s="9"/>
      <c r="UG19" s="9"/>
      <c r="UH19" s="9"/>
      <c r="UI19" s="9"/>
      <c r="UJ19" s="9"/>
      <c r="UK19" s="9"/>
      <c r="UL19" s="9"/>
      <c r="UM19" s="9"/>
      <c r="UN19" s="9"/>
      <c r="UO19" s="9"/>
      <c r="UP19" s="9"/>
      <c r="UQ19" s="9"/>
      <c r="UR19" s="9"/>
      <c r="US19" s="9"/>
      <c r="UT19" s="9"/>
      <c r="UU19" s="9"/>
      <c r="UV19" s="9"/>
      <c r="UW19" s="9"/>
      <c r="UX19" s="9"/>
      <c r="UY19" s="9"/>
      <c r="UZ19" s="9"/>
      <c r="VA19" s="9"/>
      <c r="VB19" s="9"/>
      <c r="VC19" s="9"/>
      <c r="VD19" s="9"/>
      <c r="VE19" s="9"/>
      <c r="VF19" s="9"/>
      <c r="VG19" s="9"/>
      <c r="VH19" s="9"/>
      <c r="VI19" s="9"/>
      <c r="VJ19" s="9"/>
      <c r="VK19" s="9"/>
      <c r="VL19" s="9"/>
      <c r="VM19" s="9"/>
      <c r="VN19" s="9"/>
      <c r="VO19" s="9"/>
      <c r="VP19" s="9"/>
      <c r="VQ19" s="9"/>
      <c r="VR19" s="9"/>
      <c r="VS19" s="9"/>
      <c r="VT19" s="9"/>
      <c r="VU19" s="9"/>
      <c r="VV19" s="9"/>
      <c r="VW19" s="9"/>
      <c r="VX19" s="9"/>
      <c r="VY19" s="9"/>
      <c r="VZ19" s="9"/>
      <c r="WA19" s="9"/>
      <c r="WB19" s="9"/>
      <c r="WC19" s="9"/>
      <c r="WD19" s="9"/>
      <c r="WE19" s="9"/>
      <c r="WF19" s="9"/>
      <c r="WG19" s="9"/>
      <c r="WH19" s="9"/>
      <c r="WI19" s="9"/>
      <c r="WJ19" s="9"/>
      <c r="WK19" s="9"/>
      <c r="WL19" s="9"/>
      <c r="WM19" s="9"/>
      <c r="WN19" s="9"/>
      <c r="WO19" s="9"/>
      <c r="WP19" s="9"/>
      <c r="WQ19" s="9"/>
      <c r="WR19" s="9"/>
      <c r="WS19" s="9"/>
      <c r="WT19" s="9"/>
      <c r="WU19" s="9"/>
      <c r="WV19" s="9"/>
      <c r="WW19" s="9"/>
      <c r="WX19" s="9"/>
      <c r="WY19" s="9"/>
      <c r="WZ19" s="9"/>
      <c r="XA19" s="9"/>
      <c r="XB19" s="9"/>
      <c r="XC19" s="9"/>
      <c r="XD19" s="9"/>
      <c r="XE19" s="9"/>
      <c r="XF19" s="9"/>
      <c r="XG19" s="9"/>
      <c r="XH19" s="9"/>
      <c r="XI19" s="9"/>
      <c r="XJ19" s="9"/>
      <c r="XK19" s="9"/>
      <c r="XL19" s="9"/>
      <c r="XM19" s="9"/>
      <c r="XN19" s="9"/>
      <c r="XO19" s="9"/>
      <c r="XP19" s="9"/>
      <c r="XQ19" s="9"/>
      <c r="XR19" s="9"/>
      <c r="XS19" s="9"/>
      <c r="XT19" s="9"/>
      <c r="XU19" s="9"/>
      <c r="XV19" s="9"/>
      <c r="XW19" s="9"/>
      <c r="XX19" s="9"/>
      <c r="XY19" s="9"/>
      <c r="XZ19" s="9"/>
      <c r="YA19" s="9"/>
      <c r="YB19" s="9"/>
      <c r="YC19" s="9"/>
      <c r="YD19" s="9"/>
      <c r="YE19" s="9"/>
      <c r="YF19" s="9"/>
      <c r="YG19" s="9"/>
      <c r="YH19" s="9"/>
      <c r="YI19" s="9"/>
      <c r="YJ19" s="9"/>
      <c r="YK19" s="9"/>
      <c r="YL19" s="9"/>
      <c r="YM19" s="9"/>
      <c r="YN19" s="9"/>
      <c r="YO19" s="9"/>
      <c r="YP19" s="9"/>
      <c r="YQ19" s="9"/>
      <c r="YR19" s="9"/>
      <c r="YS19" s="9"/>
      <c r="YT19" s="9"/>
      <c r="YU19" s="9"/>
      <c r="YV19" s="9"/>
      <c r="YW19" s="9"/>
      <c r="YX19" s="9"/>
      <c r="YY19" s="9"/>
      <c r="YZ19" s="9"/>
      <c r="ZA19" s="9"/>
      <c r="ZB19" s="9"/>
      <c r="ZC19" s="9"/>
      <c r="ZD19" s="9"/>
      <c r="ZE19" s="9"/>
      <c r="ZF19" s="9"/>
      <c r="ZG19" s="9"/>
      <c r="ZH19" s="9"/>
      <c r="ZI19" s="9"/>
      <c r="ZJ19" s="9"/>
      <c r="ZK19" s="9"/>
      <c r="ZL19" s="9"/>
      <c r="ZM19" s="9"/>
      <c r="ZN19" s="9"/>
      <c r="ZO19" s="9"/>
      <c r="ZP19" s="9"/>
      <c r="ZQ19" s="9"/>
      <c r="ZR19" s="9"/>
      <c r="ZS19" s="9"/>
      <c r="ZT19" s="9"/>
      <c r="ZU19" s="9"/>
      <c r="ZV19" s="9"/>
      <c r="ZW19" s="9"/>
      <c r="ZX19" s="9"/>
      <c r="ZY19" s="9"/>
      <c r="ZZ19" s="9"/>
      <c r="AAA19" s="9"/>
      <c r="AAB19" s="9"/>
      <c r="AAC19" s="9"/>
      <c r="AAD19" s="9"/>
      <c r="AAE19" s="9"/>
      <c r="AAF19" s="9"/>
      <c r="AAG19" s="9"/>
      <c r="AAH19" s="9"/>
      <c r="AAI19" s="9"/>
      <c r="AAJ19" s="9"/>
      <c r="AAK19" s="9"/>
      <c r="AAL19" s="9"/>
      <c r="AAM19" s="9"/>
      <c r="AAN19" s="9"/>
      <c r="AAO19" s="9"/>
      <c r="AAP19" s="9"/>
      <c r="AAQ19" s="9"/>
      <c r="AAR19" s="9"/>
      <c r="AAS19" s="9"/>
      <c r="AAT19" s="9"/>
      <c r="AAU19" s="9"/>
      <c r="AAV19" s="9"/>
      <c r="AAW19" s="9"/>
      <c r="AAX19" s="9"/>
      <c r="AAY19" s="9"/>
      <c r="AAZ19" s="9"/>
      <c r="ABA19" s="9"/>
      <c r="ABB19" s="9"/>
      <c r="ABC19" s="9"/>
      <c r="ABD19" s="9"/>
      <c r="ABE19" s="9"/>
      <c r="ABF19" s="9"/>
      <c r="ABG19" s="9"/>
      <c r="ABH19" s="9"/>
      <c r="ABI19" s="9"/>
      <c r="ABJ19" s="9"/>
      <c r="ABK19" s="9"/>
      <c r="ABL19" s="9"/>
      <c r="ABM19" s="9"/>
      <c r="ABN19" s="9"/>
      <c r="ABO19" s="9"/>
      <c r="ABP19" s="9"/>
      <c r="ABQ19" s="9"/>
      <c r="ABR19" s="9"/>
      <c r="ABS19" s="9"/>
      <c r="ABT19" s="9"/>
      <c r="ABU19" s="9"/>
      <c r="ABV19" s="9"/>
      <c r="ABW19" s="9"/>
      <c r="ABX19" s="9"/>
      <c r="ABY19" s="9"/>
      <c r="ABZ19" s="9"/>
      <c r="ACA19" s="9"/>
      <c r="ACB19" s="9"/>
      <c r="ACC19" s="9"/>
      <c r="ACD19" s="9"/>
      <c r="ACE19" s="9"/>
      <c r="ACF19" s="9"/>
      <c r="ACG19" s="9"/>
      <c r="ACH19" s="9"/>
      <c r="ACI19" s="9"/>
      <c r="ACJ19" s="9"/>
      <c r="ACK19" s="9"/>
      <c r="ACL19" s="9"/>
      <c r="ACM19" s="9"/>
      <c r="ACN19" s="9"/>
      <c r="ACO19" s="9"/>
      <c r="ACP19" s="9"/>
      <c r="ACQ19" s="9"/>
      <c r="ACR19" s="9"/>
      <c r="ACS19" s="9"/>
      <c r="ACT19" s="9"/>
      <c r="ACU19" s="9"/>
      <c r="ACV19" s="9"/>
      <c r="ACW19" s="9"/>
      <c r="ACX19" s="9"/>
      <c r="ACY19" s="9"/>
      <c r="ACZ19" s="9"/>
      <c r="ADA19" s="9"/>
      <c r="ADB19" s="9"/>
      <c r="ADC19" s="9"/>
      <c r="ADD19" s="9"/>
      <c r="ADE19" s="9"/>
      <c r="ADF19" s="9"/>
      <c r="ADG19" s="9"/>
      <c r="ADH19" s="9"/>
      <c r="ADI19" s="9"/>
      <c r="ADJ19" s="9"/>
      <c r="ADK19" s="9"/>
      <c r="ADL19" s="9"/>
      <c r="ADM19" s="9"/>
      <c r="ADN19" s="9"/>
      <c r="ADO19" s="9"/>
      <c r="ADP19" s="9"/>
      <c r="ADQ19" s="9"/>
      <c r="ADR19" s="9"/>
      <c r="ADS19" s="9"/>
      <c r="ADT19" s="9"/>
      <c r="ADU19" s="9"/>
      <c r="ADV19" s="9"/>
      <c r="ADW19" s="9"/>
      <c r="ADX19" s="9"/>
      <c r="ADY19" s="9"/>
      <c r="ADZ19" s="9"/>
      <c r="AEA19" s="9"/>
      <c r="AEB19" s="9"/>
      <c r="AEC19" s="9"/>
      <c r="AED19" s="9"/>
      <c r="AEE19" s="9"/>
      <c r="AEF19" s="9"/>
      <c r="AEG19" s="9"/>
      <c r="AEH19" s="9"/>
      <c r="AEI19" s="9"/>
      <c r="AEJ19" s="9"/>
      <c r="AEK19" s="9"/>
      <c r="AEL19" s="9"/>
      <c r="AEM19" s="9"/>
      <c r="AEN19" s="9"/>
      <c r="AEO19" s="9"/>
      <c r="AEP19" s="9"/>
      <c r="AEQ19" s="9"/>
      <c r="AER19" s="9"/>
      <c r="AES19" s="9"/>
      <c r="AET19" s="9"/>
      <c r="AEU19" s="9"/>
      <c r="AEV19" s="9"/>
      <c r="AEW19" s="9"/>
      <c r="AEX19" s="9"/>
      <c r="AEY19" s="9"/>
      <c r="AEZ19" s="9"/>
      <c r="AFA19" s="9"/>
      <c r="AFB19" s="9"/>
      <c r="AFC19" s="9"/>
      <c r="AFD19" s="9"/>
      <c r="AFE19" s="9"/>
      <c r="AFF19" s="9"/>
      <c r="AFG19" s="9"/>
      <c r="AFH19" s="9"/>
      <c r="AFI19" s="9"/>
      <c r="AFJ19" s="9"/>
      <c r="AFK19" s="9"/>
      <c r="AFL19" s="9"/>
      <c r="AFM19" s="9"/>
      <c r="AFN19" s="9"/>
      <c r="AFO19" s="9"/>
      <c r="AFP19" s="9"/>
      <c r="AFQ19" s="9"/>
      <c r="AFR19" s="9"/>
      <c r="AFS19" s="9"/>
      <c r="AFT19" s="9"/>
      <c r="AFU19" s="9"/>
      <c r="AFV19" s="9"/>
      <c r="AFW19" s="9"/>
      <c r="AFX19" s="9"/>
      <c r="AFY19" s="9"/>
      <c r="AFZ19" s="9"/>
      <c r="AGA19" s="9"/>
      <c r="AGB19" s="9"/>
      <c r="AGC19" s="9"/>
      <c r="AGD19" s="9"/>
      <c r="AGE19" s="9"/>
      <c r="AGF19" s="9"/>
      <c r="AGG19" s="9"/>
      <c r="AGH19" s="9"/>
      <c r="AGI19" s="9"/>
      <c r="AGJ19" s="9"/>
      <c r="AGK19" s="9"/>
      <c r="AGL19" s="9"/>
      <c r="AGM19" s="9"/>
      <c r="AGN19" s="9"/>
      <c r="AGO19" s="9"/>
      <c r="AGP19" s="9"/>
      <c r="AGQ19" s="9"/>
      <c r="AGR19" s="9"/>
      <c r="AGS19" s="9"/>
      <c r="AGT19" s="9"/>
      <c r="AGU19" s="9"/>
      <c r="AGV19" s="9"/>
      <c r="AGW19" s="9"/>
      <c r="AGX19" s="9"/>
      <c r="AGY19" s="9"/>
      <c r="AGZ19" s="9"/>
      <c r="AHA19" s="9"/>
      <c r="AHB19" s="9"/>
      <c r="AHC19" s="9"/>
      <c r="AHD19" s="9"/>
      <c r="AHE19" s="9"/>
      <c r="AHF19" s="9"/>
      <c r="AHG19" s="9"/>
      <c r="AHH19" s="9"/>
      <c r="AHI19" s="9"/>
      <c r="AHJ19" s="9"/>
      <c r="AHK19" s="9"/>
      <c r="AHL19" s="9"/>
      <c r="AHM19" s="9"/>
      <c r="AHN19" s="9"/>
      <c r="AHO19" s="9"/>
      <c r="AHP19" s="9"/>
      <c r="AHQ19" s="9"/>
      <c r="AHR19" s="9"/>
      <c r="AHS19" s="9"/>
      <c r="AHT19" s="9"/>
      <c r="AHU19" s="9"/>
      <c r="AHV19" s="9"/>
      <c r="AHW19" s="9"/>
      <c r="AHX19" s="9"/>
      <c r="AHY19" s="9"/>
      <c r="AHZ19" s="9"/>
      <c r="AIA19" s="9"/>
      <c r="AIB19" s="9"/>
      <c r="AIC19" s="9"/>
      <c r="AID19" s="9"/>
      <c r="AIE19" s="9"/>
      <c r="AIF19" s="9"/>
      <c r="AIG19" s="9"/>
      <c r="AIH19" s="9"/>
      <c r="AII19" s="9"/>
      <c r="AIJ19" s="9"/>
      <c r="AIK19" s="9"/>
      <c r="AIL19" s="9"/>
      <c r="AIM19" s="9"/>
      <c r="AIN19" s="9"/>
      <c r="AIO19" s="9"/>
      <c r="AIP19" s="9"/>
      <c r="AIQ19" s="9"/>
      <c r="AIR19" s="9"/>
      <c r="AIS19" s="9"/>
      <c r="AIT19" s="9"/>
      <c r="AIU19" s="9"/>
      <c r="AIV19" s="9"/>
      <c r="AIW19" s="9"/>
      <c r="AIX19" s="9"/>
      <c r="AIY19" s="9"/>
      <c r="AIZ19" s="9"/>
      <c r="AJA19" s="9"/>
      <c r="AJB19" s="9"/>
      <c r="AJC19" s="9"/>
      <c r="AJD19" s="9"/>
      <c r="AJE19" s="9"/>
      <c r="AJF19" s="9"/>
      <c r="AJG19" s="9"/>
      <c r="AJH19" s="9"/>
      <c r="AJI19" s="9"/>
      <c r="AJJ19" s="9"/>
      <c r="AJK19" s="9"/>
      <c r="AJL19" s="9"/>
      <c r="AJM19" s="9"/>
      <c r="AJN19" s="9"/>
      <c r="AJO19" s="9"/>
      <c r="AJP19" s="9"/>
      <c r="AJQ19" s="9"/>
      <c r="AJR19" s="9"/>
      <c r="AJS19" s="9"/>
      <c r="AJT19" s="9"/>
      <c r="AJU19" s="9"/>
      <c r="AJV19" s="9"/>
      <c r="AJW19" s="9"/>
      <c r="AJX19" s="9"/>
      <c r="AJY19" s="9"/>
      <c r="AJZ19" s="9"/>
      <c r="AKA19" s="9"/>
      <c r="AKB19" s="9"/>
      <c r="AKC19" s="9"/>
      <c r="AKD19" s="9"/>
      <c r="AKE19" s="9"/>
      <c r="AKF19" s="9"/>
      <c r="AKG19" s="9"/>
      <c r="AKH19" s="9"/>
      <c r="AKI19" s="9"/>
      <c r="AKJ19" s="9"/>
      <c r="AKK19" s="9"/>
      <c r="AKL19" s="9"/>
      <c r="AKM19" s="9"/>
      <c r="AKN19" s="9"/>
      <c r="AKO19" s="9"/>
      <c r="AKP19" s="9"/>
      <c r="AKQ19" s="9"/>
      <c r="AKR19" s="9"/>
      <c r="AKS19" s="9"/>
      <c r="AKT19" s="9"/>
      <c r="AKU19" s="9"/>
      <c r="AKV19" s="9"/>
      <c r="AKW19" s="9"/>
      <c r="AKX19" s="9"/>
      <c r="AKY19" s="9"/>
      <c r="AKZ19" s="9"/>
      <c r="ALA19" s="9"/>
      <c r="ALB19" s="9"/>
      <c r="ALC19" s="9"/>
      <c r="ALD19" s="9"/>
      <c r="ALE19" s="9"/>
      <c r="ALF19" s="9"/>
      <c r="ALG19" s="9"/>
      <c r="ALH19" s="9"/>
      <c r="ALI19" s="9"/>
      <c r="ALJ19" s="9"/>
      <c r="ALK19" s="9"/>
      <c r="ALL19" s="9"/>
      <c r="ALM19" s="9"/>
      <c r="ALN19" s="9"/>
      <c r="ALO19" s="9"/>
      <c r="ALP19" s="9"/>
      <c r="ALQ19" s="9"/>
      <c r="ALR19" s="9"/>
      <c r="ALS19" s="9"/>
      <c r="ALT19" s="9"/>
      <c r="ALU19" s="9"/>
      <c r="ALV19" s="9"/>
      <c r="ALW19" s="9"/>
      <c r="ALX19" s="9"/>
      <c r="ALY19" s="9"/>
      <c r="ALZ19" s="9"/>
      <c r="AMA19" s="9"/>
      <c r="AMB19" s="9"/>
      <c r="AMC19" s="9"/>
      <c r="AMD19" s="9"/>
      <c r="AME19" s="9"/>
      <c r="AMF19" s="9"/>
      <c r="AMG19" s="9"/>
      <c r="AMH19" s="9"/>
      <c r="AMI19" s="9"/>
      <c r="AMJ19" s="9"/>
      <c r="AMK19" s="9"/>
      <c r="AML19" s="9"/>
      <c r="AMM19" s="9"/>
      <c r="AMN19" s="9"/>
      <c r="AMO19" s="9"/>
      <c r="AMP19" s="9"/>
      <c r="AMQ19" s="9"/>
      <c r="AMR19" s="9"/>
      <c r="AMS19" s="9"/>
      <c r="AMT19" s="9"/>
      <c r="AMU19" s="9"/>
      <c r="AMV19" s="9"/>
      <c r="AMW19" s="9"/>
      <c r="AMX19" s="9"/>
      <c r="AMY19" s="9"/>
      <c r="AMZ19" s="9"/>
      <c r="ANA19" s="9"/>
      <c r="ANB19" s="9"/>
      <c r="ANC19" s="9"/>
      <c r="AND19" s="9"/>
      <c r="ANE19" s="9"/>
      <c r="ANF19" s="9"/>
      <c r="ANG19" s="9"/>
      <c r="ANH19" s="9"/>
      <c r="ANI19" s="9"/>
      <c r="ANJ19" s="9"/>
      <c r="ANK19" s="9"/>
      <c r="ANL19" s="9"/>
      <c r="ANM19" s="9"/>
      <c r="ANN19" s="9"/>
      <c r="ANO19" s="9"/>
      <c r="ANP19" s="9"/>
      <c r="ANQ19" s="9"/>
      <c r="ANR19" s="9"/>
      <c r="ANS19" s="9"/>
      <c r="ANT19" s="9"/>
      <c r="ANU19" s="9"/>
      <c r="ANV19" s="9"/>
      <c r="ANW19" s="9"/>
      <c r="ANX19" s="9"/>
      <c r="ANY19" s="9"/>
      <c r="ANZ19" s="9"/>
      <c r="AOA19" s="9"/>
      <c r="AOB19" s="9"/>
      <c r="AOC19" s="9"/>
      <c r="AOD19" s="9"/>
      <c r="AOE19" s="9"/>
      <c r="AOF19" s="9"/>
      <c r="AOG19" s="9"/>
      <c r="AOH19" s="9"/>
      <c r="AOI19" s="9"/>
      <c r="AOJ19" s="9"/>
      <c r="AOK19" s="9"/>
      <c r="AOL19" s="9"/>
      <c r="AOM19" s="9"/>
      <c r="AON19" s="9"/>
      <c r="AOO19" s="9"/>
      <c r="AOP19" s="9"/>
      <c r="AOQ19" s="9"/>
      <c r="AOR19" s="9"/>
      <c r="AOS19" s="9"/>
      <c r="AOT19" s="9"/>
      <c r="AOU19" s="9"/>
      <c r="AOV19" s="9"/>
      <c r="AOW19" s="9"/>
      <c r="AOX19" s="9"/>
      <c r="AOY19" s="9"/>
      <c r="AOZ19" s="9"/>
      <c r="APA19" s="9"/>
      <c r="APB19" s="9"/>
      <c r="APC19" s="9"/>
      <c r="APD19" s="9"/>
      <c r="APE19" s="9"/>
      <c r="APF19" s="9"/>
      <c r="APG19" s="9"/>
      <c r="APH19" s="9"/>
      <c r="API19" s="9"/>
      <c r="APJ19" s="9"/>
      <c r="APK19" s="9"/>
      <c r="APL19" s="9"/>
      <c r="APM19" s="9"/>
      <c r="APN19" s="9"/>
      <c r="APO19" s="9"/>
      <c r="APP19" s="9"/>
      <c r="APQ19" s="9"/>
      <c r="APR19" s="9"/>
      <c r="APS19" s="9"/>
      <c r="APT19" s="9"/>
      <c r="APU19" s="9"/>
      <c r="APV19" s="9"/>
      <c r="APW19" s="9"/>
      <c r="APX19" s="9"/>
      <c r="APY19" s="9"/>
      <c r="APZ19" s="9"/>
      <c r="AQA19" s="9"/>
      <c r="AQB19" s="9"/>
      <c r="AQC19" s="9"/>
      <c r="AQD19" s="9"/>
      <c r="AQE19" s="9"/>
      <c r="AQF19" s="9"/>
      <c r="AQG19" s="9"/>
      <c r="AQH19" s="9"/>
      <c r="AQI19" s="9"/>
      <c r="AQJ19" s="9"/>
      <c r="AQK19" s="9"/>
      <c r="AQL19" s="9"/>
      <c r="AQM19" s="9"/>
      <c r="AQN19" s="9"/>
      <c r="AQO19" s="9"/>
      <c r="AQP19" s="9"/>
      <c r="AQQ19" s="9"/>
      <c r="AQR19" s="9"/>
      <c r="AQS19" s="9"/>
      <c r="AQT19" s="9"/>
    </row>
    <row r="20" spans="1:1138" s="4" customFormat="1" x14ac:dyDescent="0.3">
      <c r="A20" s="87" t="s">
        <v>72</v>
      </c>
      <c r="B20" s="88"/>
      <c r="C20" s="89"/>
      <c r="D20" s="8"/>
      <c r="E20" s="98"/>
      <c r="F20" s="99"/>
      <c r="G20" s="100"/>
      <c r="H20" s="8"/>
      <c r="I20" s="93"/>
      <c r="J20" s="94"/>
      <c r="K20" s="95"/>
      <c r="L20" s="8"/>
      <c r="M20" s="98"/>
      <c r="N20" s="99"/>
      <c r="O20" s="100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9"/>
      <c r="KZ20" s="9"/>
      <c r="LA20" s="9"/>
      <c r="LB20" s="9"/>
      <c r="LC20" s="9"/>
      <c r="LD20" s="9"/>
      <c r="LE20" s="9"/>
      <c r="LF20" s="9"/>
      <c r="LG20" s="9"/>
      <c r="LH20" s="9"/>
      <c r="LI20" s="9"/>
      <c r="LJ20" s="9"/>
      <c r="LK20" s="9"/>
      <c r="LL20" s="9"/>
      <c r="LM20" s="9"/>
      <c r="LN20" s="9"/>
      <c r="LO20" s="9"/>
      <c r="LP20" s="9"/>
      <c r="LQ20" s="9"/>
      <c r="LR20" s="9"/>
      <c r="LS20" s="9"/>
      <c r="LT20" s="9"/>
      <c r="LU20" s="9"/>
      <c r="LV20" s="9"/>
      <c r="LW20" s="9"/>
      <c r="LX20" s="9"/>
      <c r="LY20" s="9"/>
      <c r="LZ20" s="9"/>
      <c r="MA20" s="9"/>
      <c r="MB20" s="9"/>
      <c r="MC20" s="9"/>
      <c r="MD20" s="9"/>
      <c r="ME20" s="9"/>
      <c r="MF20" s="9"/>
      <c r="MG20" s="9"/>
      <c r="MH20" s="9"/>
      <c r="MI20" s="9"/>
      <c r="MJ20" s="9"/>
      <c r="MK20" s="9"/>
      <c r="ML20" s="9"/>
      <c r="MM20" s="9"/>
      <c r="MN20" s="9"/>
      <c r="MO20" s="9"/>
      <c r="MP20" s="9"/>
      <c r="MQ20" s="9"/>
      <c r="MR20" s="9"/>
      <c r="MS20" s="9"/>
      <c r="MT20" s="9"/>
      <c r="MU20" s="9"/>
      <c r="MV20" s="9"/>
      <c r="MW20" s="9"/>
      <c r="MX20" s="9"/>
      <c r="MY20" s="9"/>
      <c r="MZ20" s="9"/>
      <c r="NA20" s="9"/>
      <c r="NB20" s="9"/>
      <c r="NC20" s="9"/>
      <c r="ND20" s="9"/>
      <c r="NE20" s="9"/>
      <c r="NF20" s="9"/>
      <c r="NG20" s="9"/>
      <c r="NH20" s="9"/>
      <c r="NI20" s="9"/>
      <c r="NJ20" s="9"/>
      <c r="NK20" s="9"/>
      <c r="NL20" s="9"/>
      <c r="NM20" s="9"/>
      <c r="NN20" s="9"/>
      <c r="NO20" s="9"/>
      <c r="NP20" s="9"/>
      <c r="NQ20" s="9"/>
      <c r="NR20" s="9"/>
      <c r="NS20" s="9"/>
      <c r="NT20" s="9"/>
      <c r="NU20" s="9"/>
      <c r="NV20" s="9"/>
      <c r="NW20" s="9"/>
      <c r="NX20" s="9"/>
      <c r="NY20" s="9"/>
      <c r="NZ20" s="9"/>
      <c r="OA20" s="9"/>
      <c r="OB20" s="9"/>
      <c r="OC20" s="9"/>
      <c r="OD20" s="9"/>
      <c r="OE20" s="9"/>
      <c r="OF20" s="9"/>
      <c r="OG20" s="9"/>
      <c r="OH20" s="9"/>
      <c r="OI20" s="9"/>
      <c r="OJ20" s="9"/>
      <c r="OK20" s="9"/>
      <c r="OL20" s="9"/>
      <c r="OM20" s="9"/>
      <c r="ON20" s="9"/>
      <c r="OO20" s="9"/>
      <c r="OP20" s="9"/>
      <c r="OQ20" s="9"/>
      <c r="OR20" s="9"/>
      <c r="OS20" s="9"/>
      <c r="OT20" s="9"/>
      <c r="OU20" s="9"/>
      <c r="OV20" s="9"/>
      <c r="OW20" s="9"/>
      <c r="OX20" s="9"/>
      <c r="OY20" s="9"/>
      <c r="OZ20" s="9"/>
      <c r="PA20" s="9"/>
      <c r="PB20" s="9"/>
      <c r="PC20" s="9"/>
      <c r="PD20" s="9"/>
      <c r="PE20" s="9"/>
      <c r="PF20" s="9"/>
      <c r="PG20" s="9"/>
      <c r="PH20" s="9"/>
      <c r="PI20" s="9"/>
      <c r="PJ20" s="9"/>
      <c r="PK20" s="9"/>
      <c r="PL20" s="9"/>
      <c r="PM20" s="9"/>
      <c r="PN20" s="9"/>
      <c r="PO20" s="9"/>
      <c r="PP20" s="9"/>
      <c r="PQ20" s="9"/>
      <c r="PR20" s="9"/>
      <c r="PS20" s="9"/>
      <c r="PT20" s="9"/>
      <c r="PU20" s="9"/>
      <c r="PV20" s="9"/>
      <c r="PW20" s="9"/>
      <c r="PX20" s="9"/>
      <c r="PY20" s="9"/>
      <c r="PZ20" s="9"/>
      <c r="QA20" s="9"/>
      <c r="QB20" s="9"/>
      <c r="QC20" s="9"/>
      <c r="QD20" s="9"/>
      <c r="QE20" s="9"/>
      <c r="QF20" s="9"/>
      <c r="QG20" s="9"/>
      <c r="QH20" s="9"/>
      <c r="QI20" s="9"/>
      <c r="QJ20" s="9"/>
      <c r="QK20" s="9"/>
      <c r="QL20" s="9"/>
      <c r="QM20" s="9"/>
      <c r="QN20" s="9"/>
      <c r="QO20" s="9"/>
      <c r="QP20" s="9"/>
      <c r="QQ20" s="9"/>
      <c r="QR20" s="9"/>
      <c r="QS20" s="9"/>
      <c r="QT20" s="9"/>
      <c r="QU20" s="9"/>
      <c r="QV20" s="9"/>
      <c r="QW20" s="9"/>
      <c r="QX20" s="9"/>
      <c r="QY20" s="9"/>
      <c r="QZ20" s="9"/>
      <c r="RA20" s="9"/>
      <c r="RB20" s="9"/>
      <c r="RC20" s="9"/>
      <c r="RD20" s="9"/>
      <c r="RE20" s="9"/>
      <c r="RF20" s="9"/>
      <c r="RG20" s="9"/>
      <c r="RH20" s="9"/>
      <c r="RI20" s="9"/>
      <c r="RJ20" s="9"/>
      <c r="RK20" s="9"/>
      <c r="RL20" s="9"/>
      <c r="RM20" s="9"/>
      <c r="RN20" s="9"/>
      <c r="RO20" s="9"/>
      <c r="RP20" s="9"/>
      <c r="RQ20" s="9"/>
      <c r="RR20" s="9"/>
      <c r="RS20" s="9"/>
      <c r="RT20" s="9"/>
      <c r="RU20" s="9"/>
      <c r="RV20" s="9"/>
      <c r="RW20" s="9"/>
      <c r="RX20" s="9"/>
      <c r="RY20" s="9"/>
      <c r="RZ20" s="9"/>
      <c r="SA20" s="9"/>
      <c r="SB20" s="9"/>
      <c r="SC20" s="9"/>
      <c r="SD20" s="9"/>
      <c r="SE20" s="9"/>
      <c r="SF20" s="9"/>
      <c r="SG20" s="9"/>
      <c r="SH20" s="9"/>
      <c r="SI20" s="9"/>
      <c r="SJ20" s="9"/>
      <c r="SK20" s="9"/>
      <c r="SL20" s="9"/>
      <c r="SM20" s="9"/>
      <c r="SN20" s="9"/>
      <c r="SO20" s="9"/>
      <c r="SP20" s="9"/>
      <c r="SQ20" s="9"/>
      <c r="SR20" s="9"/>
      <c r="SS20" s="9"/>
      <c r="ST20" s="9"/>
      <c r="SU20" s="9"/>
      <c r="SV20" s="9"/>
      <c r="SW20" s="9"/>
      <c r="SX20" s="9"/>
      <c r="SY20" s="9"/>
      <c r="SZ20" s="9"/>
      <c r="TA20" s="9"/>
      <c r="TB20" s="9"/>
      <c r="TC20" s="9"/>
      <c r="TD20" s="9"/>
      <c r="TE20" s="9"/>
      <c r="TF20" s="9"/>
      <c r="TG20" s="9"/>
      <c r="TH20" s="9"/>
      <c r="TI20" s="9"/>
      <c r="TJ20" s="9"/>
      <c r="TK20" s="9"/>
      <c r="TL20" s="9"/>
      <c r="TM20" s="9"/>
      <c r="TN20" s="9"/>
      <c r="TO20" s="9"/>
      <c r="TP20" s="9"/>
      <c r="TQ20" s="9"/>
      <c r="TR20" s="9"/>
      <c r="TS20" s="9"/>
      <c r="TT20" s="9"/>
      <c r="TU20" s="9"/>
      <c r="TV20" s="9"/>
      <c r="TW20" s="9"/>
      <c r="TX20" s="9"/>
      <c r="TY20" s="9"/>
      <c r="TZ20" s="9"/>
      <c r="UA20" s="9"/>
      <c r="UB20" s="9"/>
      <c r="UC20" s="9"/>
      <c r="UD20" s="9"/>
      <c r="UE20" s="9"/>
      <c r="UF20" s="9"/>
      <c r="UG20" s="9"/>
      <c r="UH20" s="9"/>
      <c r="UI20" s="9"/>
      <c r="UJ20" s="9"/>
      <c r="UK20" s="9"/>
      <c r="UL20" s="9"/>
      <c r="UM20" s="9"/>
      <c r="UN20" s="9"/>
      <c r="UO20" s="9"/>
      <c r="UP20" s="9"/>
      <c r="UQ20" s="9"/>
      <c r="UR20" s="9"/>
      <c r="US20" s="9"/>
      <c r="UT20" s="9"/>
      <c r="UU20" s="9"/>
      <c r="UV20" s="9"/>
      <c r="UW20" s="9"/>
      <c r="UX20" s="9"/>
      <c r="UY20" s="9"/>
      <c r="UZ20" s="9"/>
      <c r="VA20" s="9"/>
      <c r="VB20" s="9"/>
      <c r="VC20" s="9"/>
      <c r="VD20" s="9"/>
      <c r="VE20" s="9"/>
      <c r="VF20" s="9"/>
      <c r="VG20" s="9"/>
      <c r="VH20" s="9"/>
      <c r="VI20" s="9"/>
      <c r="VJ20" s="9"/>
      <c r="VK20" s="9"/>
      <c r="VL20" s="9"/>
      <c r="VM20" s="9"/>
      <c r="VN20" s="9"/>
      <c r="VO20" s="9"/>
      <c r="VP20" s="9"/>
      <c r="VQ20" s="9"/>
      <c r="VR20" s="9"/>
      <c r="VS20" s="9"/>
      <c r="VT20" s="9"/>
      <c r="VU20" s="9"/>
      <c r="VV20" s="9"/>
      <c r="VW20" s="9"/>
      <c r="VX20" s="9"/>
      <c r="VY20" s="9"/>
      <c r="VZ20" s="9"/>
      <c r="WA20" s="9"/>
      <c r="WB20" s="9"/>
      <c r="WC20" s="9"/>
      <c r="WD20" s="9"/>
      <c r="WE20" s="9"/>
      <c r="WF20" s="9"/>
      <c r="WG20" s="9"/>
      <c r="WH20" s="9"/>
      <c r="WI20" s="9"/>
      <c r="WJ20" s="9"/>
      <c r="WK20" s="9"/>
      <c r="WL20" s="9"/>
      <c r="WM20" s="9"/>
      <c r="WN20" s="9"/>
      <c r="WO20" s="9"/>
      <c r="WP20" s="9"/>
      <c r="WQ20" s="9"/>
      <c r="WR20" s="9"/>
      <c r="WS20" s="9"/>
      <c r="WT20" s="9"/>
      <c r="WU20" s="9"/>
      <c r="WV20" s="9"/>
      <c r="WW20" s="9"/>
      <c r="WX20" s="9"/>
      <c r="WY20" s="9"/>
      <c r="WZ20" s="9"/>
      <c r="XA20" s="9"/>
      <c r="XB20" s="9"/>
      <c r="XC20" s="9"/>
      <c r="XD20" s="9"/>
      <c r="XE20" s="9"/>
      <c r="XF20" s="9"/>
      <c r="XG20" s="9"/>
      <c r="XH20" s="9"/>
      <c r="XI20" s="9"/>
      <c r="XJ20" s="9"/>
      <c r="XK20" s="9"/>
      <c r="XL20" s="9"/>
      <c r="XM20" s="9"/>
      <c r="XN20" s="9"/>
      <c r="XO20" s="9"/>
      <c r="XP20" s="9"/>
      <c r="XQ20" s="9"/>
      <c r="XR20" s="9"/>
      <c r="XS20" s="9"/>
      <c r="XT20" s="9"/>
      <c r="XU20" s="9"/>
      <c r="XV20" s="9"/>
      <c r="XW20" s="9"/>
      <c r="XX20" s="9"/>
      <c r="XY20" s="9"/>
      <c r="XZ20" s="9"/>
      <c r="YA20" s="9"/>
      <c r="YB20" s="9"/>
      <c r="YC20" s="9"/>
      <c r="YD20" s="9"/>
      <c r="YE20" s="9"/>
      <c r="YF20" s="9"/>
      <c r="YG20" s="9"/>
      <c r="YH20" s="9"/>
      <c r="YI20" s="9"/>
      <c r="YJ20" s="9"/>
      <c r="YK20" s="9"/>
      <c r="YL20" s="9"/>
      <c r="YM20" s="9"/>
      <c r="YN20" s="9"/>
      <c r="YO20" s="9"/>
      <c r="YP20" s="9"/>
      <c r="YQ20" s="9"/>
      <c r="YR20" s="9"/>
      <c r="YS20" s="9"/>
      <c r="YT20" s="9"/>
      <c r="YU20" s="9"/>
      <c r="YV20" s="9"/>
      <c r="YW20" s="9"/>
      <c r="YX20" s="9"/>
      <c r="YY20" s="9"/>
      <c r="YZ20" s="9"/>
      <c r="ZA20" s="9"/>
      <c r="ZB20" s="9"/>
      <c r="ZC20" s="9"/>
      <c r="ZD20" s="9"/>
      <c r="ZE20" s="9"/>
      <c r="ZF20" s="9"/>
      <c r="ZG20" s="9"/>
      <c r="ZH20" s="9"/>
      <c r="ZI20" s="9"/>
      <c r="ZJ20" s="9"/>
      <c r="ZK20" s="9"/>
      <c r="ZL20" s="9"/>
      <c r="ZM20" s="9"/>
      <c r="ZN20" s="9"/>
      <c r="ZO20" s="9"/>
      <c r="ZP20" s="9"/>
      <c r="ZQ20" s="9"/>
      <c r="ZR20" s="9"/>
      <c r="ZS20" s="9"/>
      <c r="ZT20" s="9"/>
      <c r="ZU20" s="9"/>
      <c r="ZV20" s="9"/>
      <c r="ZW20" s="9"/>
      <c r="ZX20" s="9"/>
      <c r="ZY20" s="9"/>
      <c r="ZZ20" s="9"/>
      <c r="AAA20" s="9"/>
      <c r="AAB20" s="9"/>
      <c r="AAC20" s="9"/>
      <c r="AAD20" s="9"/>
      <c r="AAE20" s="9"/>
      <c r="AAF20" s="9"/>
      <c r="AAG20" s="9"/>
      <c r="AAH20" s="9"/>
      <c r="AAI20" s="9"/>
      <c r="AAJ20" s="9"/>
      <c r="AAK20" s="9"/>
      <c r="AAL20" s="9"/>
      <c r="AAM20" s="9"/>
      <c r="AAN20" s="9"/>
      <c r="AAO20" s="9"/>
      <c r="AAP20" s="9"/>
      <c r="AAQ20" s="9"/>
      <c r="AAR20" s="9"/>
      <c r="AAS20" s="9"/>
      <c r="AAT20" s="9"/>
      <c r="AAU20" s="9"/>
      <c r="AAV20" s="9"/>
      <c r="AAW20" s="9"/>
      <c r="AAX20" s="9"/>
      <c r="AAY20" s="9"/>
      <c r="AAZ20" s="9"/>
      <c r="ABA20" s="9"/>
      <c r="ABB20" s="9"/>
      <c r="ABC20" s="9"/>
      <c r="ABD20" s="9"/>
      <c r="ABE20" s="9"/>
      <c r="ABF20" s="9"/>
      <c r="ABG20" s="9"/>
      <c r="ABH20" s="9"/>
      <c r="ABI20" s="9"/>
      <c r="ABJ20" s="9"/>
      <c r="ABK20" s="9"/>
      <c r="ABL20" s="9"/>
      <c r="ABM20" s="9"/>
      <c r="ABN20" s="9"/>
      <c r="ABO20" s="9"/>
      <c r="ABP20" s="9"/>
      <c r="ABQ20" s="9"/>
      <c r="ABR20" s="9"/>
      <c r="ABS20" s="9"/>
      <c r="ABT20" s="9"/>
      <c r="ABU20" s="9"/>
      <c r="ABV20" s="9"/>
      <c r="ABW20" s="9"/>
      <c r="ABX20" s="9"/>
      <c r="ABY20" s="9"/>
      <c r="ABZ20" s="9"/>
      <c r="ACA20" s="9"/>
      <c r="ACB20" s="9"/>
      <c r="ACC20" s="9"/>
      <c r="ACD20" s="9"/>
      <c r="ACE20" s="9"/>
      <c r="ACF20" s="9"/>
      <c r="ACG20" s="9"/>
      <c r="ACH20" s="9"/>
      <c r="ACI20" s="9"/>
      <c r="ACJ20" s="9"/>
      <c r="ACK20" s="9"/>
      <c r="ACL20" s="9"/>
      <c r="ACM20" s="9"/>
      <c r="ACN20" s="9"/>
      <c r="ACO20" s="9"/>
      <c r="ACP20" s="9"/>
      <c r="ACQ20" s="9"/>
      <c r="ACR20" s="9"/>
      <c r="ACS20" s="9"/>
      <c r="ACT20" s="9"/>
      <c r="ACU20" s="9"/>
      <c r="ACV20" s="9"/>
      <c r="ACW20" s="9"/>
      <c r="ACX20" s="9"/>
      <c r="ACY20" s="9"/>
      <c r="ACZ20" s="9"/>
      <c r="ADA20" s="9"/>
      <c r="ADB20" s="9"/>
      <c r="ADC20" s="9"/>
      <c r="ADD20" s="9"/>
      <c r="ADE20" s="9"/>
      <c r="ADF20" s="9"/>
      <c r="ADG20" s="9"/>
      <c r="ADH20" s="9"/>
      <c r="ADI20" s="9"/>
      <c r="ADJ20" s="9"/>
      <c r="ADK20" s="9"/>
      <c r="ADL20" s="9"/>
      <c r="ADM20" s="9"/>
      <c r="ADN20" s="9"/>
      <c r="ADO20" s="9"/>
      <c r="ADP20" s="9"/>
      <c r="ADQ20" s="9"/>
      <c r="ADR20" s="9"/>
      <c r="ADS20" s="9"/>
      <c r="ADT20" s="9"/>
      <c r="ADU20" s="9"/>
      <c r="ADV20" s="9"/>
      <c r="ADW20" s="9"/>
      <c r="ADX20" s="9"/>
      <c r="ADY20" s="9"/>
      <c r="ADZ20" s="9"/>
      <c r="AEA20" s="9"/>
      <c r="AEB20" s="9"/>
      <c r="AEC20" s="9"/>
      <c r="AED20" s="9"/>
      <c r="AEE20" s="9"/>
      <c r="AEF20" s="9"/>
      <c r="AEG20" s="9"/>
      <c r="AEH20" s="9"/>
      <c r="AEI20" s="9"/>
      <c r="AEJ20" s="9"/>
      <c r="AEK20" s="9"/>
      <c r="AEL20" s="9"/>
      <c r="AEM20" s="9"/>
      <c r="AEN20" s="9"/>
      <c r="AEO20" s="9"/>
      <c r="AEP20" s="9"/>
      <c r="AEQ20" s="9"/>
      <c r="AER20" s="9"/>
      <c r="AES20" s="9"/>
      <c r="AET20" s="9"/>
      <c r="AEU20" s="9"/>
      <c r="AEV20" s="9"/>
      <c r="AEW20" s="9"/>
      <c r="AEX20" s="9"/>
      <c r="AEY20" s="9"/>
      <c r="AEZ20" s="9"/>
      <c r="AFA20" s="9"/>
      <c r="AFB20" s="9"/>
      <c r="AFC20" s="9"/>
      <c r="AFD20" s="9"/>
      <c r="AFE20" s="9"/>
      <c r="AFF20" s="9"/>
      <c r="AFG20" s="9"/>
      <c r="AFH20" s="9"/>
      <c r="AFI20" s="9"/>
      <c r="AFJ20" s="9"/>
      <c r="AFK20" s="9"/>
      <c r="AFL20" s="9"/>
      <c r="AFM20" s="9"/>
      <c r="AFN20" s="9"/>
      <c r="AFO20" s="9"/>
      <c r="AFP20" s="9"/>
      <c r="AFQ20" s="9"/>
      <c r="AFR20" s="9"/>
      <c r="AFS20" s="9"/>
      <c r="AFT20" s="9"/>
      <c r="AFU20" s="9"/>
      <c r="AFV20" s="9"/>
      <c r="AFW20" s="9"/>
      <c r="AFX20" s="9"/>
      <c r="AFY20" s="9"/>
      <c r="AFZ20" s="9"/>
      <c r="AGA20" s="9"/>
      <c r="AGB20" s="9"/>
      <c r="AGC20" s="9"/>
      <c r="AGD20" s="9"/>
      <c r="AGE20" s="9"/>
      <c r="AGF20" s="9"/>
      <c r="AGG20" s="9"/>
      <c r="AGH20" s="9"/>
      <c r="AGI20" s="9"/>
      <c r="AGJ20" s="9"/>
      <c r="AGK20" s="9"/>
      <c r="AGL20" s="9"/>
      <c r="AGM20" s="9"/>
      <c r="AGN20" s="9"/>
      <c r="AGO20" s="9"/>
      <c r="AGP20" s="9"/>
      <c r="AGQ20" s="9"/>
      <c r="AGR20" s="9"/>
      <c r="AGS20" s="9"/>
      <c r="AGT20" s="9"/>
      <c r="AGU20" s="9"/>
      <c r="AGV20" s="9"/>
      <c r="AGW20" s="9"/>
      <c r="AGX20" s="9"/>
      <c r="AGY20" s="9"/>
      <c r="AGZ20" s="9"/>
      <c r="AHA20" s="9"/>
      <c r="AHB20" s="9"/>
      <c r="AHC20" s="9"/>
      <c r="AHD20" s="9"/>
      <c r="AHE20" s="9"/>
      <c r="AHF20" s="9"/>
      <c r="AHG20" s="9"/>
      <c r="AHH20" s="9"/>
      <c r="AHI20" s="9"/>
      <c r="AHJ20" s="9"/>
      <c r="AHK20" s="9"/>
      <c r="AHL20" s="9"/>
      <c r="AHM20" s="9"/>
      <c r="AHN20" s="9"/>
      <c r="AHO20" s="9"/>
      <c r="AHP20" s="9"/>
      <c r="AHQ20" s="9"/>
      <c r="AHR20" s="9"/>
      <c r="AHS20" s="9"/>
      <c r="AHT20" s="9"/>
      <c r="AHU20" s="9"/>
      <c r="AHV20" s="9"/>
      <c r="AHW20" s="9"/>
      <c r="AHX20" s="9"/>
      <c r="AHY20" s="9"/>
      <c r="AHZ20" s="9"/>
      <c r="AIA20" s="9"/>
      <c r="AIB20" s="9"/>
      <c r="AIC20" s="9"/>
      <c r="AID20" s="9"/>
      <c r="AIE20" s="9"/>
      <c r="AIF20" s="9"/>
      <c r="AIG20" s="9"/>
      <c r="AIH20" s="9"/>
      <c r="AII20" s="9"/>
      <c r="AIJ20" s="9"/>
      <c r="AIK20" s="9"/>
      <c r="AIL20" s="9"/>
      <c r="AIM20" s="9"/>
      <c r="AIN20" s="9"/>
      <c r="AIO20" s="9"/>
      <c r="AIP20" s="9"/>
      <c r="AIQ20" s="9"/>
      <c r="AIR20" s="9"/>
      <c r="AIS20" s="9"/>
      <c r="AIT20" s="9"/>
      <c r="AIU20" s="9"/>
      <c r="AIV20" s="9"/>
      <c r="AIW20" s="9"/>
      <c r="AIX20" s="9"/>
      <c r="AIY20" s="9"/>
      <c r="AIZ20" s="9"/>
      <c r="AJA20" s="9"/>
      <c r="AJB20" s="9"/>
      <c r="AJC20" s="9"/>
      <c r="AJD20" s="9"/>
      <c r="AJE20" s="9"/>
      <c r="AJF20" s="9"/>
      <c r="AJG20" s="9"/>
      <c r="AJH20" s="9"/>
      <c r="AJI20" s="9"/>
      <c r="AJJ20" s="9"/>
      <c r="AJK20" s="9"/>
      <c r="AJL20" s="9"/>
      <c r="AJM20" s="9"/>
      <c r="AJN20" s="9"/>
      <c r="AJO20" s="9"/>
      <c r="AJP20" s="9"/>
      <c r="AJQ20" s="9"/>
      <c r="AJR20" s="9"/>
      <c r="AJS20" s="9"/>
      <c r="AJT20" s="9"/>
      <c r="AJU20" s="9"/>
      <c r="AJV20" s="9"/>
      <c r="AJW20" s="9"/>
      <c r="AJX20" s="9"/>
      <c r="AJY20" s="9"/>
      <c r="AJZ20" s="9"/>
      <c r="AKA20" s="9"/>
      <c r="AKB20" s="9"/>
      <c r="AKC20" s="9"/>
      <c r="AKD20" s="9"/>
      <c r="AKE20" s="9"/>
      <c r="AKF20" s="9"/>
      <c r="AKG20" s="9"/>
      <c r="AKH20" s="9"/>
      <c r="AKI20" s="9"/>
      <c r="AKJ20" s="9"/>
      <c r="AKK20" s="9"/>
      <c r="AKL20" s="9"/>
      <c r="AKM20" s="9"/>
      <c r="AKN20" s="9"/>
      <c r="AKO20" s="9"/>
      <c r="AKP20" s="9"/>
      <c r="AKQ20" s="9"/>
      <c r="AKR20" s="9"/>
      <c r="AKS20" s="9"/>
      <c r="AKT20" s="9"/>
      <c r="AKU20" s="9"/>
      <c r="AKV20" s="9"/>
      <c r="AKW20" s="9"/>
      <c r="AKX20" s="9"/>
      <c r="AKY20" s="9"/>
      <c r="AKZ20" s="9"/>
      <c r="ALA20" s="9"/>
      <c r="ALB20" s="9"/>
      <c r="ALC20" s="9"/>
      <c r="ALD20" s="9"/>
      <c r="ALE20" s="9"/>
      <c r="ALF20" s="9"/>
      <c r="ALG20" s="9"/>
      <c r="ALH20" s="9"/>
      <c r="ALI20" s="9"/>
      <c r="ALJ20" s="9"/>
      <c r="ALK20" s="9"/>
      <c r="ALL20" s="9"/>
      <c r="ALM20" s="9"/>
      <c r="ALN20" s="9"/>
      <c r="ALO20" s="9"/>
      <c r="ALP20" s="9"/>
      <c r="ALQ20" s="9"/>
      <c r="ALR20" s="9"/>
      <c r="ALS20" s="9"/>
      <c r="ALT20" s="9"/>
      <c r="ALU20" s="9"/>
      <c r="ALV20" s="9"/>
      <c r="ALW20" s="9"/>
      <c r="ALX20" s="9"/>
      <c r="ALY20" s="9"/>
      <c r="ALZ20" s="9"/>
      <c r="AMA20" s="9"/>
      <c r="AMB20" s="9"/>
      <c r="AMC20" s="9"/>
      <c r="AMD20" s="9"/>
      <c r="AME20" s="9"/>
      <c r="AMF20" s="9"/>
      <c r="AMG20" s="9"/>
      <c r="AMH20" s="9"/>
      <c r="AMI20" s="9"/>
      <c r="AMJ20" s="9"/>
      <c r="AMK20" s="9"/>
      <c r="AML20" s="9"/>
      <c r="AMM20" s="9"/>
      <c r="AMN20" s="9"/>
      <c r="AMO20" s="9"/>
      <c r="AMP20" s="9"/>
      <c r="AMQ20" s="9"/>
      <c r="AMR20" s="9"/>
      <c r="AMS20" s="9"/>
      <c r="AMT20" s="9"/>
      <c r="AMU20" s="9"/>
      <c r="AMV20" s="9"/>
      <c r="AMW20" s="9"/>
      <c r="AMX20" s="9"/>
      <c r="AMY20" s="9"/>
      <c r="AMZ20" s="9"/>
      <c r="ANA20" s="9"/>
      <c r="ANB20" s="9"/>
      <c r="ANC20" s="9"/>
      <c r="AND20" s="9"/>
      <c r="ANE20" s="9"/>
      <c r="ANF20" s="9"/>
      <c r="ANG20" s="9"/>
      <c r="ANH20" s="9"/>
      <c r="ANI20" s="9"/>
      <c r="ANJ20" s="9"/>
      <c r="ANK20" s="9"/>
      <c r="ANL20" s="9"/>
      <c r="ANM20" s="9"/>
      <c r="ANN20" s="9"/>
      <c r="ANO20" s="9"/>
      <c r="ANP20" s="9"/>
      <c r="ANQ20" s="9"/>
      <c r="ANR20" s="9"/>
      <c r="ANS20" s="9"/>
      <c r="ANT20" s="9"/>
      <c r="ANU20" s="9"/>
      <c r="ANV20" s="9"/>
      <c r="ANW20" s="9"/>
      <c r="ANX20" s="9"/>
      <c r="ANY20" s="9"/>
      <c r="ANZ20" s="9"/>
      <c r="AOA20" s="9"/>
      <c r="AOB20" s="9"/>
      <c r="AOC20" s="9"/>
      <c r="AOD20" s="9"/>
      <c r="AOE20" s="9"/>
      <c r="AOF20" s="9"/>
      <c r="AOG20" s="9"/>
      <c r="AOH20" s="9"/>
      <c r="AOI20" s="9"/>
      <c r="AOJ20" s="9"/>
      <c r="AOK20" s="9"/>
      <c r="AOL20" s="9"/>
      <c r="AOM20" s="9"/>
      <c r="AON20" s="9"/>
      <c r="AOO20" s="9"/>
      <c r="AOP20" s="9"/>
      <c r="AOQ20" s="9"/>
      <c r="AOR20" s="9"/>
      <c r="AOS20" s="9"/>
      <c r="AOT20" s="9"/>
      <c r="AOU20" s="9"/>
      <c r="AOV20" s="9"/>
      <c r="AOW20" s="9"/>
      <c r="AOX20" s="9"/>
      <c r="AOY20" s="9"/>
      <c r="AOZ20" s="9"/>
      <c r="APA20" s="9"/>
      <c r="APB20" s="9"/>
      <c r="APC20" s="9"/>
      <c r="APD20" s="9"/>
      <c r="APE20" s="9"/>
      <c r="APF20" s="9"/>
      <c r="APG20" s="9"/>
      <c r="APH20" s="9"/>
      <c r="API20" s="9"/>
      <c r="APJ20" s="9"/>
      <c r="APK20" s="9"/>
      <c r="APL20" s="9"/>
      <c r="APM20" s="9"/>
      <c r="APN20" s="9"/>
      <c r="APO20" s="9"/>
      <c r="APP20" s="9"/>
      <c r="APQ20" s="9"/>
      <c r="APR20" s="9"/>
      <c r="APS20" s="9"/>
      <c r="APT20" s="9"/>
      <c r="APU20" s="9"/>
      <c r="APV20" s="9"/>
      <c r="APW20" s="9"/>
      <c r="APX20" s="9"/>
      <c r="APY20" s="9"/>
      <c r="APZ20" s="9"/>
      <c r="AQA20" s="9"/>
      <c r="AQB20" s="9"/>
      <c r="AQC20" s="9"/>
      <c r="AQD20" s="9"/>
      <c r="AQE20" s="9"/>
      <c r="AQF20" s="9"/>
      <c r="AQG20" s="9"/>
      <c r="AQH20" s="9"/>
      <c r="AQI20" s="9"/>
      <c r="AQJ20" s="9"/>
      <c r="AQK20" s="9"/>
      <c r="AQL20" s="9"/>
      <c r="AQM20" s="9"/>
      <c r="AQN20" s="9"/>
      <c r="AQO20" s="9"/>
      <c r="AQP20" s="9"/>
      <c r="AQQ20" s="9"/>
      <c r="AQR20" s="9"/>
      <c r="AQS20" s="9"/>
      <c r="AQT20" s="9"/>
    </row>
    <row r="21" spans="1:1138" x14ac:dyDescent="0.3">
      <c r="A21" s="98"/>
      <c r="B21" s="99"/>
      <c r="C21" s="100"/>
      <c r="D21" s="8"/>
      <c r="E21" s="27" t="s">
        <v>10</v>
      </c>
      <c r="F21" s="28" t="s">
        <v>12</v>
      </c>
      <c r="G21" s="29" t="s">
        <v>9</v>
      </c>
      <c r="H21" s="8"/>
      <c r="I21" s="5" t="s">
        <v>0</v>
      </c>
      <c r="J21" s="6" t="s">
        <v>1</v>
      </c>
      <c r="K21" s="7" t="s">
        <v>2</v>
      </c>
      <c r="M21" s="27" t="s">
        <v>51</v>
      </c>
      <c r="N21" s="28" t="s">
        <v>12</v>
      </c>
      <c r="O21" s="29" t="s">
        <v>9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</row>
    <row r="22" spans="1:1138" x14ac:dyDescent="0.3">
      <c r="A22" s="5" t="s">
        <v>10</v>
      </c>
      <c r="B22" s="82" t="s">
        <v>73</v>
      </c>
      <c r="C22" s="83"/>
      <c r="D22" s="8"/>
      <c r="E22" s="21" t="s">
        <v>63</v>
      </c>
      <c r="F22" s="25" t="s">
        <v>52</v>
      </c>
      <c r="G22" s="22"/>
      <c r="H22" s="8"/>
      <c r="I22" s="10" t="s">
        <v>106</v>
      </c>
      <c r="J22" s="11">
        <v>100</v>
      </c>
      <c r="K22" s="12">
        <v>25.03</v>
      </c>
      <c r="M22" s="21" t="s">
        <v>53</v>
      </c>
      <c r="N22" s="25" t="s">
        <v>52</v>
      </c>
      <c r="O22" s="22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</row>
    <row r="23" spans="1:1138" x14ac:dyDescent="0.3">
      <c r="A23" s="1" t="s">
        <v>78</v>
      </c>
      <c r="B23" s="80">
        <v>0</v>
      </c>
      <c r="C23" s="81"/>
      <c r="D23" s="8"/>
      <c r="E23" s="21" t="s">
        <v>61</v>
      </c>
      <c r="F23" s="25" t="s">
        <v>52</v>
      </c>
      <c r="G23" s="22"/>
      <c r="H23" s="8"/>
      <c r="I23" s="10" t="s">
        <v>106</v>
      </c>
      <c r="J23" s="11">
        <v>150</v>
      </c>
      <c r="K23" s="12">
        <v>23.01</v>
      </c>
      <c r="M23" s="21" t="s">
        <v>54</v>
      </c>
      <c r="N23" s="25" t="s">
        <v>52</v>
      </c>
      <c r="O23" s="22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</row>
    <row r="24" spans="1:1138" ht="15" thickBot="1" x14ac:dyDescent="0.35">
      <c r="A24" s="1" t="s">
        <v>75</v>
      </c>
      <c r="B24" s="79" t="s">
        <v>76</v>
      </c>
      <c r="C24" s="78"/>
      <c r="D24" s="8"/>
      <c r="E24" s="23" t="s">
        <v>62</v>
      </c>
      <c r="F24" s="26" t="s">
        <v>52</v>
      </c>
      <c r="G24" s="24"/>
      <c r="H24" s="8"/>
      <c r="I24" s="10" t="s">
        <v>106</v>
      </c>
      <c r="J24" s="11">
        <v>200</v>
      </c>
      <c r="K24" s="12">
        <v>162.19999999999999</v>
      </c>
      <c r="M24" s="21" t="s">
        <v>55</v>
      </c>
      <c r="N24" s="25" t="s">
        <v>52</v>
      </c>
      <c r="O24" s="22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</row>
    <row r="25" spans="1:1138" x14ac:dyDescent="0.3">
      <c r="A25" s="1" t="s">
        <v>74</v>
      </c>
      <c r="B25" s="79">
        <v>46281</v>
      </c>
      <c r="C25" s="78"/>
      <c r="D25" s="8"/>
      <c r="E25" s="8"/>
      <c r="F25" s="8"/>
      <c r="G25" s="8"/>
      <c r="H25" s="8"/>
      <c r="I25" s="10" t="s">
        <v>106</v>
      </c>
      <c r="J25" s="11">
        <v>250</v>
      </c>
      <c r="K25" s="12">
        <v>40.299999999999997</v>
      </c>
      <c r="M25" s="21" t="s">
        <v>56</v>
      </c>
      <c r="N25" s="25" t="s">
        <v>52</v>
      </c>
      <c r="O25" s="22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</row>
    <row r="26" spans="1:1138" ht="15" thickBot="1" x14ac:dyDescent="0.35">
      <c r="A26" s="1" t="s">
        <v>77</v>
      </c>
      <c r="B26" s="77" t="s">
        <v>41</v>
      </c>
      <c r="C26" s="78"/>
      <c r="D26" s="8"/>
      <c r="E26" s="8"/>
      <c r="F26" s="8"/>
      <c r="G26" s="8"/>
      <c r="H26" s="8"/>
      <c r="I26" s="10" t="s">
        <v>106</v>
      </c>
      <c r="J26" s="11">
        <v>300</v>
      </c>
      <c r="K26" s="12">
        <v>677.3</v>
      </c>
      <c r="M26" s="23" t="s">
        <v>57</v>
      </c>
      <c r="N26" s="26" t="s">
        <v>52</v>
      </c>
      <c r="O26" s="24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</row>
    <row r="27" spans="1:1138" x14ac:dyDescent="0.3">
      <c r="A27" s="1" t="str">
        <f>IF($B$26="sim","Versão"," ")</f>
        <v xml:space="preserve"> </v>
      </c>
      <c r="B27" s="77"/>
      <c r="C27" s="78"/>
      <c r="D27" s="8"/>
      <c r="E27" s="8"/>
      <c r="F27" s="8"/>
      <c r="G27" s="8"/>
      <c r="H27" s="8"/>
      <c r="I27" s="10" t="s">
        <v>106</v>
      </c>
      <c r="J27" s="11">
        <v>400</v>
      </c>
      <c r="K27" s="12">
        <v>205.22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</row>
    <row r="28" spans="1:1138" x14ac:dyDescent="0.3">
      <c r="A28" s="1" t="str">
        <f>IF($B$26="sim","Responsável"," ")</f>
        <v xml:space="preserve"> </v>
      </c>
      <c r="B28" s="77"/>
      <c r="C28" s="78"/>
      <c r="D28" s="8"/>
      <c r="E28" s="8"/>
      <c r="F28" s="8"/>
      <c r="G28" s="8"/>
      <c r="H28" s="8"/>
      <c r="I28" s="10" t="s">
        <v>106</v>
      </c>
      <c r="J28" s="11">
        <v>600</v>
      </c>
      <c r="K28" s="12">
        <v>188.11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</row>
    <row r="29" spans="1:1138" x14ac:dyDescent="0.3">
      <c r="A29" s="1" t="str">
        <f>IF($B$26="sim","Data de Preenchimento"," ")</f>
        <v xml:space="preserve"> </v>
      </c>
      <c r="B29" s="77"/>
      <c r="C29" s="78"/>
      <c r="D29" s="8"/>
      <c r="E29" s="8"/>
      <c r="F29" s="8"/>
      <c r="G29" s="8"/>
      <c r="H29" s="8"/>
      <c r="I29" s="10" t="s">
        <v>106</v>
      </c>
      <c r="J29" s="11">
        <v>800</v>
      </c>
      <c r="K29" s="12">
        <v>338.7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</row>
    <row r="30" spans="1:1138" x14ac:dyDescent="0.3">
      <c r="A30" s="8" t="s">
        <v>3</v>
      </c>
      <c r="B30" s="8"/>
      <c r="C30" s="30"/>
      <c r="D30" s="8"/>
      <c r="E30" s="8"/>
      <c r="F30" s="8"/>
      <c r="G30" s="8"/>
      <c r="H30" s="8"/>
      <c r="I30" s="10" t="s">
        <v>106</v>
      </c>
      <c r="J30" s="11">
        <v>1050</v>
      </c>
      <c r="K30" s="12">
        <v>233.91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</row>
    <row r="31" spans="1:1138" x14ac:dyDescent="0.3">
      <c r="A31" s="8" t="s">
        <v>4</v>
      </c>
      <c r="B31" s="8"/>
      <c r="C31" s="30"/>
      <c r="D31" s="8"/>
      <c r="E31" s="8"/>
      <c r="F31" s="8"/>
      <c r="G31" s="8"/>
      <c r="H31" s="8"/>
      <c r="I31" s="10" t="s">
        <v>106</v>
      </c>
      <c r="J31" s="11">
        <v>1200</v>
      </c>
      <c r="K31" s="12">
        <v>42.32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</row>
    <row r="32" spans="1:1138" x14ac:dyDescent="0.3">
      <c r="A32" s="8" t="s">
        <v>5</v>
      </c>
      <c r="B32" s="8"/>
      <c r="C32" s="30"/>
      <c r="D32" s="8"/>
      <c r="E32" s="8"/>
      <c r="F32" s="8"/>
      <c r="G32" s="8"/>
      <c r="H32" s="8"/>
      <c r="I32" s="10" t="s">
        <v>106</v>
      </c>
      <c r="J32" s="11">
        <v>1500</v>
      </c>
      <c r="K32" s="12">
        <v>17.59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</row>
    <row r="33" spans="1:116" x14ac:dyDescent="0.3">
      <c r="A33" s="8"/>
      <c r="B33" s="8"/>
      <c r="C33" s="30"/>
      <c r="D33" s="8"/>
      <c r="E33" s="8"/>
      <c r="F33" s="8"/>
      <c r="G33" s="8"/>
      <c r="H33" s="8"/>
      <c r="I33" s="10" t="s">
        <v>107</v>
      </c>
      <c r="J33" s="11">
        <v>150</v>
      </c>
      <c r="K33" s="12">
        <v>814.35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</row>
    <row r="34" spans="1:116" x14ac:dyDescent="0.3">
      <c r="A34" s="8"/>
      <c r="B34" s="8"/>
      <c r="C34" s="30"/>
      <c r="D34" s="8"/>
      <c r="E34" s="8"/>
      <c r="F34" s="8"/>
      <c r="G34" s="8"/>
      <c r="H34" s="8"/>
      <c r="I34" s="10" t="s">
        <v>107</v>
      </c>
      <c r="J34" s="11">
        <v>400</v>
      </c>
      <c r="K34" s="12">
        <v>363.32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</row>
    <row r="35" spans="1:116" x14ac:dyDescent="0.3">
      <c r="A35" s="8"/>
      <c r="B35" s="8"/>
      <c r="C35" s="30"/>
      <c r="D35" s="8"/>
      <c r="E35" s="8"/>
      <c r="F35" s="8"/>
      <c r="G35" s="8"/>
      <c r="H35" s="8"/>
      <c r="I35" s="10" t="s">
        <v>108</v>
      </c>
      <c r="J35" s="11">
        <v>100</v>
      </c>
      <c r="K35" s="12">
        <v>366.37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</row>
    <row r="36" spans="1:116" ht="15" thickBot="1" x14ac:dyDescent="0.35">
      <c r="A36" s="8"/>
      <c r="B36" s="8"/>
      <c r="C36" s="30"/>
      <c r="D36" s="8"/>
      <c r="E36" s="8"/>
      <c r="F36" s="8"/>
      <c r="G36" s="8"/>
      <c r="H36" s="8"/>
      <c r="I36" s="13" t="s">
        <v>108</v>
      </c>
      <c r="J36" s="14">
        <v>150</v>
      </c>
      <c r="K36" s="15">
        <v>977.68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</row>
    <row r="37" spans="1:116" x14ac:dyDescent="0.3">
      <c r="A37" s="8"/>
      <c r="B37" s="8"/>
      <c r="C37" s="30"/>
      <c r="D37" s="8"/>
      <c r="E37" s="8"/>
      <c r="F37" s="8"/>
      <c r="G37" s="8"/>
      <c r="H37" s="8"/>
      <c r="I37" s="8"/>
      <c r="J37" s="8"/>
      <c r="K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</row>
    <row r="38" spans="1:116" x14ac:dyDescent="0.3">
      <c r="A38" s="8"/>
      <c r="B38" s="8"/>
      <c r="C38" s="30"/>
      <c r="D38" s="8"/>
      <c r="E38" s="8"/>
      <c r="F38" s="8"/>
      <c r="G38" s="8"/>
      <c r="H38" s="8"/>
      <c r="I38" s="8"/>
      <c r="J38" s="8"/>
      <c r="K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</row>
    <row r="39" spans="1:116" x14ac:dyDescent="0.3">
      <c r="A39" s="8"/>
      <c r="B39" s="8"/>
      <c r="C39" s="30"/>
      <c r="D39" s="8"/>
      <c r="E39" s="8"/>
      <c r="F39" s="8"/>
      <c r="G39" s="8"/>
      <c r="H39" s="8"/>
      <c r="I39" s="8"/>
      <c r="J39" s="8"/>
      <c r="K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</row>
    <row r="40" spans="1:116" x14ac:dyDescent="0.3">
      <c r="A40" s="8"/>
      <c r="B40" s="8"/>
      <c r="C40" s="30"/>
      <c r="D40" s="8"/>
      <c r="E40" s="8"/>
      <c r="F40" s="8"/>
      <c r="G40" s="8"/>
      <c r="H40" s="8"/>
      <c r="I40" s="8"/>
      <c r="J40" s="8"/>
      <c r="K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</row>
    <row r="41" spans="1:116" x14ac:dyDescent="0.3">
      <c r="A41" s="8"/>
      <c r="B41" s="8"/>
      <c r="C41" s="30"/>
      <c r="D41" s="8"/>
      <c r="E41" s="8"/>
      <c r="F41" s="8"/>
      <c r="G41" s="8"/>
      <c r="H41" s="8"/>
      <c r="I41" s="8"/>
      <c r="J41" s="8"/>
      <c r="K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</row>
    <row r="42" spans="1:116" x14ac:dyDescent="0.3">
      <c r="A42" s="8"/>
      <c r="B42" s="8"/>
      <c r="C42" s="30"/>
      <c r="D42" s="8"/>
      <c r="E42" s="8"/>
      <c r="F42" s="8"/>
      <c r="G42" s="8"/>
      <c r="H42" s="8"/>
      <c r="I42" s="8"/>
      <c r="J42" s="8"/>
      <c r="K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</row>
    <row r="43" spans="1:116" x14ac:dyDescent="0.3">
      <c r="A43" s="8"/>
      <c r="B43" s="8"/>
      <c r="C43" s="30"/>
      <c r="D43" s="8"/>
      <c r="E43" s="8"/>
      <c r="F43" s="8"/>
      <c r="G43" s="8"/>
      <c r="H43" s="8"/>
      <c r="I43" s="8"/>
      <c r="J43" s="8"/>
      <c r="K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</row>
    <row r="44" spans="1:116" x14ac:dyDescent="0.3">
      <c r="A44" s="8"/>
      <c r="B44" s="8"/>
      <c r="C44" s="30"/>
      <c r="D44" s="8"/>
      <c r="E44" s="8"/>
      <c r="F44" s="8"/>
      <c r="G44" s="8"/>
      <c r="H44" s="8"/>
      <c r="I44" s="8"/>
      <c r="J44" s="8"/>
      <c r="K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</row>
    <row r="45" spans="1:116" x14ac:dyDescent="0.3">
      <c r="A45" s="8"/>
      <c r="B45" s="8"/>
      <c r="C45" s="30"/>
      <c r="D45" s="8"/>
      <c r="E45" s="8"/>
      <c r="F45" s="8"/>
      <c r="G45" s="8"/>
      <c r="H45" s="8"/>
      <c r="I45" s="8"/>
      <c r="J45" s="8"/>
      <c r="K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</row>
    <row r="46" spans="1:116" x14ac:dyDescent="0.3">
      <c r="A46" s="8"/>
      <c r="B46" s="8"/>
      <c r="C46" s="30"/>
      <c r="D46" s="8"/>
      <c r="E46" s="8"/>
      <c r="F46" s="8"/>
      <c r="G46" s="8"/>
      <c r="H46" s="8"/>
      <c r="I46" s="8"/>
      <c r="J46" s="8"/>
      <c r="K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</row>
    <row r="47" spans="1:116" x14ac:dyDescent="0.3">
      <c r="A47" s="8"/>
      <c r="B47" s="8"/>
      <c r="C47" s="30"/>
      <c r="D47" s="8"/>
      <c r="E47" s="8"/>
      <c r="F47" s="8"/>
      <c r="G47" s="8"/>
      <c r="H47" s="8"/>
      <c r="I47" s="8"/>
      <c r="J47" s="8"/>
      <c r="K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</row>
    <row r="48" spans="1:116" x14ac:dyDescent="0.3">
      <c r="A48" s="8"/>
      <c r="B48" s="8"/>
      <c r="C48" s="30"/>
      <c r="D48" s="8"/>
      <c r="E48" s="8"/>
      <c r="F48" s="8"/>
      <c r="G48" s="8"/>
      <c r="H48" s="8"/>
      <c r="I48" s="8"/>
      <c r="J48" s="8"/>
      <c r="K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</row>
    <row r="49" spans="1:116" x14ac:dyDescent="0.3">
      <c r="A49" s="8"/>
      <c r="B49" s="8"/>
      <c r="C49" s="30"/>
      <c r="D49" s="8"/>
      <c r="E49" s="8"/>
      <c r="F49" s="8"/>
      <c r="G49" s="8"/>
      <c r="H49" s="8"/>
      <c r="I49" s="8"/>
      <c r="J49" s="8"/>
      <c r="K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</row>
    <row r="50" spans="1:116" x14ac:dyDescent="0.3">
      <c r="A50" s="8"/>
      <c r="B50" s="8"/>
      <c r="C50" s="30"/>
      <c r="D50" s="8"/>
      <c r="E50" s="8"/>
      <c r="F50" s="8"/>
      <c r="G50" s="8"/>
      <c r="H50" s="8"/>
      <c r="I50" s="8"/>
      <c r="J50" s="8"/>
      <c r="K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</row>
    <row r="51" spans="1:116" x14ac:dyDescent="0.3">
      <c r="A51" s="8"/>
      <c r="B51" s="8"/>
      <c r="C51" s="30"/>
      <c r="D51" s="8"/>
      <c r="E51" s="8"/>
      <c r="F51" s="8"/>
      <c r="G51" s="8"/>
      <c r="H51" s="8"/>
      <c r="I51" s="8"/>
      <c r="J51" s="8"/>
      <c r="K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</row>
    <row r="52" spans="1:116" x14ac:dyDescent="0.3">
      <c r="A52" s="8"/>
      <c r="B52" s="8"/>
      <c r="C52" s="30"/>
      <c r="D52" s="8"/>
      <c r="E52" s="8"/>
      <c r="F52" s="8"/>
      <c r="G52" s="8"/>
      <c r="H52" s="8"/>
      <c r="I52" s="8"/>
      <c r="J52" s="8"/>
      <c r="K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</row>
    <row r="53" spans="1:116" x14ac:dyDescent="0.3">
      <c r="A53" s="8"/>
      <c r="B53" s="8"/>
      <c r="C53" s="30"/>
      <c r="D53" s="8"/>
      <c r="E53" s="8"/>
      <c r="F53" s="8"/>
      <c r="G53" s="8"/>
      <c r="H53" s="8"/>
      <c r="I53" s="8"/>
      <c r="J53" s="8"/>
      <c r="K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</row>
    <row r="54" spans="1:116" x14ac:dyDescent="0.3">
      <c r="A54" s="8"/>
      <c r="B54" s="8"/>
      <c r="C54" s="30"/>
      <c r="D54" s="8"/>
      <c r="E54" s="8"/>
      <c r="F54" s="8"/>
      <c r="G54" s="8"/>
      <c r="H54" s="8"/>
      <c r="I54" s="8"/>
      <c r="J54" s="8"/>
      <c r="K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</row>
    <row r="55" spans="1:116" x14ac:dyDescent="0.3">
      <c r="A55" s="8"/>
      <c r="B55" s="8"/>
      <c r="C55" s="30"/>
      <c r="D55" s="8"/>
      <c r="E55" s="8"/>
      <c r="F55" s="8"/>
      <c r="G55" s="8"/>
      <c r="H55" s="8"/>
      <c r="I55" s="8"/>
      <c r="J55" s="8"/>
      <c r="K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</row>
    <row r="56" spans="1:116" x14ac:dyDescent="0.3">
      <c r="A56" s="8"/>
      <c r="B56" s="8"/>
      <c r="C56" s="30"/>
      <c r="D56" s="8"/>
      <c r="E56" s="8"/>
      <c r="F56" s="8"/>
      <c r="G56" s="8"/>
      <c r="H56" s="8"/>
      <c r="I56" s="8"/>
      <c r="J56" s="8"/>
      <c r="K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</row>
    <row r="57" spans="1:116" x14ac:dyDescent="0.3">
      <c r="A57" s="8"/>
      <c r="B57" s="8"/>
      <c r="C57" s="30"/>
      <c r="D57" s="8"/>
      <c r="E57" s="8"/>
      <c r="F57" s="8"/>
      <c r="G57" s="8"/>
      <c r="H57" s="8"/>
      <c r="I57" s="8"/>
      <c r="J57" s="8"/>
      <c r="K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</row>
    <row r="58" spans="1:116" x14ac:dyDescent="0.3">
      <c r="A58" s="8"/>
      <c r="B58" s="8"/>
      <c r="C58" s="30"/>
      <c r="D58" s="8"/>
      <c r="E58" s="8"/>
      <c r="F58" s="8"/>
      <c r="G58" s="8"/>
      <c r="H58" s="8"/>
      <c r="I58" s="8"/>
      <c r="J58" s="8"/>
      <c r="K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</row>
    <row r="59" spans="1:116" x14ac:dyDescent="0.3">
      <c r="A59" s="8"/>
      <c r="B59" s="8"/>
      <c r="C59" s="30"/>
      <c r="D59" s="8"/>
      <c r="E59" s="8"/>
      <c r="F59" s="8"/>
      <c r="G59" s="8"/>
      <c r="H59" s="8"/>
      <c r="I59" s="8"/>
      <c r="J59" s="8"/>
      <c r="K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</row>
    <row r="60" spans="1:116" x14ac:dyDescent="0.3">
      <c r="A60" s="8"/>
      <c r="B60" s="8"/>
      <c r="C60" s="30"/>
      <c r="D60" s="8"/>
      <c r="E60" s="8"/>
      <c r="F60" s="8"/>
      <c r="G60" s="8"/>
      <c r="H60" s="8"/>
      <c r="I60" s="8"/>
      <c r="J60" s="8"/>
      <c r="K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</row>
    <row r="61" spans="1:116" x14ac:dyDescent="0.3">
      <c r="A61" s="8"/>
      <c r="B61" s="8"/>
      <c r="C61" s="30"/>
      <c r="D61" s="8"/>
      <c r="E61" s="8"/>
      <c r="F61" s="8"/>
      <c r="G61" s="8"/>
      <c r="H61" s="8"/>
      <c r="I61" s="8"/>
      <c r="J61" s="8"/>
      <c r="K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</row>
    <row r="62" spans="1:116" x14ac:dyDescent="0.3">
      <c r="A62" s="8"/>
      <c r="B62" s="8"/>
      <c r="C62" s="30"/>
      <c r="D62" s="8"/>
      <c r="E62" s="8"/>
      <c r="F62" s="8"/>
      <c r="G62" s="8"/>
      <c r="H62" s="8"/>
      <c r="I62" s="8"/>
      <c r="J62" s="8"/>
      <c r="K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</row>
    <row r="63" spans="1:116" x14ac:dyDescent="0.3">
      <c r="A63" s="8"/>
      <c r="B63" s="8"/>
      <c r="C63" s="30"/>
      <c r="D63" s="8"/>
      <c r="E63" s="8"/>
      <c r="F63" s="8"/>
      <c r="G63" s="8"/>
      <c r="H63" s="8"/>
      <c r="I63" s="8"/>
      <c r="J63" s="8"/>
      <c r="K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</row>
    <row r="64" spans="1:116" x14ac:dyDescent="0.3">
      <c r="A64" s="8"/>
      <c r="B64" s="8"/>
      <c r="C64" s="30"/>
      <c r="D64" s="8"/>
      <c r="E64" s="8"/>
      <c r="F64" s="8"/>
      <c r="G64" s="8"/>
      <c r="H64" s="8"/>
      <c r="I64" s="8"/>
      <c r="J64" s="8"/>
      <c r="K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</row>
    <row r="65" spans="1:116" x14ac:dyDescent="0.3">
      <c r="A65" s="8"/>
      <c r="B65" s="8"/>
      <c r="C65" s="30"/>
      <c r="D65" s="8"/>
      <c r="E65" s="8"/>
      <c r="F65" s="8"/>
      <c r="G65" s="8"/>
      <c r="H65" s="8"/>
      <c r="I65" s="8"/>
      <c r="J65" s="8"/>
      <c r="K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</row>
    <row r="66" spans="1:116" x14ac:dyDescent="0.3">
      <c r="A66" s="8"/>
      <c r="B66" s="8"/>
      <c r="C66" s="30"/>
      <c r="D66" s="8"/>
      <c r="E66" s="8"/>
      <c r="F66" s="8"/>
      <c r="G66" s="8"/>
      <c r="H66" s="8"/>
      <c r="I66" s="8"/>
      <c r="J66" s="8"/>
      <c r="K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</row>
    <row r="67" spans="1:116" x14ac:dyDescent="0.3">
      <c r="A67" s="8"/>
      <c r="B67" s="8"/>
      <c r="C67" s="30"/>
      <c r="D67" s="8"/>
      <c r="E67" s="8"/>
      <c r="F67" s="8"/>
      <c r="G67" s="8"/>
      <c r="H67" s="8"/>
      <c r="I67" s="8"/>
      <c r="J67" s="8"/>
      <c r="K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</row>
    <row r="68" spans="1:116" x14ac:dyDescent="0.3">
      <c r="A68" s="8"/>
      <c r="B68" s="8"/>
      <c r="C68" s="30"/>
      <c r="D68" s="8"/>
      <c r="E68" s="8"/>
      <c r="F68" s="8"/>
      <c r="G68" s="8"/>
      <c r="H68" s="8"/>
      <c r="I68" s="8"/>
      <c r="J68" s="8"/>
      <c r="K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</row>
    <row r="69" spans="1:116" x14ac:dyDescent="0.3">
      <c r="A69" s="8"/>
      <c r="B69" s="8"/>
      <c r="C69" s="30"/>
      <c r="D69" s="8"/>
      <c r="E69" s="8"/>
      <c r="F69" s="8"/>
      <c r="G69" s="8"/>
      <c r="H69" s="8"/>
      <c r="I69" s="8"/>
      <c r="J69" s="8"/>
      <c r="K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</row>
    <row r="70" spans="1:116" x14ac:dyDescent="0.3">
      <c r="A70" s="8"/>
      <c r="B70" s="8"/>
      <c r="C70" s="30"/>
      <c r="D70" s="8"/>
      <c r="E70" s="8"/>
      <c r="F70" s="8"/>
      <c r="G70" s="8"/>
      <c r="H70" s="8"/>
      <c r="I70" s="8"/>
      <c r="J70" s="8"/>
      <c r="K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</row>
    <row r="71" spans="1:116" x14ac:dyDescent="0.3">
      <c r="A71" s="8"/>
      <c r="B71" s="8"/>
      <c r="C71" s="30"/>
      <c r="D71" s="8"/>
      <c r="E71" s="8"/>
      <c r="F71" s="8"/>
      <c r="G71" s="8"/>
      <c r="H71" s="8"/>
      <c r="I71" s="8"/>
      <c r="J71" s="8"/>
      <c r="K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</row>
    <row r="72" spans="1:116" x14ac:dyDescent="0.3">
      <c r="A72" s="8"/>
      <c r="B72" s="8"/>
      <c r="C72" s="30"/>
      <c r="D72" s="8"/>
      <c r="E72" s="8"/>
      <c r="F72" s="8"/>
      <c r="G72" s="8"/>
      <c r="H72" s="8"/>
      <c r="I72" s="8"/>
      <c r="J72" s="8"/>
      <c r="K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</row>
    <row r="73" spans="1:116" x14ac:dyDescent="0.3">
      <c r="A73" s="8"/>
      <c r="B73" s="8"/>
      <c r="C73" s="30"/>
      <c r="D73" s="8"/>
      <c r="E73" s="8"/>
      <c r="F73" s="8"/>
      <c r="G73" s="8"/>
      <c r="H73" s="8"/>
      <c r="I73" s="8"/>
      <c r="J73" s="8"/>
      <c r="K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</row>
    <row r="74" spans="1:116" x14ac:dyDescent="0.3">
      <c r="A74" s="8"/>
      <c r="B74" s="8"/>
      <c r="C74" s="30"/>
      <c r="D74" s="8"/>
      <c r="E74" s="8"/>
      <c r="F74" s="8"/>
      <c r="G74" s="8"/>
      <c r="H74" s="8"/>
      <c r="I74" s="8"/>
      <c r="J74" s="8"/>
      <c r="K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</row>
    <row r="75" spans="1:116" x14ac:dyDescent="0.3">
      <c r="A75" s="8"/>
      <c r="B75" s="8"/>
      <c r="C75" s="30"/>
      <c r="D75" s="8"/>
      <c r="E75" s="8"/>
      <c r="F75" s="8"/>
      <c r="G75" s="8"/>
      <c r="H75" s="8"/>
      <c r="I75" s="8"/>
      <c r="J75" s="8"/>
      <c r="K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</row>
    <row r="76" spans="1:116" x14ac:dyDescent="0.3">
      <c r="A76" s="8"/>
      <c r="B76" s="8"/>
      <c r="C76" s="30"/>
      <c r="D76" s="8"/>
      <c r="E76" s="8"/>
      <c r="F76" s="8"/>
      <c r="G76" s="8"/>
      <c r="H76" s="8"/>
      <c r="I76" s="8"/>
      <c r="J76" s="8"/>
      <c r="K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</row>
    <row r="77" spans="1:116" x14ac:dyDescent="0.3">
      <c r="A77" s="8"/>
      <c r="B77" s="8"/>
      <c r="C77" s="30"/>
      <c r="D77" s="8"/>
      <c r="E77" s="8"/>
      <c r="F77" s="8"/>
      <c r="G77" s="8"/>
      <c r="H77" s="8"/>
      <c r="I77" s="8"/>
      <c r="J77" s="8"/>
      <c r="K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</row>
    <row r="78" spans="1:116" x14ac:dyDescent="0.3">
      <c r="A78" s="8"/>
      <c r="B78" s="8"/>
      <c r="C78" s="30"/>
      <c r="D78" s="8"/>
      <c r="E78" s="8"/>
      <c r="F78" s="8"/>
      <c r="G78" s="8"/>
      <c r="H78" s="8"/>
      <c r="I78" s="8"/>
      <c r="J78" s="8"/>
      <c r="K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</row>
    <row r="79" spans="1:116" x14ac:dyDescent="0.3">
      <c r="A79" s="8"/>
      <c r="B79" s="8"/>
      <c r="C79" s="30"/>
      <c r="D79" s="8"/>
      <c r="E79" s="8"/>
      <c r="F79" s="8"/>
      <c r="G79" s="8"/>
      <c r="H79" s="8"/>
      <c r="I79" s="8"/>
      <c r="J79" s="8"/>
      <c r="K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</row>
    <row r="80" spans="1:116" x14ac:dyDescent="0.3">
      <c r="A80" s="8"/>
      <c r="B80" s="8"/>
      <c r="C80" s="30"/>
      <c r="D80" s="8"/>
      <c r="E80" s="8"/>
      <c r="F80" s="8"/>
      <c r="G80" s="8"/>
      <c r="H80" s="8"/>
      <c r="I80" s="8"/>
      <c r="J80" s="8"/>
      <c r="K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</row>
    <row r="81" spans="1:116" x14ac:dyDescent="0.3">
      <c r="A81" s="8"/>
      <c r="B81" s="8"/>
      <c r="C81" s="30"/>
      <c r="D81" s="8"/>
      <c r="E81" s="8"/>
      <c r="F81" s="8"/>
      <c r="G81" s="8"/>
      <c r="H81" s="8"/>
      <c r="I81" s="8"/>
      <c r="J81" s="8"/>
      <c r="K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</row>
    <row r="82" spans="1:116" x14ac:dyDescent="0.3">
      <c r="A82" s="8"/>
      <c r="B82" s="8"/>
      <c r="C82" s="30"/>
      <c r="D82" s="8"/>
      <c r="E82" s="8"/>
      <c r="F82" s="8"/>
      <c r="G82" s="8"/>
      <c r="H82" s="8"/>
      <c r="I82" s="8"/>
      <c r="J82" s="8"/>
      <c r="K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</row>
    <row r="83" spans="1:116" x14ac:dyDescent="0.3">
      <c r="A83" s="8"/>
      <c r="B83" s="8"/>
      <c r="C83" s="30"/>
      <c r="D83" s="8"/>
      <c r="E83" s="8"/>
      <c r="F83" s="8"/>
      <c r="G83" s="8"/>
      <c r="H83" s="8"/>
      <c r="I83" s="8"/>
      <c r="J83" s="8"/>
      <c r="K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</row>
    <row r="84" spans="1:116" x14ac:dyDescent="0.3">
      <c r="A84" s="8"/>
      <c r="B84" s="8"/>
      <c r="C84" s="30"/>
      <c r="D84" s="8"/>
      <c r="E84" s="8"/>
      <c r="F84" s="8"/>
      <c r="G84" s="8"/>
      <c r="H84" s="8"/>
      <c r="I84" s="8"/>
      <c r="J84" s="8"/>
      <c r="K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</row>
    <row r="85" spans="1:116" x14ac:dyDescent="0.3">
      <c r="A85" s="8"/>
      <c r="B85" s="8"/>
      <c r="C85" s="30"/>
      <c r="D85" s="8"/>
      <c r="E85" s="8"/>
      <c r="F85" s="8"/>
      <c r="G85" s="8"/>
      <c r="H85" s="8"/>
      <c r="I85" s="8"/>
      <c r="J85" s="8"/>
      <c r="K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</row>
    <row r="86" spans="1:116" x14ac:dyDescent="0.3">
      <c r="A86" s="8"/>
      <c r="B86" s="8"/>
      <c r="C86" s="30"/>
      <c r="D86" s="8"/>
      <c r="E86" s="8"/>
      <c r="F86" s="8"/>
      <c r="G86" s="8"/>
      <c r="H86" s="8"/>
      <c r="I86" s="8"/>
      <c r="J86" s="8"/>
      <c r="K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</row>
    <row r="87" spans="1:116" x14ac:dyDescent="0.3">
      <c r="A87" s="8"/>
      <c r="B87" s="8"/>
      <c r="C87" s="30"/>
      <c r="D87" s="8"/>
      <c r="E87" s="8"/>
      <c r="F87" s="8"/>
      <c r="G87" s="8"/>
      <c r="H87" s="8"/>
      <c r="I87" s="8"/>
      <c r="J87" s="8"/>
      <c r="K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</row>
    <row r="88" spans="1:116" x14ac:dyDescent="0.3">
      <c r="A88" s="8"/>
      <c r="B88" s="8"/>
      <c r="C88" s="30"/>
      <c r="D88" s="8"/>
      <c r="E88" s="8"/>
      <c r="F88" s="8"/>
      <c r="G88" s="8"/>
      <c r="H88" s="8"/>
      <c r="I88" s="8"/>
      <c r="J88" s="8"/>
      <c r="K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</row>
    <row r="89" spans="1:116" x14ac:dyDescent="0.3">
      <c r="A89" s="8"/>
      <c r="B89" s="8"/>
      <c r="C89" s="30"/>
      <c r="D89" s="8"/>
      <c r="E89" s="8"/>
      <c r="F89" s="8"/>
      <c r="G89" s="8"/>
      <c r="H89" s="8"/>
      <c r="I89" s="8"/>
      <c r="J89" s="8"/>
      <c r="K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</row>
    <row r="90" spans="1:116" x14ac:dyDescent="0.3">
      <c r="A90" s="8"/>
      <c r="B90" s="8"/>
      <c r="C90" s="30"/>
      <c r="D90" s="8"/>
      <c r="E90" s="8"/>
      <c r="F90" s="8"/>
      <c r="G90" s="8"/>
      <c r="H90" s="8"/>
      <c r="I90" s="8"/>
      <c r="J90" s="8"/>
      <c r="K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</row>
    <row r="91" spans="1:116" x14ac:dyDescent="0.3">
      <c r="A91" s="8"/>
      <c r="B91" s="8"/>
      <c r="C91" s="30"/>
      <c r="D91" s="8"/>
      <c r="E91" s="8"/>
      <c r="F91" s="8"/>
      <c r="G91" s="8"/>
      <c r="H91" s="8"/>
      <c r="I91" s="8"/>
      <c r="J91" s="8"/>
      <c r="K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</row>
    <row r="92" spans="1:116" x14ac:dyDescent="0.3">
      <c r="A92" s="8"/>
      <c r="B92" s="8"/>
      <c r="C92" s="30"/>
      <c r="D92" s="8"/>
      <c r="E92" s="8"/>
      <c r="F92" s="8"/>
      <c r="G92" s="8"/>
      <c r="H92" s="8"/>
      <c r="I92" s="8"/>
      <c r="J92" s="8"/>
      <c r="K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</row>
    <row r="93" spans="1:116" x14ac:dyDescent="0.3">
      <c r="A93" s="8"/>
      <c r="B93" s="8"/>
      <c r="C93" s="30"/>
      <c r="D93" s="8"/>
      <c r="E93" s="8"/>
      <c r="F93" s="8"/>
      <c r="G93" s="8"/>
      <c r="H93" s="8"/>
      <c r="I93" s="8"/>
      <c r="J93" s="8"/>
      <c r="K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</row>
    <row r="94" spans="1:116" x14ac:dyDescent="0.3">
      <c r="A94" s="8"/>
      <c r="B94" s="8"/>
      <c r="C94" s="30"/>
      <c r="D94" s="8"/>
      <c r="E94" s="8"/>
      <c r="F94" s="8"/>
      <c r="G94" s="8"/>
      <c r="H94" s="8"/>
      <c r="I94" s="8"/>
      <c r="J94" s="8"/>
      <c r="K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</row>
    <row r="95" spans="1:116" x14ac:dyDescent="0.3">
      <c r="A95" s="8"/>
      <c r="B95" s="8"/>
      <c r="C95" s="30"/>
      <c r="D95" s="8"/>
      <c r="E95" s="8"/>
      <c r="F95" s="8"/>
      <c r="G95" s="8"/>
      <c r="H95" s="8"/>
      <c r="I95" s="8"/>
      <c r="J95" s="8"/>
      <c r="K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</row>
    <row r="96" spans="1:116" x14ac:dyDescent="0.3">
      <c r="A96" s="8"/>
      <c r="B96" s="8"/>
      <c r="C96" s="30"/>
      <c r="D96" s="8"/>
      <c r="E96" s="8"/>
      <c r="F96" s="8"/>
      <c r="G96" s="8"/>
      <c r="H96" s="8"/>
      <c r="I96" s="8"/>
      <c r="J96" s="8"/>
      <c r="K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</row>
    <row r="97" spans="1:116" x14ac:dyDescent="0.3">
      <c r="A97" s="8"/>
      <c r="B97" s="8"/>
      <c r="C97" s="30"/>
      <c r="D97" s="8"/>
      <c r="E97" s="8"/>
      <c r="F97" s="8"/>
      <c r="G97" s="8"/>
      <c r="H97" s="8"/>
      <c r="I97" s="8"/>
      <c r="J97" s="8"/>
      <c r="K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</row>
    <row r="98" spans="1:116" x14ac:dyDescent="0.3">
      <c r="A98" s="8"/>
      <c r="B98" s="8"/>
      <c r="C98" s="30"/>
      <c r="D98" s="8"/>
      <c r="E98" s="8"/>
      <c r="F98" s="8"/>
      <c r="G98" s="8"/>
      <c r="H98" s="8"/>
      <c r="I98" s="8"/>
      <c r="J98" s="8"/>
      <c r="K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</row>
    <row r="99" spans="1:116" x14ac:dyDescent="0.3">
      <c r="A99" s="8"/>
      <c r="B99" s="8"/>
      <c r="C99" s="30"/>
      <c r="D99" s="8"/>
      <c r="E99" s="8"/>
      <c r="F99" s="8"/>
      <c r="G99" s="8"/>
      <c r="H99" s="8"/>
      <c r="I99" s="8"/>
      <c r="J99" s="8"/>
      <c r="K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</row>
    <row r="100" spans="1:116" x14ac:dyDescent="0.3">
      <c r="A100" s="8"/>
      <c r="B100" s="8"/>
      <c r="C100" s="30"/>
      <c r="D100" s="8"/>
      <c r="E100" s="8"/>
      <c r="F100" s="8"/>
      <c r="G100" s="8"/>
      <c r="H100" s="8"/>
      <c r="I100" s="8"/>
      <c r="J100" s="8"/>
      <c r="K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</row>
    <row r="101" spans="1:116" x14ac:dyDescent="0.3">
      <c r="A101" s="8"/>
      <c r="B101" s="8"/>
      <c r="C101" s="30"/>
      <c r="D101" s="8"/>
      <c r="E101" s="8"/>
      <c r="F101" s="8"/>
      <c r="G101" s="8"/>
      <c r="H101" s="8"/>
      <c r="I101" s="8"/>
      <c r="J101" s="8"/>
      <c r="K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</row>
    <row r="102" spans="1:116" x14ac:dyDescent="0.3">
      <c r="A102" s="8"/>
      <c r="B102" s="8"/>
      <c r="C102" s="30"/>
      <c r="D102" s="8"/>
      <c r="E102" s="8"/>
      <c r="F102" s="8"/>
      <c r="G102" s="8"/>
      <c r="H102" s="8"/>
      <c r="I102" s="8"/>
      <c r="J102" s="8"/>
      <c r="K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</row>
    <row r="103" spans="1:116" x14ac:dyDescent="0.3">
      <c r="A103" s="8"/>
      <c r="B103" s="8"/>
      <c r="C103" s="30"/>
      <c r="D103" s="8"/>
      <c r="E103" s="8"/>
      <c r="F103" s="8"/>
      <c r="G103" s="8"/>
      <c r="H103" s="8"/>
      <c r="I103" s="8"/>
      <c r="J103" s="8"/>
      <c r="K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</row>
    <row r="104" spans="1:116" x14ac:dyDescent="0.3">
      <c r="A104" s="8"/>
      <c r="B104" s="8"/>
      <c r="C104" s="30"/>
      <c r="D104" s="8"/>
      <c r="E104" s="8"/>
      <c r="F104" s="8"/>
      <c r="G104" s="8"/>
      <c r="H104" s="8"/>
      <c r="I104" s="8"/>
      <c r="J104" s="8"/>
      <c r="K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</row>
    <row r="105" spans="1:116" x14ac:dyDescent="0.3">
      <c r="A105" s="8"/>
      <c r="B105" s="8"/>
      <c r="C105" s="30"/>
      <c r="D105" s="8"/>
      <c r="E105" s="8"/>
      <c r="F105" s="8"/>
      <c r="G105" s="8"/>
      <c r="H105" s="8"/>
      <c r="I105" s="8"/>
      <c r="J105" s="8"/>
      <c r="K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</row>
    <row r="106" spans="1:116" x14ac:dyDescent="0.3">
      <c r="A106" s="8"/>
      <c r="B106" s="8"/>
      <c r="C106" s="30"/>
      <c r="D106" s="8"/>
      <c r="E106" s="8"/>
      <c r="F106" s="8"/>
      <c r="G106" s="8"/>
      <c r="H106" s="8"/>
      <c r="I106" s="8"/>
      <c r="J106" s="8"/>
      <c r="K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</row>
    <row r="107" spans="1:116" x14ac:dyDescent="0.3">
      <c r="A107" s="8"/>
      <c r="B107" s="8"/>
      <c r="C107" s="30"/>
      <c r="D107" s="8"/>
      <c r="E107" s="8"/>
      <c r="F107" s="8"/>
      <c r="G107" s="8"/>
      <c r="H107" s="8"/>
      <c r="I107" s="8"/>
      <c r="J107" s="8"/>
      <c r="K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</row>
    <row r="108" spans="1:116" x14ac:dyDescent="0.3">
      <c r="A108" s="8"/>
      <c r="B108" s="8"/>
      <c r="C108" s="30"/>
      <c r="D108" s="8"/>
      <c r="E108" s="8"/>
      <c r="F108" s="8"/>
      <c r="G108" s="8"/>
      <c r="H108" s="8"/>
      <c r="I108" s="8"/>
      <c r="J108" s="8"/>
      <c r="K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</row>
    <row r="109" spans="1:116" x14ac:dyDescent="0.3">
      <c r="A109" s="8"/>
      <c r="B109" s="8"/>
      <c r="C109" s="30"/>
      <c r="D109" s="8"/>
      <c r="E109" s="8"/>
      <c r="F109" s="8"/>
      <c r="G109" s="8"/>
      <c r="H109" s="8"/>
      <c r="I109" s="8"/>
      <c r="J109" s="8"/>
      <c r="K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</row>
    <row r="110" spans="1:116" x14ac:dyDescent="0.3">
      <c r="A110" s="8"/>
      <c r="B110" s="8"/>
      <c r="C110" s="30"/>
      <c r="D110" s="8"/>
      <c r="E110" s="8"/>
      <c r="F110" s="8"/>
      <c r="G110" s="8"/>
      <c r="H110" s="8"/>
      <c r="I110" s="8"/>
      <c r="J110" s="8"/>
      <c r="K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</row>
    <row r="111" spans="1:116" x14ac:dyDescent="0.3">
      <c r="A111" s="8"/>
      <c r="B111" s="8"/>
      <c r="C111" s="30"/>
      <c r="D111" s="8"/>
      <c r="E111" s="8"/>
      <c r="F111" s="8"/>
      <c r="G111" s="8"/>
      <c r="H111" s="8"/>
      <c r="I111" s="8"/>
      <c r="J111" s="8"/>
      <c r="K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</row>
    <row r="112" spans="1:116" x14ac:dyDescent="0.3">
      <c r="A112" s="8"/>
      <c r="B112" s="8"/>
      <c r="C112" s="30"/>
      <c r="D112" s="8"/>
      <c r="E112" s="8"/>
      <c r="F112" s="8"/>
      <c r="G112" s="8"/>
      <c r="H112" s="8"/>
      <c r="I112" s="8"/>
      <c r="J112" s="8"/>
      <c r="K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</row>
    <row r="113" spans="1:116" x14ac:dyDescent="0.3">
      <c r="A113" s="8"/>
      <c r="B113" s="8"/>
      <c r="C113" s="30"/>
      <c r="D113" s="8"/>
      <c r="E113" s="8"/>
      <c r="F113" s="8"/>
      <c r="G113" s="8"/>
      <c r="H113" s="8"/>
      <c r="I113" s="8"/>
      <c r="J113" s="8"/>
      <c r="K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</row>
    <row r="114" spans="1:116" x14ac:dyDescent="0.3">
      <c r="A114" s="8"/>
      <c r="B114" s="8"/>
      <c r="C114" s="30"/>
      <c r="D114" s="8"/>
      <c r="E114" s="8"/>
      <c r="F114" s="8"/>
      <c r="G114" s="8"/>
      <c r="H114" s="8"/>
      <c r="I114" s="8"/>
      <c r="J114" s="8"/>
      <c r="K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</row>
    <row r="115" spans="1:116" x14ac:dyDescent="0.3">
      <c r="A115" s="8"/>
      <c r="B115" s="8"/>
      <c r="C115" s="30"/>
      <c r="D115" s="8"/>
      <c r="E115" s="8"/>
      <c r="F115" s="8"/>
      <c r="G115" s="8"/>
      <c r="H115" s="8"/>
      <c r="I115" s="8"/>
      <c r="J115" s="8"/>
      <c r="K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</row>
    <row r="116" spans="1:116" x14ac:dyDescent="0.3">
      <c r="A116" s="8"/>
      <c r="B116" s="8"/>
      <c r="C116" s="30"/>
      <c r="D116" s="8"/>
      <c r="E116" s="8"/>
      <c r="F116" s="8"/>
      <c r="G116" s="8"/>
      <c r="H116" s="8"/>
      <c r="I116" s="8"/>
      <c r="J116" s="8"/>
      <c r="K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</row>
    <row r="117" spans="1:116" x14ac:dyDescent="0.3">
      <c r="A117" s="8"/>
      <c r="B117" s="8"/>
      <c r="C117" s="30"/>
      <c r="D117" s="8"/>
      <c r="E117" s="8"/>
      <c r="F117" s="8"/>
      <c r="G117" s="8"/>
      <c r="H117" s="8"/>
      <c r="I117" s="8"/>
      <c r="J117" s="8"/>
      <c r="K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</row>
    <row r="118" spans="1:116" x14ac:dyDescent="0.3">
      <c r="A118" s="8"/>
      <c r="B118" s="8"/>
      <c r="C118" s="30"/>
      <c r="D118" s="8"/>
      <c r="E118" s="8"/>
      <c r="F118" s="8"/>
      <c r="G118" s="8"/>
      <c r="H118" s="8"/>
      <c r="I118" s="8"/>
      <c r="J118" s="8"/>
      <c r="K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</row>
    <row r="119" spans="1:116" x14ac:dyDescent="0.3">
      <c r="A119" s="8"/>
      <c r="B119" s="8"/>
      <c r="C119" s="30"/>
      <c r="D119" s="8"/>
      <c r="E119" s="8"/>
      <c r="F119" s="8"/>
      <c r="G119" s="8"/>
      <c r="H119" s="8"/>
      <c r="I119" s="8"/>
      <c r="J119" s="8"/>
      <c r="K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</row>
    <row r="120" spans="1:116" x14ac:dyDescent="0.3">
      <c r="A120" s="8"/>
      <c r="B120" s="8"/>
      <c r="C120" s="30"/>
      <c r="D120" s="8"/>
      <c r="E120" s="8"/>
      <c r="F120" s="8"/>
      <c r="G120" s="8"/>
      <c r="H120" s="8"/>
      <c r="I120" s="8"/>
      <c r="J120" s="8"/>
      <c r="K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</row>
    <row r="121" spans="1:116" x14ac:dyDescent="0.3">
      <c r="A121" s="8"/>
      <c r="B121" s="8"/>
      <c r="C121" s="30"/>
      <c r="D121" s="8"/>
      <c r="E121" s="8"/>
      <c r="F121" s="8"/>
      <c r="G121" s="8"/>
      <c r="H121" s="8"/>
      <c r="I121" s="8"/>
      <c r="J121" s="8"/>
      <c r="K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</row>
    <row r="122" spans="1:116" x14ac:dyDescent="0.3">
      <c r="A122" s="8"/>
      <c r="B122" s="8"/>
      <c r="C122" s="30"/>
      <c r="D122" s="8"/>
      <c r="E122" s="8"/>
      <c r="F122" s="8"/>
      <c r="G122" s="8"/>
      <c r="H122" s="8"/>
      <c r="I122" s="8"/>
      <c r="J122" s="8"/>
      <c r="K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</row>
    <row r="123" spans="1:116" x14ac:dyDescent="0.3">
      <c r="A123" s="8"/>
      <c r="B123" s="8"/>
      <c r="C123" s="30"/>
      <c r="D123" s="8"/>
      <c r="E123" s="8"/>
      <c r="F123" s="8"/>
      <c r="G123" s="8"/>
      <c r="H123" s="8"/>
      <c r="I123" s="8"/>
      <c r="J123" s="8"/>
      <c r="K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</row>
    <row r="124" spans="1:116" x14ac:dyDescent="0.3">
      <c r="A124" s="8"/>
      <c r="B124" s="8"/>
      <c r="C124" s="30"/>
      <c r="D124" s="8"/>
      <c r="E124" s="8"/>
      <c r="F124" s="8"/>
      <c r="G124" s="8"/>
      <c r="H124" s="8"/>
      <c r="I124" s="8"/>
      <c r="J124" s="8"/>
      <c r="K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</row>
    <row r="125" spans="1:116" x14ac:dyDescent="0.3">
      <c r="A125" s="8"/>
      <c r="B125" s="8"/>
      <c r="C125" s="30"/>
      <c r="D125" s="8"/>
      <c r="E125" s="8"/>
      <c r="F125" s="8"/>
      <c r="G125" s="8"/>
      <c r="H125" s="8"/>
      <c r="I125" s="8"/>
      <c r="J125" s="8"/>
      <c r="K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</row>
    <row r="126" spans="1:116" x14ac:dyDescent="0.3">
      <c r="A126" s="8"/>
      <c r="B126" s="8"/>
      <c r="C126" s="30"/>
      <c r="D126" s="8"/>
      <c r="E126" s="8"/>
      <c r="F126" s="8"/>
      <c r="G126" s="8"/>
      <c r="H126" s="8"/>
      <c r="I126" s="8"/>
      <c r="J126" s="8"/>
      <c r="K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</row>
    <row r="127" spans="1:116" x14ac:dyDescent="0.3">
      <c r="A127" s="8"/>
      <c r="B127" s="8"/>
      <c r="C127" s="30"/>
      <c r="D127" s="8"/>
      <c r="E127" s="8"/>
      <c r="F127" s="8"/>
      <c r="G127" s="8"/>
      <c r="H127" s="8"/>
      <c r="I127" s="8"/>
      <c r="J127" s="8"/>
      <c r="K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</row>
    <row r="128" spans="1:116" x14ac:dyDescent="0.3">
      <c r="A128" s="8"/>
      <c r="B128" s="8"/>
      <c r="C128" s="30"/>
      <c r="D128" s="8"/>
      <c r="E128" s="8"/>
      <c r="F128" s="8"/>
      <c r="G128" s="8"/>
      <c r="H128" s="8"/>
      <c r="I128" s="8"/>
      <c r="J128" s="8"/>
      <c r="K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</row>
    <row r="129" spans="1:116" x14ac:dyDescent="0.3">
      <c r="A129" s="8"/>
      <c r="B129" s="8"/>
      <c r="C129" s="30"/>
      <c r="D129" s="8"/>
      <c r="E129" s="8"/>
      <c r="F129" s="8"/>
      <c r="G129" s="8"/>
      <c r="H129" s="8"/>
      <c r="I129" s="8"/>
      <c r="J129" s="8"/>
      <c r="K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</row>
    <row r="130" spans="1:116" x14ac:dyDescent="0.3">
      <c r="A130" s="8"/>
      <c r="B130" s="8"/>
      <c r="C130" s="30"/>
      <c r="D130" s="8"/>
      <c r="E130" s="8"/>
      <c r="F130" s="8"/>
      <c r="G130" s="8"/>
      <c r="H130" s="8"/>
      <c r="I130" s="8"/>
      <c r="J130" s="8"/>
      <c r="K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</row>
    <row r="131" spans="1:116" x14ac:dyDescent="0.3">
      <c r="A131" s="8"/>
      <c r="B131" s="8"/>
      <c r="C131" s="30"/>
      <c r="D131" s="8"/>
      <c r="E131" s="8"/>
      <c r="F131" s="8"/>
      <c r="G131" s="8"/>
      <c r="H131" s="8"/>
      <c r="I131" s="8"/>
      <c r="J131" s="8"/>
      <c r="K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</row>
    <row r="132" spans="1:116" x14ac:dyDescent="0.3">
      <c r="A132" s="8"/>
      <c r="B132" s="8"/>
      <c r="C132" s="30"/>
      <c r="D132" s="8"/>
      <c r="E132" s="8"/>
      <c r="F132" s="8"/>
      <c r="G132" s="8"/>
      <c r="H132" s="8"/>
      <c r="I132" s="8"/>
      <c r="J132" s="8"/>
      <c r="K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</row>
    <row r="133" spans="1:116" x14ac:dyDescent="0.3">
      <c r="A133" s="8"/>
      <c r="B133" s="8"/>
      <c r="C133" s="30"/>
      <c r="D133" s="8"/>
      <c r="E133" s="8"/>
      <c r="F133" s="8"/>
      <c r="G133" s="8"/>
      <c r="H133" s="8"/>
      <c r="I133" s="8"/>
      <c r="J133" s="8"/>
      <c r="K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</row>
    <row r="134" spans="1:116" x14ac:dyDescent="0.3">
      <c r="A134" s="8"/>
      <c r="B134" s="8"/>
      <c r="C134" s="30"/>
      <c r="D134" s="8"/>
      <c r="E134" s="8"/>
      <c r="F134" s="8"/>
      <c r="G134" s="8"/>
      <c r="H134" s="8"/>
      <c r="I134" s="8"/>
      <c r="J134" s="8"/>
      <c r="K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</row>
    <row r="135" spans="1:116" x14ac:dyDescent="0.3">
      <c r="A135" s="8"/>
      <c r="B135" s="8"/>
      <c r="C135" s="30"/>
      <c r="D135" s="8"/>
      <c r="E135" s="8"/>
      <c r="F135" s="8"/>
      <c r="G135" s="8"/>
      <c r="H135" s="8"/>
      <c r="I135" s="8"/>
      <c r="J135" s="8"/>
      <c r="K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</row>
    <row r="136" spans="1:116" x14ac:dyDescent="0.3">
      <c r="A136" s="8"/>
      <c r="B136" s="8"/>
      <c r="C136" s="30"/>
      <c r="D136" s="8"/>
      <c r="E136" s="8"/>
      <c r="F136" s="8"/>
      <c r="G136" s="8"/>
      <c r="H136" s="8"/>
      <c r="I136" s="8"/>
      <c r="J136" s="8"/>
      <c r="K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</row>
    <row r="137" spans="1:116" x14ac:dyDescent="0.3">
      <c r="A137" s="8"/>
      <c r="B137" s="8"/>
      <c r="C137" s="30"/>
      <c r="D137" s="8"/>
      <c r="E137" s="8"/>
      <c r="F137" s="8"/>
      <c r="G137" s="8"/>
      <c r="H137" s="8"/>
      <c r="I137" s="8"/>
      <c r="J137" s="8"/>
      <c r="K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</row>
    <row r="138" spans="1:116" x14ac:dyDescent="0.3">
      <c r="A138" s="8"/>
      <c r="B138" s="8"/>
      <c r="C138" s="30"/>
      <c r="D138" s="8"/>
      <c r="E138" s="8"/>
      <c r="F138" s="8"/>
      <c r="G138" s="8"/>
      <c r="H138" s="8"/>
      <c r="I138" s="8"/>
      <c r="J138" s="8"/>
      <c r="K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</row>
    <row r="139" spans="1:116" x14ac:dyDescent="0.3">
      <c r="A139" s="8"/>
      <c r="B139" s="8"/>
      <c r="C139" s="30"/>
      <c r="D139" s="8"/>
      <c r="E139" s="8"/>
      <c r="F139" s="8"/>
      <c r="G139" s="8"/>
      <c r="H139" s="8"/>
      <c r="I139" s="8"/>
      <c r="J139" s="8"/>
      <c r="K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</row>
    <row r="140" spans="1:116" x14ac:dyDescent="0.3">
      <c r="A140" s="8"/>
      <c r="B140" s="8"/>
      <c r="C140" s="30"/>
      <c r="D140" s="8"/>
      <c r="E140" s="8"/>
      <c r="F140" s="8"/>
      <c r="G140" s="8"/>
      <c r="H140" s="8"/>
      <c r="I140" s="8"/>
      <c r="J140" s="8"/>
      <c r="K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</row>
    <row r="141" spans="1:116" x14ac:dyDescent="0.3">
      <c r="A141" s="8"/>
      <c r="B141" s="8"/>
      <c r="C141" s="30"/>
      <c r="D141" s="8"/>
      <c r="E141" s="8"/>
      <c r="F141" s="8"/>
      <c r="G141" s="8"/>
      <c r="H141" s="8"/>
      <c r="I141" s="8"/>
      <c r="J141" s="8"/>
      <c r="K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</row>
    <row r="142" spans="1:116" x14ac:dyDescent="0.3">
      <c r="A142" s="8"/>
      <c r="B142" s="8"/>
      <c r="C142" s="30"/>
      <c r="D142" s="8"/>
      <c r="E142" s="8"/>
      <c r="F142" s="8"/>
      <c r="G142" s="8"/>
      <c r="H142" s="8"/>
      <c r="I142" s="8"/>
      <c r="J142" s="8"/>
      <c r="K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</row>
    <row r="143" spans="1:116" x14ac:dyDescent="0.3">
      <c r="A143" s="8"/>
      <c r="B143" s="8"/>
      <c r="C143" s="30"/>
      <c r="D143" s="8"/>
      <c r="E143" s="8"/>
      <c r="F143" s="8"/>
      <c r="G143" s="8"/>
      <c r="H143" s="8"/>
      <c r="I143" s="8"/>
      <c r="J143" s="8"/>
      <c r="K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</row>
    <row r="144" spans="1:116" x14ac:dyDescent="0.3">
      <c r="A144" s="8"/>
      <c r="B144" s="8"/>
      <c r="C144" s="30"/>
      <c r="D144" s="8"/>
      <c r="E144" s="8"/>
      <c r="F144" s="8"/>
      <c r="G144" s="8"/>
      <c r="H144" s="8"/>
      <c r="I144" s="8"/>
      <c r="J144" s="8"/>
      <c r="K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</row>
    <row r="145" spans="1:116" x14ac:dyDescent="0.3">
      <c r="A145" s="8"/>
      <c r="B145" s="8"/>
      <c r="C145" s="30"/>
      <c r="D145" s="8"/>
      <c r="E145" s="8"/>
      <c r="F145" s="8"/>
      <c r="G145" s="8"/>
      <c r="H145" s="8"/>
      <c r="I145" s="8"/>
      <c r="J145" s="8"/>
      <c r="K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</row>
    <row r="146" spans="1:116" x14ac:dyDescent="0.3">
      <c r="A146" s="8"/>
      <c r="B146" s="8"/>
      <c r="C146" s="30"/>
      <c r="D146" s="8"/>
      <c r="E146" s="8"/>
      <c r="F146" s="8"/>
      <c r="G146" s="8"/>
      <c r="H146" s="8"/>
      <c r="I146" s="8"/>
      <c r="J146" s="8"/>
      <c r="K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</row>
    <row r="147" spans="1:116" x14ac:dyDescent="0.3">
      <c r="A147" s="8"/>
      <c r="B147" s="8"/>
      <c r="C147" s="30"/>
      <c r="D147" s="8"/>
      <c r="E147" s="8"/>
      <c r="F147" s="8"/>
      <c r="G147" s="8"/>
      <c r="H147" s="8"/>
      <c r="I147" s="8"/>
      <c r="J147" s="8"/>
      <c r="K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</row>
    <row r="148" spans="1:116" x14ac:dyDescent="0.3">
      <c r="A148" s="8"/>
      <c r="B148" s="8"/>
      <c r="C148" s="30"/>
      <c r="D148" s="8"/>
      <c r="E148" s="8"/>
      <c r="F148" s="8"/>
      <c r="G148" s="8"/>
      <c r="H148" s="8"/>
      <c r="I148" s="8"/>
      <c r="J148" s="8"/>
      <c r="K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</row>
    <row r="149" spans="1:116" x14ac:dyDescent="0.3">
      <c r="A149" s="8"/>
      <c r="B149" s="8"/>
      <c r="C149" s="30"/>
      <c r="D149" s="8"/>
      <c r="E149" s="8"/>
      <c r="F149" s="8"/>
      <c r="G149" s="8"/>
      <c r="H149" s="8"/>
      <c r="I149" s="8"/>
      <c r="J149" s="8"/>
      <c r="K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</row>
    <row r="150" spans="1:116" x14ac:dyDescent="0.3">
      <c r="A150" s="8"/>
      <c r="B150" s="8"/>
      <c r="C150" s="30"/>
      <c r="D150" s="8"/>
      <c r="E150" s="8"/>
      <c r="F150" s="8"/>
      <c r="G150" s="8"/>
      <c r="H150" s="8"/>
      <c r="I150" s="8"/>
      <c r="J150" s="8"/>
      <c r="K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</row>
    <row r="151" spans="1:116" x14ac:dyDescent="0.3">
      <c r="A151" s="8"/>
      <c r="B151" s="8"/>
      <c r="C151" s="30"/>
      <c r="D151" s="8"/>
      <c r="E151" s="8"/>
      <c r="F151" s="8"/>
      <c r="G151" s="8"/>
      <c r="H151" s="8"/>
      <c r="I151" s="8"/>
      <c r="J151" s="8"/>
      <c r="K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</row>
    <row r="152" spans="1:116" x14ac:dyDescent="0.3">
      <c r="A152" s="8"/>
      <c r="B152" s="8"/>
      <c r="C152" s="30"/>
      <c r="D152" s="8"/>
      <c r="E152" s="8"/>
      <c r="F152" s="8"/>
      <c r="G152" s="8"/>
      <c r="H152" s="8"/>
      <c r="I152" s="8"/>
      <c r="J152" s="8"/>
      <c r="K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</row>
    <row r="153" spans="1:116" x14ac:dyDescent="0.3">
      <c r="A153" s="8"/>
      <c r="B153" s="8"/>
      <c r="C153" s="30"/>
      <c r="D153" s="8"/>
      <c r="E153" s="8"/>
      <c r="F153" s="8"/>
      <c r="G153" s="8"/>
      <c r="H153" s="8"/>
      <c r="I153" s="8"/>
      <c r="J153" s="8"/>
      <c r="K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</row>
    <row r="154" spans="1:116" x14ac:dyDescent="0.3">
      <c r="A154" s="8"/>
      <c r="B154" s="8"/>
      <c r="C154" s="30"/>
      <c r="D154" s="8"/>
      <c r="E154" s="8"/>
      <c r="F154" s="8"/>
      <c r="G154" s="8"/>
      <c r="H154" s="8"/>
      <c r="I154" s="8"/>
      <c r="J154" s="8"/>
      <c r="K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</row>
    <row r="155" spans="1:116" x14ac:dyDescent="0.3">
      <c r="A155" s="8"/>
      <c r="B155" s="8"/>
      <c r="C155" s="30"/>
      <c r="D155" s="8"/>
      <c r="E155" s="8"/>
      <c r="F155" s="8"/>
      <c r="G155" s="8"/>
      <c r="H155" s="8"/>
      <c r="I155" s="8"/>
      <c r="J155" s="8"/>
      <c r="K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</row>
    <row r="156" spans="1:116" x14ac:dyDescent="0.3">
      <c r="A156" s="8"/>
      <c r="B156" s="8"/>
      <c r="C156" s="30"/>
      <c r="D156" s="8"/>
      <c r="E156" s="8"/>
      <c r="F156" s="8"/>
      <c r="G156" s="8"/>
      <c r="H156" s="8"/>
      <c r="I156" s="8"/>
      <c r="J156" s="8"/>
      <c r="K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</row>
    <row r="157" spans="1:116" x14ac:dyDescent="0.3">
      <c r="A157" s="8"/>
      <c r="B157" s="8"/>
      <c r="C157" s="30"/>
      <c r="D157" s="8"/>
      <c r="E157" s="8"/>
      <c r="F157" s="8"/>
      <c r="G157" s="8"/>
      <c r="H157" s="8"/>
      <c r="I157" s="8"/>
      <c r="J157" s="8"/>
      <c r="K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</row>
    <row r="158" spans="1:116" x14ac:dyDescent="0.3">
      <c r="A158" s="8"/>
      <c r="B158" s="8"/>
      <c r="C158" s="30"/>
      <c r="D158" s="8"/>
      <c r="E158" s="8"/>
      <c r="F158" s="8"/>
      <c r="G158" s="8"/>
      <c r="H158" s="8"/>
      <c r="I158" s="8"/>
      <c r="J158" s="8"/>
      <c r="K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</row>
    <row r="159" spans="1:116" x14ac:dyDescent="0.3">
      <c r="A159" s="8"/>
      <c r="B159" s="8"/>
      <c r="C159" s="30"/>
      <c r="D159" s="8"/>
      <c r="E159" s="8"/>
      <c r="F159" s="8"/>
      <c r="G159" s="8"/>
      <c r="H159" s="8"/>
      <c r="I159" s="8"/>
      <c r="J159" s="8"/>
      <c r="K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</row>
    <row r="160" spans="1:116" x14ac:dyDescent="0.3">
      <c r="A160" s="8"/>
      <c r="B160" s="8"/>
      <c r="C160" s="30"/>
      <c r="D160" s="8"/>
      <c r="E160" s="8"/>
      <c r="F160" s="8"/>
      <c r="G160" s="8"/>
      <c r="H160" s="8"/>
      <c r="I160" s="8"/>
      <c r="J160" s="8"/>
      <c r="K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</row>
    <row r="161" spans="1:116" x14ac:dyDescent="0.3">
      <c r="A161" s="8"/>
      <c r="B161" s="8"/>
      <c r="C161" s="30"/>
      <c r="D161" s="8"/>
      <c r="E161" s="8"/>
      <c r="F161" s="8"/>
      <c r="G161" s="8"/>
      <c r="H161" s="8"/>
      <c r="I161" s="8"/>
      <c r="J161" s="8"/>
      <c r="K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</row>
    <row r="162" spans="1:116" x14ac:dyDescent="0.3">
      <c r="A162" s="8"/>
      <c r="B162" s="8"/>
      <c r="C162" s="30"/>
      <c r="D162" s="8"/>
      <c r="E162" s="8"/>
      <c r="F162" s="8"/>
      <c r="G162" s="8"/>
      <c r="H162" s="8"/>
      <c r="I162" s="8"/>
      <c r="J162" s="8"/>
      <c r="K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</row>
    <row r="163" spans="1:116" x14ac:dyDescent="0.3">
      <c r="A163" s="8"/>
      <c r="B163" s="8"/>
      <c r="C163" s="30"/>
      <c r="D163" s="8"/>
      <c r="E163" s="8"/>
      <c r="F163" s="8"/>
      <c r="G163" s="8"/>
      <c r="H163" s="8"/>
      <c r="I163" s="8"/>
      <c r="J163" s="8"/>
      <c r="K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</row>
    <row r="164" spans="1:116" x14ac:dyDescent="0.3">
      <c r="A164" s="8"/>
      <c r="B164" s="8"/>
      <c r="C164" s="30"/>
      <c r="D164" s="8"/>
      <c r="E164" s="8"/>
      <c r="F164" s="8"/>
      <c r="G164" s="8"/>
      <c r="H164" s="8"/>
      <c r="I164" s="8"/>
      <c r="J164" s="8"/>
      <c r="K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</row>
    <row r="165" spans="1:116" x14ac:dyDescent="0.3">
      <c r="A165" s="8"/>
      <c r="B165" s="8"/>
      <c r="C165" s="30"/>
      <c r="D165" s="8"/>
      <c r="E165" s="8"/>
      <c r="F165" s="8"/>
      <c r="G165" s="8"/>
      <c r="H165" s="8"/>
      <c r="I165" s="8"/>
      <c r="J165" s="8"/>
      <c r="K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</row>
    <row r="166" spans="1:116" x14ac:dyDescent="0.3">
      <c r="A166" s="8"/>
      <c r="B166" s="8"/>
      <c r="C166" s="30"/>
      <c r="D166" s="8"/>
      <c r="E166" s="8"/>
      <c r="F166" s="8"/>
      <c r="G166" s="8"/>
      <c r="H166" s="8"/>
      <c r="I166" s="8"/>
      <c r="J166" s="8"/>
      <c r="K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</row>
    <row r="167" spans="1:116" x14ac:dyDescent="0.3">
      <c r="A167" s="8"/>
      <c r="B167" s="8"/>
      <c r="C167" s="30"/>
      <c r="D167" s="8"/>
      <c r="E167" s="8"/>
      <c r="F167" s="8"/>
      <c r="G167" s="8"/>
      <c r="H167" s="8"/>
      <c r="I167" s="8"/>
      <c r="J167" s="8"/>
      <c r="K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</row>
    <row r="168" spans="1:116" x14ac:dyDescent="0.3">
      <c r="A168" s="8"/>
      <c r="B168" s="8"/>
      <c r="C168" s="30"/>
      <c r="D168" s="8"/>
      <c r="E168" s="8"/>
      <c r="F168" s="8"/>
      <c r="G168" s="8"/>
      <c r="H168" s="8"/>
      <c r="I168" s="8"/>
      <c r="J168" s="8"/>
      <c r="K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</row>
    <row r="169" spans="1:116" x14ac:dyDescent="0.3">
      <c r="A169" s="8"/>
      <c r="B169" s="8"/>
      <c r="C169" s="30"/>
      <c r="D169" s="8"/>
      <c r="E169" s="8"/>
      <c r="F169" s="8"/>
      <c r="G169" s="8"/>
      <c r="H169" s="8"/>
      <c r="I169" s="8"/>
      <c r="J169" s="8"/>
      <c r="K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</row>
    <row r="170" spans="1:116" x14ac:dyDescent="0.3">
      <c r="A170" s="8"/>
      <c r="B170" s="8"/>
      <c r="C170" s="30"/>
      <c r="D170" s="8"/>
      <c r="E170" s="8"/>
      <c r="F170" s="8"/>
      <c r="G170" s="8"/>
      <c r="H170" s="8"/>
      <c r="I170" s="8"/>
      <c r="J170" s="8"/>
      <c r="K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</row>
    <row r="171" spans="1:116" x14ac:dyDescent="0.3">
      <c r="A171" s="8"/>
      <c r="B171" s="8"/>
      <c r="C171" s="30"/>
      <c r="D171" s="8"/>
      <c r="E171" s="8"/>
      <c r="F171" s="8"/>
      <c r="G171" s="8"/>
      <c r="H171" s="8"/>
      <c r="I171" s="8"/>
      <c r="J171" s="8"/>
      <c r="K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</row>
    <row r="172" spans="1:116" x14ac:dyDescent="0.3">
      <c r="A172" s="8"/>
      <c r="B172" s="8"/>
      <c r="C172" s="30"/>
      <c r="D172" s="8"/>
      <c r="E172" s="8"/>
      <c r="F172" s="8"/>
      <c r="G172" s="8"/>
      <c r="H172" s="8"/>
      <c r="I172" s="8"/>
      <c r="J172" s="8"/>
      <c r="K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</row>
    <row r="173" spans="1:116" x14ac:dyDescent="0.3">
      <c r="A173" s="8"/>
      <c r="B173" s="8"/>
      <c r="C173" s="30"/>
      <c r="D173" s="8"/>
      <c r="E173" s="8"/>
      <c r="F173" s="8"/>
      <c r="G173" s="8"/>
      <c r="H173" s="8"/>
      <c r="I173" s="8"/>
      <c r="J173" s="8"/>
      <c r="K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</row>
    <row r="174" spans="1:116" x14ac:dyDescent="0.3">
      <c r="A174" s="8"/>
      <c r="B174" s="8"/>
      <c r="C174" s="30"/>
      <c r="D174" s="8"/>
      <c r="E174" s="8"/>
      <c r="F174" s="8"/>
      <c r="G174" s="8"/>
      <c r="H174" s="8"/>
      <c r="I174" s="8"/>
      <c r="J174" s="8"/>
      <c r="K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</row>
    <row r="175" spans="1:116" x14ac:dyDescent="0.3">
      <c r="A175" s="8"/>
      <c r="B175" s="8"/>
      <c r="C175" s="30"/>
      <c r="D175" s="8"/>
      <c r="E175" s="8"/>
      <c r="F175" s="8"/>
      <c r="G175" s="8"/>
      <c r="H175" s="8"/>
      <c r="I175" s="8"/>
      <c r="J175" s="8"/>
      <c r="K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</row>
    <row r="176" spans="1:116" x14ac:dyDescent="0.3">
      <c r="A176" s="8"/>
      <c r="B176" s="8"/>
      <c r="C176" s="30"/>
      <c r="D176" s="8"/>
      <c r="E176" s="8"/>
      <c r="F176" s="8"/>
      <c r="G176" s="8"/>
      <c r="H176" s="8"/>
      <c r="I176" s="8"/>
      <c r="J176" s="8"/>
      <c r="K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</row>
    <row r="177" spans="1:116" x14ac:dyDescent="0.3">
      <c r="A177" s="8"/>
      <c r="B177" s="8"/>
      <c r="C177" s="30"/>
      <c r="D177" s="8"/>
      <c r="E177" s="8"/>
      <c r="F177" s="8"/>
      <c r="G177" s="8"/>
      <c r="H177" s="8"/>
      <c r="I177" s="8"/>
      <c r="J177" s="8"/>
      <c r="K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</row>
    <row r="178" spans="1:116" x14ac:dyDescent="0.3">
      <c r="A178" s="8"/>
      <c r="B178" s="8"/>
      <c r="C178" s="30"/>
      <c r="D178" s="8"/>
      <c r="E178" s="8"/>
      <c r="F178" s="8"/>
      <c r="G178" s="8"/>
      <c r="H178" s="8"/>
      <c r="I178" s="8"/>
      <c r="J178" s="8"/>
      <c r="K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</row>
    <row r="179" spans="1:116" x14ac:dyDescent="0.3">
      <c r="A179" s="8"/>
      <c r="B179" s="8"/>
      <c r="C179" s="30"/>
      <c r="D179" s="8"/>
      <c r="E179" s="8"/>
      <c r="F179" s="8"/>
      <c r="G179" s="8"/>
      <c r="H179" s="8"/>
      <c r="I179" s="8"/>
      <c r="J179" s="8"/>
      <c r="K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</row>
    <row r="180" spans="1:116" x14ac:dyDescent="0.3">
      <c r="A180" s="8"/>
      <c r="B180" s="8"/>
      <c r="C180" s="30"/>
      <c r="D180" s="8"/>
      <c r="E180" s="8"/>
      <c r="F180" s="8"/>
      <c r="G180" s="8"/>
      <c r="H180" s="8"/>
      <c r="I180" s="8"/>
      <c r="J180" s="8"/>
      <c r="K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</row>
    <row r="181" spans="1:116" x14ac:dyDescent="0.3">
      <c r="A181" s="8"/>
      <c r="B181" s="8"/>
      <c r="C181" s="30"/>
      <c r="D181" s="8"/>
      <c r="E181" s="8"/>
      <c r="F181" s="8"/>
      <c r="G181" s="8"/>
      <c r="H181" s="8"/>
      <c r="I181" s="8"/>
      <c r="J181" s="8"/>
      <c r="K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</row>
    <row r="182" spans="1:116" x14ac:dyDescent="0.3">
      <c r="A182" s="8"/>
      <c r="B182" s="8"/>
      <c r="C182" s="30"/>
      <c r="D182" s="8"/>
      <c r="E182" s="8"/>
      <c r="F182" s="8"/>
      <c r="G182" s="8"/>
      <c r="H182" s="8"/>
      <c r="I182" s="8"/>
      <c r="J182" s="8"/>
      <c r="K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</row>
    <row r="183" spans="1:116" x14ac:dyDescent="0.3">
      <c r="A183" s="8"/>
      <c r="B183" s="8"/>
      <c r="C183" s="30"/>
      <c r="D183" s="8"/>
      <c r="E183" s="8"/>
      <c r="F183" s="8"/>
      <c r="G183" s="8"/>
      <c r="H183" s="8"/>
      <c r="I183" s="8"/>
      <c r="J183" s="8"/>
      <c r="K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</row>
    <row r="184" spans="1:116" x14ac:dyDescent="0.3">
      <c r="A184" s="8"/>
      <c r="B184" s="8"/>
      <c r="C184" s="30"/>
      <c r="D184" s="8"/>
      <c r="E184" s="8"/>
      <c r="F184" s="8"/>
      <c r="G184" s="8"/>
      <c r="H184" s="8"/>
      <c r="I184" s="8"/>
      <c r="J184" s="8"/>
      <c r="K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</row>
    <row r="185" spans="1:116" x14ac:dyDescent="0.3">
      <c r="A185" s="8"/>
      <c r="B185" s="8"/>
      <c r="C185" s="30"/>
      <c r="D185" s="8"/>
      <c r="E185" s="8"/>
      <c r="F185" s="8"/>
      <c r="G185" s="8"/>
      <c r="H185" s="8"/>
      <c r="I185" s="8"/>
      <c r="J185" s="8"/>
      <c r="K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</row>
    <row r="186" spans="1:116" x14ac:dyDescent="0.3">
      <c r="A186" s="8"/>
      <c r="B186" s="8"/>
      <c r="C186" s="30"/>
      <c r="D186" s="8"/>
      <c r="E186" s="8"/>
      <c r="F186" s="8"/>
      <c r="G186" s="8"/>
      <c r="H186" s="8"/>
      <c r="I186" s="8"/>
      <c r="J186" s="8"/>
      <c r="K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</row>
    <row r="187" spans="1:116" x14ac:dyDescent="0.3">
      <c r="A187" s="8"/>
      <c r="B187" s="8"/>
      <c r="C187" s="30"/>
      <c r="D187" s="8"/>
      <c r="E187" s="8"/>
      <c r="F187" s="8"/>
      <c r="G187" s="8"/>
      <c r="H187" s="8"/>
      <c r="I187" s="8"/>
      <c r="J187" s="8"/>
      <c r="K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</row>
    <row r="188" spans="1:116" x14ac:dyDescent="0.3">
      <c r="A188" s="8"/>
      <c r="B188" s="8"/>
      <c r="C188" s="30"/>
      <c r="D188" s="8"/>
      <c r="E188" s="8"/>
      <c r="F188" s="8"/>
      <c r="G188" s="8"/>
      <c r="H188" s="8"/>
      <c r="I188" s="8"/>
      <c r="J188" s="8"/>
      <c r="K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</row>
    <row r="189" spans="1:116" x14ac:dyDescent="0.3">
      <c r="A189" s="8"/>
      <c r="B189" s="8"/>
      <c r="C189" s="30"/>
      <c r="D189" s="8"/>
      <c r="E189" s="8"/>
      <c r="F189" s="8"/>
      <c r="G189" s="8"/>
      <c r="H189" s="8"/>
      <c r="I189" s="8"/>
      <c r="J189" s="8"/>
      <c r="K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</row>
    <row r="190" spans="1:116" x14ac:dyDescent="0.3">
      <c r="A190" s="8"/>
      <c r="B190" s="8"/>
      <c r="C190" s="30"/>
      <c r="D190" s="8"/>
      <c r="E190" s="8"/>
      <c r="F190" s="8"/>
      <c r="G190" s="8"/>
      <c r="H190" s="8"/>
      <c r="I190" s="8"/>
      <c r="J190" s="8"/>
      <c r="K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</row>
    <row r="191" spans="1:116" x14ac:dyDescent="0.3">
      <c r="A191" s="8"/>
      <c r="B191" s="8"/>
      <c r="C191" s="30"/>
      <c r="D191" s="8"/>
      <c r="E191" s="8"/>
      <c r="F191" s="8"/>
      <c r="G191" s="8"/>
      <c r="H191" s="8"/>
      <c r="I191" s="8"/>
      <c r="J191" s="8"/>
      <c r="K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</row>
    <row r="192" spans="1:116" x14ac:dyDescent="0.3">
      <c r="A192" s="8"/>
      <c r="B192" s="8"/>
      <c r="C192" s="30"/>
      <c r="D192" s="8"/>
      <c r="E192" s="8"/>
      <c r="F192" s="8"/>
      <c r="G192" s="8"/>
      <c r="H192" s="8"/>
      <c r="I192" s="8"/>
      <c r="J192" s="8"/>
      <c r="K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</row>
    <row r="193" spans="1:116" x14ac:dyDescent="0.3">
      <c r="A193" s="8"/>
      <c r="B193" s="8"/>
      <c r="C193" s="30"/>
      <c r="D193" s="8"/>
      <c r="E193" s="8"/>
      <c r="F193" s="8"/>
      <c r="G193" s="8"/>
      <c r="H193" s="8"/>
      <c r="I193" s="8"/>
      <c r="J193" s="8"/>
      <c r="K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</row>
    <row r="194" spans="1:116" x14ac:dyDescent="0.3">
      <c r="A194" s="8"/>
      <c r="B194" s="8"/>
      <c r="C194" s="30"/>
      <c r="D194" s="8"/>
      <c r="E194" s="8"/>
      <c r="F194" s="8"/>
      <c r="G194" s="8"/>
      <c r="H194" s="8"/>
      <c r="I194" s="8"/>
      <c r="J194" s="8"/>
      <c r="K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</row>
    <row r="195" spans="1:116" x14ac:dyDescent="0.3">
      <c r="A195" s="8"/>
      <c r="B195" s="8"/>
      <c r="C195" s="30"/>
      <c r="D195" s="8"/>
      <c r="E195" s="8"/>
      <c r="F195" s="8"/>
      <c r="G195" s="8"/>
      <c r="H195" s="8"/>
      <c r="I195" s="8"/>
      <c r="J195" s="8"/>
      <c r="K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</row>
    <row r="196" spans="1:116" x14ac:dyDescent="0.3">
      <c r="A196" s="8"/>
      <c r="B196" s="8"/>
      <c r="C196" s="30"/>
      <c r="D196" s="8"/>
      <c r="E196" s="8"/>
      <c r="F196" s="8"/>
      <c r="G196" s="8"/>
      <c r="H196" s="8"/>
      <c r="I196" s="8"/>
      <c r="J196" s="8"/>
      <c r="K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</row>
    <row r="197" spans="1:116" x14ac:dyDescent="0.3">
      <c r="A197" s="8"/>
      <c r="B197" s="8"/>
      <c r="C197" s="30"/>
      <c r="D197" s="8"/>
      <c r="E197" s="8"/>
      <c r="F197" s="8"/>
      <c r="G197" s="8"/>
      <c r="H197" s="8"/>
      <c r="I197" s="8"/>
      <c r="J197" s="8"/>
      <c r="K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</row>
    <row r="198" spans="1:116" x14ac:dyDescent="0.3">
      <c r="A198" s="8"/>
      <c r="B198" s="8"/>
      <c r="C198" s="30"/>
      <c r="D198" s="8"/>
      <c r="E198" s="8"/>
      <c r="F198" s="8"/>
      <c r="G198" s="8"/>
      <c r="H198" s="8"/>
      <c r="I198" s="8"/>
      <c r="J198" s="8"/>
      <c r="K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</row>
    <row r="199" spans="1:116" x14ac:dyDescent="0.3">
      <c r="A199" s="8"/>
      <c r="B199" s="8"/>
      <c r="C199" s="30"/>
      <c r="D199" s="8"/>
      <c r="E199" s="8"/>
      <c r="F199" s="8"/>
      <c r="G199" s="8"/>
      <c r="H199" s="8"/>
      <c r="I199" s="8"/>
      <c r="J199" s="8"/>
      <c r="K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</row>
    <row r="200" spans="1:116" x14ac:dyDescent="0.3">
      <c r="A200" s="8"/>
      <c r="B200" s="8"/>
      <c r="C200" s="30"/>
      <c r="D200" s="8"/>
      <c r="E200" s="8"/>
      <c r="F200" s="8"/>
      <c r="G200" s="8"/>
      <c r="H200" s="8"/>
      <c r="I200" s="8"/>
      <c r="J200" s="8"/>
      <c r="K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</row>
    <row r="201" spans="1:116" x14ac:dyDescent="0.3">
      <c r="A201" s="8"/>
      <c r="B201" s="8"/>
      <c r="C201" s="30"/>
      <c r="D201" s="8"/>
      <c r="E201" s="8"/>
      <c r="F201" s="8"/>
      <c r="G201" s="8"/>
      <c r="H201" s="8"/>
      <c r="I201" s="8"/>
      <c r="J201" s="8"/>
      <c r="K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</row>
    <row r="202" spans="1:116" x14ac:dyDescent="0.3">
      <c r="A202" s="8"/>
      <c r="B202" s="8"/>
      <c r="C202" s="30"/>
      <c r="D202" s="8"/>
      <c r="E202" s="8"/>
      <c r="F202" s="8"/>
      <c r="G202" s="8"/>
      <c r="H202" s="8"/>
      <c r="I202" s="8"/>
      <c r="J202" s="8"/>
      <c r="K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</row>
    <row r="203" spans="1:116" x14ac:dyDescent="0.3">
      <c r="A203" s="8"/>
      <c r="B203" s="8"/>
      <c r="C203" s="30"/>
      <c r="D203" s="8"/>
      <c r="E203" s="8"/>
      <c r="F203" s="8"/>
      <c r="G203" s="8"/>
      <c r="H203" s="8"/>
      <c r="I203" s="8"/>
      <c r="J203" s="8"/>
      <c r="K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</row>
    <row r="204" spans="1:116" x14ac:dyDescent="0.3">
      <c r="A204" s="8"/>
      <c r="B204" s="8"/>
      <c r="C204" s="30"/>
      <c r="D204" s="8"/>
      <c r="E204" s="8"/>
      <c r="F204" s="8"/>
      <c r="G204" s="8"/>
      <c r="H204" s="8"/>
      <c r="I204" s="8"/>
      <c r="J204" s="8"/>
      <c r="K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</row>
    <row r="205" spans="1:116" x14ac:dyDescent="0.3">
      <c r="A205" s="8"/>
      <c r="B205" s="8"/>
      <c r="C205" s="30"/>
      <c r="D205" s="8"/>
      <c r="E205" s="8"/>
      <c r="F205" s="8"/>
      <c r="G205" s="8"/>
      <c r="H205" s="8"/>
      <c r="I205" s="8"/>
      <c r="J205" s="8"/>
      <c r="K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</row>
    <row r="206" spans="1:116" x14ac:dyDescent="0.3">
      <c r="A206" s="8"/>
      <c r="B206" s="8"/>
      <c r="C206" s="30"/>
      <c r="D206" s="8"/>
      <c r="E206" s="8"/>
      <c r="F206" s="8"/>
      <c r="G206" s="8"/>
      <c r="H206" s="8"/>
      <c r="I206" s="8"/>
      <c r="J206" s="8"/>
      <c r="K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</row>
    <row r="207" spans="1:116" x14ac:dyDescent="0.3">
      <c r="A207" s="8"/>
      <c r="B207" s="8"/>
      <c r="C207" s="30"/>
      <c r="D207" s="8"/>
      <c r="E207" s="8"/>
      <c r="F207" s="8"/>
      <c r="G207" s="8"/>
      <c r="H207" s="8"/>
      <c r="I207" s="8"/>
      <c r="J207" s="8"/>
      <c r="K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</row>
    <row r="208" spans="1:116" x14ac:dyDescent="0.3">
      <c r="A208" s="8"/>
      <c r="B208" s="8"/>
      <c r="C208" s="30"/>
      <c r="D208" s="8"/>
      <c r="E208" s="8"/>
      <c r="F208" s="8"/>
      <c r="G208" s="8"/>
      <c r="H208" s="8"/>
      <c r="I208" s="8"/>
      <c r="J208" s="8"/>
      <c r="K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</row>
    <row r="209" spans="1:116" x14ac:dyDescent="0.3">
      <c r="A209" s="8"/>
      <c r="B209" s="8"/>
      <c r="C209" s="30"/>
      <c r="D209" s="8"/>
      <c r="E209" s="8"/>
      <c r="F209" s="8"/>
      <c r="G209" s="8"/>
      <c r="H209" s="8"/>
      <c r="I209" s="8"/>
      <c r="J209" s="8"/>
      <c r="K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</row>
    <row r="210" spans="1:116" x14ac:dyDescent="0.3">
      <c r="A210" s="8"/>
      <c r="B210" s="8"/>
      <c r="C210" s="30"/>
      <c r="D210" s="8"/>
      <c r="E210" s="8"/>
      <c r="F210" s="8"/>
      <c r="G210" s="8"/>
      <c r="H210" s="8"/>
      <c r="I210" s="8"/>
      <c r="J210" s="8"/>
      <c r="K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</row>
    <row r="211" spans="1:116" x14ac:dyDescent="0.3">
      <c r="A211" s="8"/>
      <c r="B211" s="8"/>
      <c r="C211" s="30"/>
      <c r="D211" s="8"/>
      <c r="E211" s="8"/>
      <c r="F211" s="8"/>
      <c r="G211" s="8"/>
      <c r="H211" s="8"/>
      <c r="I211" s="8"/>
      <c r="J211" s="8"/>
      <c r="K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</row>
    <row r="212" spans="1:116" x14ac:dyDescent="0.3">
      <c r="A212" s="8"/>
      <c r="B212" s="8"/>
      <c r="C212" s="30"/>
      <c r="D212" s="8"/>
      <c r="E212" s="8"/>
      <c r="F212" s="8"/>
      <c r="G212" s="8"/>
      <c r="H212" s="8"/>
      <c r="I212" s="8"/>
      <c r="J212" s="8"/>
      <c r="K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</row>
    <row r="213" spans="1:116" x14ac:dyDescent="0.3">
      <c r="A213" s="8"/>
      <c r="B213" s="8"/>
      <c r="C213" s="30"/>
      <c r="D213" s="8"/>
      <c r="E213" s="8"/>
      <c r="F213" s="8"/>
      <c r="G213" s="8"/>
      <c r="H213" s="8"/>
      <c r="I213" s="8"/>
      <c r="J213" s="8"/>
      <c r="K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</row>
    <row r="214" spans="1:116" x14ac:dyDescent="0.3">
      <c r="A214" s="8"/>
      <c r="B214" s="8"/>
      <c r="C214" s="30"/>
      <c r="D214" s="8"/>
      <c r="E214" s="8"/>
      <c r="F214" s="8"/>
      <c r="G214" s="8"/>
      <c r="H214" s="8"/>
      <c r="I214" s="8"/>
      <c r="J214" s="8"/>
      <c r="K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</row>
    <row r="215" spans="1:116" x14ac:dyDescent="0.3">
      <c r="A215" s="8"/>
      <c r="B215" s="8"/>
      <c r="C215" s="30"/>
      <c r="D215" s="8"/>
      <c r="E215" s="8"/>
      <c r="F215" s="8"/>
      <c r="G215" s="8"/>
      <c r="H215" s="8"/>
      <c r="I215" s="8"/>
      <c r="J215" s="8"/>
      <c r="K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</row>
    <row r="216" spans="1:116" x14ac:dyDescent="0.3">
      <c r="A216" s="8"/>
      <c r="B216" s="8"/>
      <c r="C216" s="30"/>
      <c r="D216" s="8"/>
      <c r="E216" s="8"/>
      <c r="F216" s="8"/>
      <c r="G216" s="8"/>
      <c r="H216" s="8"/>
      <c r="I216" s="8"/>
      <c r="J216" s="8"/>
      <c r="K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</row>
    <row r="217" spans="1:116" x14ac:dyDescent="0.3">
      <c r="A217" s="8"/>
      <c r="B217" s="8"/>
      <c r="C217" s="30"/>
      <c r="D217" s="8"/>
      <c r="E217" s="8"/>
      <c r="F217" s="8"/>
      <c r="G217" s="8"/>
      <c r="H217" s="8"/>
      <c r="I217" s="8"/>
      <c r="J217" s="8"/>
      <c r="K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</row>
    <row r="218" spans="1:116" x14ac:dyDescent="0.3">
      <c r="A218" s="8"/>
      <c r="B218" s="8"/>
      <c r="C218" s="30"/>
      <c r="D218" s="8"/>
      <c r="E218" s="8"/>
      <c r="F218" s="8"/>
      <c r="G218" s="8"/>
      <c r="H218" s="8"/>
      <c r="I218" s="8"/>
      <c r="J218" s="8"/>
      <c r="K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</row>
    <row r="219" spans="1:116" x14ac:dyDescent="0.3">
      <c r="A219" s="8"/>
      <c r="B219" s="8"/>
      <c r="C219" s="30"/>
      <c r="D219" s="8"/>
      <c r="E219" s="8"/>
      <c r="F219" s="8"/>
      <c r="G219" s="8"/>
      <c r="H219" s="8"/>
      <c r="I219" s="8"/>
      <c r="J219" s="8"/>
      <c r="K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</row>
    <row r="220" spans="1:116" x14ac:dyDescent="0.3">
      <c r="A220" s="8"/>
      <c r="B220" s="8"/>
      <c r="C220" s="30"/>
      <c r="D220" s="8"/>
      <c r="E220" s="8"/>
      <c r="F220" s="8"/>
      <c r="G220" s="8"/>
      <c r="H220" s="8"/>
      <c r="I220" s="8"/>
      <c r="J220" s="8"/>
      <c r="K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</row>
    <row r="221" spans="1:116" x14ac:dyDescent="0.3">
      <c r="A221" s="8"/>
      <c r="B221" s="8"/>
      <c r="C221" s="30"/>
      <c r="D221" s="8"/>
      <c r="E221" s="8"/>
      <c r="F221" s="8"/>
      <c r="G221" s="8"/>
      <c r="H221" s="8"/>
      <c r="I221" s="8"/>
      <c r="J221" s="8"/>
      <c r="K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</row>
    <row r="222" spans="1:116" x14ac:dyDescent="0.3">
      <c r="A222" s="8"/>
      <c r="B222" s="8"/>
      <c r="C222" s="30"/>
      <c r="D222" s="8"/>
      <c r="E222" s="8"/>
      <c r="F222" s="8"/>
      <c r="G222" s="8"/>
      <c r="H222" s="8"/>
      <c r="I222" s="8"/>
      <c r="J222" s="8"/>
      <c r="K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</row>
    <row r="223" spans="1:116" x14ac:dyDescent="0.3">
      <c r="A223" s="8"/>
      <c r="B223" s="8"/>
      <c r="C223" s="30"/>
      <c r="D223" s="8"/>
      <c r="E223" s="8"/>
      <c r="F223" s="8"/>
      <c r="G223" s="8"/>
      <c r="H223" s="8"/>
      <c r="I223" s="8"/>
      <c r="J223" s="8"/>
      <c r="K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</row>
    <row r="224" spans="1:116" x14ac:dyDescent="0.3">
      <c r="A224" s="8"/>
      <c r="B224" s="8"/>
      <c r="C224" s="30"/>
      <c r="D224" s="8"/>
      <c r="E224" s="8"/>
      <c r="F224" s="8"/>
      <c r="G224" s="8"/>
      <c r="H224" s="8"/>
      <c r="I224" s="8"/>
      <c r="J224" s="8"/>
      <c r="K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</row>
    <row r="225" spans="1:116" x14ac:dyDescent="0.3">
      <c r="A225" s="8"/>
      <c r="B225" s="8"/>
      <c r="C225" s="30"/>
      <c r="D225" s="8"/>
      <c r="E225" s="8"/>
      <c r="F225" s="8"/>
      <c r="G225" s="8"/>
      <c r="H225" s="8"/>
      <c r="I225" s="8"/>
      <c r="J225" s="8"/>
      <c r="K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</row>
    <row r="226" spans="1:116" x14ac:dyDescent="0.3">
      <c r="A226" s="8"/>
      <c r="B226" s="8"/>
      <c r="C226" s="30"/>
      <c r="D226" s="8"/>
      <c r="E226" s="8"/>
      <c r="F226" s="8"/>
      <c r="G226" s="8"/>
      <c r="H226" s="8"/>
      <c r="I226" s="8"/>
      <c r="J226" s="8"/>
      <c r="K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</row>
    <row r="227" spans="1:116" x14ac:dyDescent="0.3">
      <c r="A227" s="8"/>
      <c r="B227" s="8"/>
      <c r="C227" s="30"/>
      <c r="D227" s="8"/>
      <c r="E227" s="8"/>
      <c r="F227" s="8"/>
      <c r="G227" s="8"/>
      <c r="H227" s="8"/>
      <c r="I227" s="8"/>
      <c r="J227" s="8"/>
      <c r="K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</row>
    <row r="228" spans="1:116" x14ac:dyDescent="0.3">
      <c r="A228" s="8"/>
      <c r="B228" s="8"/>
      <c r="C228" s="30"/>
      <c r="D228" s="8"/>
      <c r="E228" s="8"/>
      <c r="F228" s="8"/>
      <c r="G228" s="8"/>
      <c r="H228" s="8"/>
      <c r="I228" s="8"/>
      <c r="J228" s="8"/>
      <c r="K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</row>
    <row r="229" spans="1:116" x14ac:dyDescent="0.3">
      <c r="A229" s="8"/>
      <c r="B229" s="8"/>
      <c r="C229" s="30"/>
      <c r="D229" s="8"/>
      <c r="E229" s="8"/>
      <c r="F229" s="8"/>
      <c r="G229" s="8"/>
      <c r="H229" s="8"/>
      <c r="I229" s="8"/>
      <c r="J229" s="8"/>
      <c r="K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</row>
    <row r="230" spans="1:116" x14ac:dyDescent="0.3">
      <c r="A230" s="8"/>
      <c r="B230" s="8"/>
      <c r="C230" s="30"/>
      <c r="D230" s="8"/>
      <c r="E230" s="8"/>
      <c r="F230" s="8"/>
      <c r="G230" s="8"/>
      <c r="H230" s="8"/>
      <c r="I230" s="8"/>
      <c r="J230" s="8"/>
      <c r="K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</row>
    <row r="231" spans="1:116" x14ac:dyDescent="0.3">
      <c r="A231" s="8"/>
      <c r="B231" s="8"/>
      <c r="C231" s="30"/>
      <c r="D231" s="8"/>
      <c r="E231" s="8"/>
      <c r="F231" s="8"/>
      <c r="G231" s="8"/>
      <c r="H231" s="8"/>
      <c r="I231" s="8"/>
      <c r="J231" s="8"/>
      <c r="K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</row>
    <row r="232" spans="1:116" x14ac:dyDescent="0.3">
      <c r="A232" s="8"/>
      <c r="B232" s="8"/>
      <c r="C232" s="30"/>
      <c r="D232" s="8"/>
      <c r="E232" s="8"/>
      <c r="F232" s="8"/>
      <c r="G232" s="8"/>
      <c r="H232" s="8"/>
      <c r="I232" s="8"/>
      <c r="J232" s="8"/>
      <c r="K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</row>
    <row r="233" spans="1:116" x14ac:dyDescent="0.3">
      <c r="A233" s="8"/>
      <c r="B233" s="8"/>
      <c r="C233" s="30"/>
      <c r="D233" s="8"/>
      <c r="E233" s="8"/>
      <c r="F233" s="8"/>
      <c r="G233" s="8"/>
      <c r="H233" s="8"/>
      <c r="I233" s="8"/>
      <c r="J233" s="8"/>
      <c r="K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</row>
    <row r="234" spans="1:116" x14ac:dyDescent="0.3">
      <c r="A234" s="8"/>
      <c r="B234" s="8"/>
      <c r="C234" s="30"/>
      <c r="D234" s="8"/>
      <c r="E234" s="8"/>
      <c r="F234" s="8"/>
      <c r="G234" s="8"/>
      <c r="H234" s="8"/>
      <c r="I234" s="8"/>
      <c r="J234" s="8"/>
      <c r="K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</row>
    <row r="235" spans="1:116" x14ac:dyDescent="0.3">
      <c r="A235" s="8"/>
      <c r="B235" s="8"/>
      <c r="C235" s="30"/>
      <c r="D235" s="8"/>
      <c r="E235" s="8"/>
      <c r="F235" s="8"/>
      <c r="G235" s="8"/>
      <c r="H235" s="8"/>
      <c r="I235" s="8"/>
      <c r="J235" s="8"/>
      <c r="K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</row>
    <row r="236" spans="1:116" x14ac:dyDescent="0.3">
      <c r="A236" s="8"/>
      <c r="B236" s="8"/>
      <c r="C236" s="30"/>
      <c r="D236" s="8"/>
      <c r="E236" s="8"/>
      <c r="F236" s="8"/>
      <c r="G236" s="8"/>
      <c r="H236" s="8"/>
      <c r="I236" s="8"/>
      <c r="J236" s="8"/>
      <c r="K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</row>
    <row r="237" spans="1:116" x14ac:dyDescent="0.3">
      <c r="A237" s="8"/>
      <c r="B237" s="8"/>
      <c r="C237" s="30"/>
      <c r="D237" s="8"/>
      <c r="E237" s="8"/>
      <c r="F237" s="8"/>
      <c r="G237" s="8"/>
      <c r="H237" s="8"/>
      <c r="I237" s="8"/>
      <c r="J237" s="8"/>
      <c r="K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</row>
    <row r="238" spans="1:116" x14ac:dyDescent="0.3">
      <c r="A238" s="8"/>
      <c r="B238" s="8"/>
      <c r="C238" s="30"/>
      <c r="D238" s="8"/>
      <c r="E238" s="8"/>
      <c r="F238" s="8"/>
      <c r="G238" s="8"/>
      <c r="H238" s="8"/>
      <c r="I238" s="8"/>
      <c r="J238" s="8"/>
      <c r="K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</row>
    <row r="239" spans="1:116" x14ac:dyDescent="0.3">
      <c r="A239" s="8"/>
      <c r="B239" s="8"/>
      <c r="C239" s="30"/>
      <c r="D239" s="8"/>
      <c r="E239" s="8"/>
      <c r="F239" s="8"/>
      <c r="G239" s="8"/>
      <c r="H239" s="8"/>
      <c r="I239" s="8"/>
      <c r="J239" s="8"/>
      <c r="K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</row>
    <row r="240" spans="1:116" x14ac:dyDescent="0.3">
      <c r="A240" s="8"/>
      <c r="B240" s="8"/>
      <c r="C240" s="30"/>
      <c r="D240" s="8"/>
      <c r="E240" s="8"/>
      <c r="F240" s="8"/>
      <c r="G240" s="8"/>
      <c r="H240" s="8"/>
      <c r="I240" s="8"/>
      <c r="J240" s="8"/>
      <c r="K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</row>
    <row r="241" spans="1:116" x14ac:dyDescent="0.3">
      <c r="A241" s="8"/>
      <c r="B241" s="8"/>
      <c r="C241" s="30"/>
      <c r="D241" s="8"/>
      <c r="E241" s="8"/>
      <c r="F241" s="8"/>
      <c r="G241" s="8"/>
      <c r="H241" s="8"/>
      <c r="I241" s="8"/>
      <c r="J241" s="8"/>
      <c r="K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</row>
    <row r="242" spans="1:116" x14ac:dyDescent="0.3">
      <c r="A242" s="8"/>
      <c r="B242" s="8"/>
      <c r="C242" s="30"/>
      <c r="D242" s="8"/>
      <c r="E242" s="8"/>
      <c r="F242" s="8"/>
      <c r="G242" s="8"/>
      <c r="H242" s="8"/>
      <c r="I242" s="8"/>
      <c r="J242" s="8"/>
      <c r="K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</row>
    <row r="243" spans="1:116" x14ac:dyDescent="0.3">
      <c r="A243" s="8"/>
      <c r="B243" s="8"/>
      <c r="C243" s="30"/>
      <c r="D243" s="8"/>
      <c r="E243" s="8"/>
      <c r="F243" s="8"/>
      <c r="G243" s="8"/>
      <c r="H243" s="8"/>
      <c r="I243" s="8"/>
      <c r="J243" s="8"/>
      <c r="K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</row>
    <row r="244" spans="1:116" x14ac:dyDescent="0.3">
      <c r="A244" s="8"/>
      <c r="B244" s="8"/>
      <c r="C244" s="30"/>
      <c r="D244" s="8"/>
      <c r="E244" s="8"/>
      <c r="F244" s="8"/>
      <c r="G244" s="8"/>
      <c r="H244" s="8"/>
      <c r="I244" s="8"/>
      <c r="J244" s="8"/>
      <c r="K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</row>
    <row r="245" spans="1:116" x14ac:dyDescent="0.3">
      <c r="A245" s="8"/>
      <c r="B245" s="8"/>
      <c r="C245" s="30"/>
      <c r="D245" s="8"/>
      <c r="E245" s="8"/>
      <c r="F245" s="8"/>
      <c r="G245" s="8"/>
      <c r="H245" s="8"/>
      <c r="I245" s="8"/>
      <c r="J245" s="8"/>
      <c r="K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</row>
    <row r="246" spans="1:116" x14ac:dyDescent="0.3">
      <c r="A246" s="8"/>
      <c r="B246" s="8"/>
      <c r="C246" s="30"/>
      <c r="D246" s="8"/>
      <c r="E246" s="8"/>
      <c r="F246" s="8"/>
      <c r="G246" s="8"/>
      <c r="H246" s="8"/>
      <c r="I246" s="8"/>
      <c r="J246" s="8"/>
      <c r="K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</row>
    <row r="247" spans="1:116" x14ac:dyDescent="0.3">
      <c r="A247" s="8"/>
      <c r="B247" s="8"/>
      <c r="C247" s="30"/>
      <c r="D247" s="8"/>
      <c r="E247" s="8"/>
      <c r="F247" s="8"/>
      <c r="G247" s="8"/>
      <c r="H247" s="8"/>
      <c r="I247" s="8"/>
      <c r="J247" s="8"/>
      <c r="K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</row>
    <row r="248" spans="1:116" x14ac:dyDescent="0.3">
      <c r="A248" s="8"/>
      <c r="B248" s="8"/>
      <c r="C248" s="30"/>
      <c r="D248" s="8"/>
      <c r="E248" s="8"/>
      <c r="F248" s="8"/>
      <c r="G248" s="8"/>
      <c r="H248" s="8"/>
      <c r="I248" s="8"/>
      <c r="J248" s="8"/>
      <c r="K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</row>
    <row r="249" spans="1:116" x14ac:dyDescent="0.3">
      <c r="A249" s="8"/>
      <c r="B249" s="8"/>
      <c r="C249" s="30"/>
      <c r="D249" s="8"/>
      <c r="E249" s="8"/>
      <c r="F249" s="8"/>
      <c r="G249" s="8"/>
      <c r="H249" s="8"/>
      <c r="I249" s="8"/>
      <c r="J249" s="8"/>
      <c r="K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</row>
    <row r="250" spans="1:116" x14ac:dyDescent="0.3">
      <c r="A250" s="8"/>
      <c r="B250" s="8"/>
      <c r="C250" s="30"/>
      <c r="D250" s="8"/>
      <c r="E250" s="8"/>
      <c r="F250" s="8"/>
      <c r="G250" s="8"/>
      <c r="H250" s="8"/>
      <c r="I250" s="8"/>
      <c r="J250" s="8"/>
      <c r="K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</row>
    <row r="251" spans="1:116" x14ac:dyDescent="0.3">
      <c r="A251" s="8"/>
      <c r="B251" s="8"/>
      <c r="C251" s="30"/>
      <c r="D251" s="8"/>
      <c r="E251" s="8"/>
      <c r="F251" s="8"/>
      <c r="G251" s="8"/>
      <c r="H251" s="8"/>
      <c r="I251" s="8"/>
      <c r="J251" s="8"/>
      <c r="K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</row>
    <row r="252" spans="1:116" x14ac:dyDescent="0.3">
      <c r="A252" s="8"/>
      <c r="B252" s="8"/>
      <c r="C252" s="30"/>
      <c r="D252" s="8"/>
      <c r="E252" s="8"/>
      <c r="F252" s="8"/>
      <c r="G252" s="8"/>
      <c r="H252" s="8"/>
      <c r="I252" s="8"/>
      <c r="J252" s="8"/>
      <c r="K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</row>
    <row r="253" spans="1:116" x14ac:dyDescent="0.3">
      <c r="A253" s="8"/>
      <c r="B253" s="8"/>
      <c r="C253" s="30"/>
      <c r="D253" s="8"/>
      <c r="E253" s="8"/>
      <c r="F253" s="8"/>
      <c r="G253" s="8"/>
      <c r="H253" s="8"/>
      <c r="I253" s="8"/>
      <c r="J253" s="8"/>
      <c r="K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</row>
    <row r="254" spans="1:116" x14ac:dyDescent="0.3">
      <c r="A254" s="8"/>
      <c r="B254" s="8"/>
      <c r="C254" s="30"/>
      <c r="D254" s="8"/>
      <c r="E254" s="8"/>
      <c r="F254" s="8"/>
      <c r="G254" s="8"/>
      <c r="H254" s="8"/>
      <c r="I254" s="8"/>
      <c r="J254" s="8"/>
      <c r="K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</row>
    <row r="255" spans="1:116" x14ac:dyDescent="0.3">
      <c r="A255" s="8"/>
      <c r="B255" s="8"/>
      <c r="C255" s="30"/>
      <c r="D255" s="8"/>
      <c r="E255" s="8"/>
      <c r="F255" s="8"/>
      <c r="G255" s="8"/>
      <c r="H255" s="8"/>
      <c r="I255" s="8"/>
      <c r="J255" s="8"/>
      <c r="K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</row>
    <row r="256" spans="1:116" x14ac:dyDescent="0.3">
      <c r="A256" s="8"/>
      <c r="B256" s="8"/>
      <c r="C256" s="30"/>
      <c r="D256" s="8"/>
      <c r="E256" s="8"/>
      <c r="F256" s="8"/>
      <c r="G256" s="8"/>
      <c r="H256" s="8"/>
      <c r="I256" s="8"/>
      <c r="J256" s="8"/>
      <c r="K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</row>
    <row r="257" spans="1:116" x14ac:dyDescent="0.3">
      <c r="A257" s="8"/>
      <c r="B257" s="8"/>
      <c r="C257" s="30"/>
      <c r="D257" s="8"/>
      <c r="E257" s="8"/>
      <c r="F257" s="8"/>
      <c r="G257" s="8"/>
      <c r="H257" s="8"/>
      <c r="I257" s="8"/>
      <c r="J257" s="8"/>
      <c r="K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</row>
    <row r="258" spans="1:116" x14ac:dyDescent="0.3">
      <c r="A258" s="8"/>
      <c r="B258" s="8"/>
      <c r="C258" s="30"/>
      <c r="D258" s="8"/>
      <c r="E258" s="8"/>
      <c r="F258" s="8"/>
      <c r="G258" s="8"/>
      <c r="H258" s="8"/>
      <c r="I258" s="8"/>
      <c r="J258" s="8"/>
      <c r="K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</row>
    <row r="259" spans="1:116" x14ac:dyDescent="0.3">
      <c r="A259" s="8"/>
      <c r="B259" s="8"/>
      <c r="C259" s="30"/>
      <c r="D259" s="8"/>
      <c r="E259" s="8"/>
      <c r="F259" s="8"/>
      <c r="G259" s="8"/>
      <c r="H259" s="8"/>
      <c r="I259" s="8"/>
      <c r="J259" s="8"/>
      <c r="K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</row>
    <row r="260" spans="1:116" x14ac:dyDescent="0.3">
      <c r="A260" s="8"/>
      <c r="B260" s="8"/>
      <c r="C260" s="30"/>
      <c r="D260" s="8"/>
      <c r="E260" s="8"/>
      <c r="F260" s="8"/>
      <c r="G260" s="8"/>
      <c r="H260" s="8"/>
      <c r="I260" s="8"/>
      <c r="J260" s="8"/>
      <c r="K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</row>
    <row r="261" spans="1:116" x14ac:dyDescent="0.3">
      <c r="A261" s="8"/>
      <c r="B261" s="8"/>
      <c r="C261" s="30"/>
      <c r="D261" s="8"/>
      <c r="E261" s="8"/>
      <c r="F261" s="8"/>
      <c r="G261" s="8"/>
      <c r="H261" s="8"/>
      <c r="I261" s="8"/>
      <c r="J261" s="8"/>
      <c r="K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</row>
    <row r="262" spans="1:116" x14ac:dyDescent="0.3">
      <c r="A262" s="8"/>
      <c r="B262" s="8"/>
      <c r="C262" s="30"/>
      <c r="D262" s="8"/>
      <c r="E262" s="8"/>
      <c r="F262" s="8"/>
      <c r="G262" s="8"/>
      <c r="H262" s="8"/>
      <c r="I262" s="8"/>
      <c r="J262" s="8"/>
      <c r="K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</row>
    <row r="263" spans="1:116" x14ac:dyDescent="0.3">
      <c r="A263" s="8"/>
      <c r="B263" s="8"/>
      <c r="C263" s="30"/>
      <c r="D263" s="8"/>
      <c r="E263" s="8"/>
      <c r="F263" s="8"/>
      <c r="G263" s="8"/>
      <c r="H263" s="8"/>
      <c r="I263" s="8"/>
      <c r="J263" s="8"/>
      <c r="K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</row>
    <row r="264" spans="1:116" x14ac:dyDescent="0.3">
      <c r="A264" s="8"/>
      <c r="B264" s="8"/>
      <c r="C264" s="30"/>
      <c r="D264" s="8"/>
      <c r="E264" s="8"/>
      <c r="F264" s="8"/>
      <c r="G264" s="8"/>
      <c r="H264" s="8"/>
      <c r="I264" s="8"/>
      <c r="J264" s="8"/>
      <c r="K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</row>
    <row r="265" spans="1:116" x14ac:dyDescent="0.3">
      <c r="A265" s="8"/>
      <c r="B265" s="8"/>
      <c r="C265" s="30"/>
      <c r="D265" s="8"/>
      <c r="E265" s="8"/>
      <c r="F265" s="8"/>
      <c r="G265" s="8"/>
      <c r="H265" s="8"/>
      <c r="I265" s="8"/>
      <c r="J265" s="8"/>
      <c r="K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</row>
    <row r="266" spans="1:116" x14ac:dyDescent="0.3">
      <c r="A266" s="8"/>
      <c r="B266" s="8"/>
      <c r="C266" s="30"/>
      <c r="D266" s="8"/>
      <c r="E266" s="8"/>
      <c r="F266" s="8"/>
      <c r="G266" s="8"/>
      <c r="H266" s="8"/>
      <c r="I266" s="8"/>
      <c r="J266" s="8"/>
      <c r="K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</row>
    <row r="267" spans="1:116" x14ac:dyDescent="0.3">
      <c r="A267" s="8"/>
      <c r="B267" s="8"/>
      <c r="C267" s="30"/>
      <c r="D267" s="8"/>
      <c r="E267" s="8"/>
      <c r="F267" s="8"/>
      <c r="G267" s="8"/>
      <c r="H267" s="8"/>
      <c r="I267" s="8"/>
      <c r="J267" s="8"/>
      <c r="K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</row>
    <row r="268" spans="1:116" x14ac:dyDescent="0.3">
      <c r="A268" s="8"/>
      <c r="B268" s="8"/>
      <c r="C268" s="30"/>
      <c r="D268" s="8"/>
      <c r="E268" s="8"/>
      <c r="F268" s="8"/>
      <c r="G268" s="8"/>
      <c r="H268" s="8"/>
      <c r="I268" s="8"/>
      <c r="J268" s="8"/>
      <c r="K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</row>
    <row r="269" spans="1:116" x14ac:dyDescent="0.3">
      <c r="A269" s="8"/>
      <c r="B269" s="8"/>
      <c r="C269" s="30"/>
      <c r="D269" s="8"/>
      <c r="E269" s="8"/>
      <c r="F269" s="8"/>
      <c r="G269" s="8"/>
      <c r="H269" s="8"/>
      <c r="I269" s="8"/>
      <c r="J269" s="8"/>
      <c r="K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</row>
    <row r="270" spans="1:116" x14ac:dyDescent="0.3">
      <c r="A270" s="8"/>
      <c r="B270" s="8"/>
      <c r="C270" s="30"/>
      <c r="D270" s="8"/>
      <c r="E270" s="8"/>
      <c r="F270" s="8"/>
      <c r="G270" s="8"/>
      <c r="H270" s="8"/>
      <c r="I270" s="8"/>
      <c r="J270" s="8"/>
      <c r="K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</row>
    <row r="271" spans="1:116" x14ac:dyDescent="0.3">
      <c r="A271" s="8"/>
      <c r="B271" s="8"/>
      <c r="C271" s="30"/>
      <c r="D271" s="8"/>
      <c r="E271" s="8"/>
      <c r="F271" s="8"/>
      <c r="G271" s="8"/>
      <c r="H271" s="8"/>
      <c r="I271" s="8"/>
      <c r="J271" s="8"/>
      <c r="K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</row>
    <row r="272" spans="1:116" x14ac:dyDescent="0.3">
      <c r="A272" s="8"/>
      <c r="B272" s="8"/>
      <c r="C272" s="30"/>
      <c r="D272" s="8"/>
      <c r="E272" s="8"/>
      <c r="F272" s="8"/>
      <c r="G272" s="8"/>
      <c r="H272" s="8"/>
      <c r="I272" s="8"/>
      <c r="J272" s="8"/>
      <c r="K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</row>
    <row r="273" spans="1:116" x14ac:dyDescent="0.3">
      <c r="A273" s="8"/>
      <c r="B273" s="8"/>
      <c r="C273" s="30"/>
      <c r="D273" s="8"/>
      <c r="E273" s="8"/>
      <c r="F273" s="8"/>
      <c r="G273" s="8"/>
      <c r="H273" s="8"/>
      <c r="I273" s="8"/>
      <c r="J273" s="8"/>
      <c r="K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</row>
    <row r="274" spans="1:116" x14ac:dyDescent="0.3">
      <c r="A274" s="8"/>
      <c r="B274" s="8"/>
      <c r="C274" s="30"/>
      <c r="D274" s="8"/>
      <c r="E274" s="8"/>
      <c r="F274" s="8"/>
      <c r="G274" s="8"/>
      <c r="H274" s="8"/>
      <c r="I274" s="8"/>
      <c r="J274" s="8"/>
      <c r="K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</row>
    <row r="275" spans="1:116" x14ac:dyDescent="0.3">
      <c r="A275" s="8"/>
      <c r="B275" s="8"/>
      <c r="C275" s="30"/>
      <c r="D275" s="8"/>
      <c r="E275" s="8"/>
      <c r="F275" s="8"/>
      <c r="G275" s="8"/>
      <c r="H275" s="8"/>
      <c r="I275" s="8"/>
      <c r="J275" s="8"/>
      <c r="K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</row>
    <row r="276" spans="1:116" x14ac:dyDescent="0.3">
      <c r="A276" s="8"/>
      <c r="B276" s="8"/>
      <c r="C276" s="30"/>
      <c r="D276" s="8"/>
      <c r="E276" s="8"/>
      <c r="F276" s="8"/>
      <c r="G276" s="8"/>
      <c r="H276" s="8"/>
      <c r="I276" s="8"/>
      <c r="J276" s="8"/>
      <c r="K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</row>
    <row r="277" spans="1:116" x14ac:dyDescent="0.3">
      <c r="A277" s="8"/>
      <c r="B277" s="8"/>
      <c r="C277" s="30"/>
      <c r="D277" s="8"/>
      <c r="E277" s="8"/>
      <c r="F277" s="8"/>
      <c r="G277" s="8"/>
      <c r="H277" s="8"/>
      <c r="I277" s="8"/>
      <c r="J277" s="8"/>
      <c r="K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</row>
    <row r="278" spans="1:116" x14ac:dyDescent="0.3">
      <c r="A278" s="8"/>
      <c r="B278" s="8"/>
      <c r="C278" s="30"/>
      <c r="D278" s="8"/>
      <c r="E278" s="8"/>
      <c r="F278" s="8"/>
      <c r="G278" s="8"/>
      <c r="H278" s="8"/>
      <c r="I278" s="8"/>
      <c r="J278" s="8"/>
      <c r="K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</row>
    <row r="279" spans="1:116" x14ac:dyDescent="0.3">
      <c r="A279" s="8"/>
      <c r="B279" s="8"/>
      <c r="C279" s="30"/>
      <c r="D279" s="8"/>
      <c r="E279" s="8"/>
      <c r="F279" s="8"/>
      <c r="G279" s="8"/>
      <c r="H279" s="8"/>
      <c r="I279" s="8"/>
      <c r="J279" s="8"/>
      <c r="K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</row>
    <row r="280" spans="1:116" x14ac:dyDescent="0.3">
      <c r="A280" s="8"/>
      <c r="B280" s="8"/>
      <c r="C280" s="30"/>
      <c r="D280" s="8"/>
      <c r="E280" s="8"/>
      <c r="F280" s="8"/>
      <c r="G280" s="8"/>
      <c r="H280" s="8"/>
      <c r="I280" s="8"/>
      <c r="J280" s="8"/>
      <c r="K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</row>
    <row r="281" spans="1:116" x14ac:dyDescent="0.3">
      <c r="A281" s="8"/>
      <c r="B281" s="8"/>
      <c r="C281" s="30"/>
      <c r="D281" s="8"/>
      <c r="E281" s="8"/>
      <c r="F281" s="8"/>
      <c r="G281" s="8"/>
      <c r="H281" s="8"/>
      <c r="I281" s="8"/>
      <c r="J281" s="8"/>
      <c r="K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</row>
    <row r="282" spans="1:116" x14ac:dyDescent="0.3">
      <c r="A282" s="8"/>
      <c r="B282" s="8"/>
      <c r="C282" s="30"/>
      <c r="D282" s="8"/>
      <c r="E282" s="8"/>
      <c r="F282" s="8"/>
      <c r="G282" s="8"/>
      <c r="H282" s="8"/>
      <c r="I282" s="8"/>
      <c r="J282" s="8"/>
      <c r="K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</row>
    <row r="283" spans="1:116" x14ac:dyDescent="0.3">
      <c r="A283" s="8"/>
      <c r="B283" s="8"/>
      <c r="C283" s="30"/>
      <c r="D283" s="8"/>
      <c r="E283" s="8"/>
      <c r="F283" s="8"/>
      <c r="G283" s="8"/>
      <c r="H283" s="8"/>
      <c r="I283" s="8"/>
      <c r="J283" s="8"/>
      <c r="K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</row>
    <row r="284" spans="1:116" x14ac:dyDescent="0.3">
      <c r="A284" s="8"/>
      <c r="B284" s="8"/>
      <c r="C284" s="30"/>
      <c r="D284" s="8"/>
      <c r="E284" s="8"/>
      <c r="F284" s="8"/>
      <c r="G284" s="8"/>
      <c r="H284" s="8"/>
      <c r="I284" s="8"/>
      <c r="J284" s="8"/>
      <c r="K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</row>
    <row r="285" spans="1:116" x14ac:dyDescent="0.3">
      <c r="A285" s="8"/>
      <c r="B285" s="8"/>
      <c r="C285" s="30"/>
      <c r="D285" s="8"/>
      <c r="E285" s="8"/>
      <c r="F285" s="8"/>
      <c r="G285" s="8"/>
      <c r="H285" s="8"/>
      <c r="I285" s="8"/>
      <c r="J285" s="8"/>
      <c r="K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</row>
    <row r="286" spans="1:116" x14ac:dyDescent="0.3">
      <c r="A286" s="8"/>
      <c r="B286" s="8"/>
      <c r="C286" s="30"/>
      <c r="D286" s="8"/>
      <c r="E286" s="8"/>
      <c r="F286" s="8"/>
      <c r="G286" s="8"/>
      <c r="H286" s="8"/>
      <c r="I286" s="8"/>
      <c r="J286" s="8"/>
      <c r="K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</row>
    <row r="287" spans="1:116" x14ac:dyDescent="0.3">
      <c r="A287" s="8"/>
      <c r="B287" s="8"/>
      <c r="C287" s="30"/>
      <c r="D287" s="8"/>
      <c r="E287" s="8"/>
      <c r="F287" s="8"/>
      <c r="G287" s="8"/>
      <c r="H287" s="8"/>
      <c r="I287" s="8"/>
      <c r="J287" s="8"/>
      <c r="K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</row>
    <row r="288" spans="1:116" x14ac:dyDescent="0.3">
      <c r="A288" s="8"/>
      <c r="B288" s="8"/>
      <c r="C288" s="30"/>
      <c r="D288" s="8"/>
      <c r="E288" s="8"/>
      <c r="F288" s="8"/>
      <c r="G288" s="8"/>
      <c r="H288" s="8"/>
      <c r="I288" s="8"/>
      <c r="J288" s="8"/>
      <c r="K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</row>
    <row r="289" spans="1:116" x14ac:dyDescent="0.3">
      <c r="A289" s="8"/>
      <c r="B289" s="8"/>
      <c r="C289" s="30"/>
      <c r="D289" s="8"/>
      <c r="E289" s="8"/>
      <c r="F289" s="8"/>
      <c r="G289" s="8"/>
      <c r="H289" s="8"/>
      <c r="I289" s="8"/>
      <c r="J289" s="8"/>
      <c r="K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</row>
    <row r="290" spans="1:116" x14ac:dyDescent="0.3">
      <c r="A290" s="8"/>
      <c r="B290" s="8"/>
      <c r="C290" s="30"/>
      <c r="D290" s="8"/>
      <c r="E290" s="8"/>
      <c r="F290" s="8"/>
      <c r="G290" s="8"/>
      <c r="H290" s="8"/>
      <c r="I290" s="8"/>
      <c r="J290" s="8"/>
      <c r="K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</row>
    <row r="291" spans="1:116" x14ac:dyDescent="0.3">
      <c r="A291" s="8"/>
      <c r="B291" s="8"/>
      <c r="C291" s="30"/>
      <c r="D291" s="8"/>
      <c r="E291" s="8"/>
      <c r="F291" s="8"/>
      <c r="G291" s="8"/>
      <c r="H291" s="8"/>
      <c r="I291" s="8"/>
      <c r="J291" s="8"/>
      <c r="K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</row>
    <row r="292" spans="1:116" x14ac:dyDescent="0.3">
      <c r="A292" s="8"/>
      <c r="B292" s="8"/>
      <c r="C292" s="30"/>
      <c r="D292" s="8"/>
      <c r="E292" s="8"/>
      <c r="F292" s="8"/>
      <c r="G292" s="8"/>
      <c r="H292" s="8"/>
      <c r="I292" s="8"/>
      <c r="J292" s="8"/>
      <c r="K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</row>
    <row r="293" spans="1:116" x14ac:dyDescent="0.3">
      <c r="A293" s="8"/>
      <c r="B293" s="8"/>
      <c r="C293" s="30"/>
      <c r="D293" s="8"/>
      <c r="E293" s="8"/>
      <c r="F293" s="8"/>
      <c r="G293" s="8"/>
      <c r="H293" s="8"/>
      <c r="I293" s="8"/>
      <c r="J293" s="8"/>
      <c r="K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</row>
    <row r="294" spans="1:116" x14ac:dyDescent="0.3">
      <c r="A294" s="8"/>
      <c r="B294" s="8"/>
      <c r="C294" s="30"/>
      <c r="D294" s="8"/>
      <c r="E294" s="8"/>
      <c r="F294" s="8"/>
      <c r="G294" s="8"/>
      <c r="H294" s="8"/>
      <c r="I294" s="8"/>
      <c r="J294" s="8"/>
      <c r="K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</row>
    <row r="295" spans="1:116" x14ac:dyDescent="0.3">
      <c r="A295" s="8"/>
      <c r="B295" s="8"/>
      <c r="C295" s="30"/>
      <c r="D295" s="8"/>
      <c r="E295" s="8"/>
      <c r="F295" s="8"/>
      <c r="G295" s="8"/>
      <c r="H295" s="8"/>
      <c r="I295" s="8"/>
      <c r="J295" s="8"/>
      <c r="K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</row>
    <row r="296" spans="1:116" x14ac:dyDescent="0.3">
      <c r="A296" s="8"/>
      <c r="B296" s="8"/>
      <c r="C296" s="30"/>
      <c r="D296" s="8"/>
      <c r="E296" s="8"/>
      <c r="F296" s="8"/>
      <c r="G296" s="8"/>
      <c r="H296" s="8"/>
      <c r="I296" s="8"/>
      <c r="J296" s="8"/>
      <c r="K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</row>
    <row r="297" spans="1:116" x14ac:dyDescent="0.3">
      <c r="A297" s="8"/>
      <c r="B297" s="8"/>
      <c r="C297" s="30"/>
      <c r="D297" s="8"/>
      <c r="E297" s="8"/>
      <c r="F297" s="8"/>
      <c r="G297" s="8"/>
      <c r="H297" s="8"/>
      <c r="I297" s="8"/>
      <c r="J297" s="8"/>
      <c r="K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</row>
    <row r="298" spans="1:116" x14ac:dyDescent="0.3">
      <c r="A298" s="8"/>
      <c r="B298" s="8"/>
      <c r="C298" s="30"/>
      <c r="D298" s="8"/>
      <c r="E298" s="8"/>
      <c r="F298" s="8"/>
      <c r="G298" s="8"/>
      <c r="H298" s="8"/>
      <c r="I298" s="8"/>
      <c r="J298" s="8"/>
      <c r="K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</row>
    <row r="299" spans="1:116" x14ac:dyDescent="0.3">
      <c r="A299" s="8"/>
      <c r="B299" s="8"/>
      <c r="C299" s="30"/>
      <c r="D299" s="8"/>
      <c r="E299" s="8"/>
      <c r="F299" s="8"/>
      <c r="G299" s="8"/>
      <c r="H299" s="8"/>
      <c r="I299" s="8"/>
      <c r="J299" s="8"/>
      <c r="K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</row>
    <row r="300" spans="1:116" x14ac:dyDescent="0.3">
      <c r="A300" s="8"/>
      <c r="B300" s="8"/>
      <c r="C300" s="30"/>
      <c r="D300" s="8"/>
      <c r="E300" s="8"/>
      <c r="F300" s="8"/>
      <c r="G300" s="8"/>
      <c r="H300" s="8"/>
      <c r="I300" s="8"/>
      <c r="J300" s="8"/>
      <c r="K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</row>
    <row r="301" spans="1:116" x14ac:dyDescent="0.3">
      <c r="A301" s="8"/>
      <c r="B301" s="8"/>
      <c r="C301" s="30"/>
      <c r="D301" s="8"/>
      <c r="E301" s="8"/>
      <c r="F301" s="8"/>
      <c r="G301" s="8"/>
      <c r="H301" s="8"/>
      <c r="I301" s="8"/>
      <c r="J301" s="8"/>
      <c r="K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</row>
    <row r="302" spans="1:116" x14ac:dyDescent="0.3">
      <c r="A302" s="8"/>
      <c r="B302" s="8"/>
      <c r="C302" s="30"/>
      <c r="D302" s="8"/>
      <c r="E302" s="8"/>
      <c r="F302" s="8"/>
      <c r="G302" s="8"/>
      <c r="H302" s="8"/>
      <c r="I302" s="8"/>
      <c r="J302" s="8"/>
      <c r="K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</row>
    <row r="303" spans="1:116" x14ac:dyDescent="0.3">
      <c r="A303" s="8"/>
      <c r="B303" s="8"/>
      <c r="C303" s="30"/>
      <c r="D303" s="8"/>
      <c r="E303" s="8"/>
      <c r="F303" s="8"/>
      <c r="G303" s="8"/>
      <c r="H303" s="8"/>
      <c r="I303" s="8"/>
      <c r="J303" s="8"/>
      <c r="K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</row>
    <row r="304" spans="1:116" x14ac:dyDescent="0.3">
      <c r="A304" s="8"/>
      <c r="B304" s="8"/>
      <c r="C304" s="30"/>
      <c r="D304" s="8"/>
      <c r="E304" s="8"/>
      <c r="F304" s="8"/>
      <c r="G304" s="8"/>
      <c r="H304" s="8"/>
      <c r="I304" s="8"/>
      <c r="J304" s="8"/>
      <c r="K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</row>
    <row r="305" spans="1:116" x14ac:dyDescent="0.3">
      <c r="A305" s="8"/>
      <c r="B305" s="8"/>
      <c r="C305" s="30"/>
      <c r="D305" s="8"/>
      <c r="E305" s="8"/>
      <c r="F305" s="8"/>
      <c r="G305" s="8"/>
      <c r="H305" s="8"/>
      <c r="I305" s="8"/>
      <c r="J305" s="8"/>
      <c r="K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</row>
    <row r="306" spans="1:116" x14ac:dyDescent="0.3">
      <c r="A306" s="8"/>
      <c r="B306" s="8"/>
      <c r="C306" s="30"/>
      <c r="D306" s="8"/>
      <c r="E306" s="8"/>
      <c r="F306" s="8"/>
      <c r="G306" s="8"/>
      <c r="H306" s="8"/>
      <c r="I306" s="8"/>
      <c r="J306" s="8"/>
      <c r="K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</row>
    <row r="307" spans="1:116" x14ac:dyDescent="0.3">
      <c r="A307" s="8"/>
      <c r="B307" s="8"/>
      <c r="C307" s="30"/>
      <c r="D307" s="8"/>
      <c r="E307" s="8"/>
      <c r="F307" s="8"/>
      <c r="G307" s="8"/>
      <c r="H307" s="8"/>
      <c r="I307" s="8"/>
      <c r="J307" s="8"/>
      <c r="K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</row>
    <row r="308" spans="1:116" x14ac:dyDescent="0.3">
      <c r="A308" s="8"/>
      <c r="B308" s="8"/>
      <c r="C308" s="30"/>
      <c r="D308" s="8"/>
      <c r="E308" s="8"/>
      <c r="F308" s="8"/>
      <c r="G308" s="8"/>
      <c r="H308" s="8"/>
      <c r="I308" s="8"/>
      <c r="J308" s="8"/>
      <c r="K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</row>
    <row r="309" spans="1:116" x14ac:dyDescent="0.3">
      <c r="A309" s="8"/>
      <c r="B309" s="8"/>
      <c r="C309" s="30"/>
      <c r="D309" s="8"/>
      <c r="E309" s="8"/>
      <c r="F309" s="8"/>
      <c r="G309" s="8"/>
      <c r="H309" s="8"/>
      <c r="I309" s="8"/>
      <c r="J309" s="8"/>
      <c r="K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</row>
    <row r="310" spans="1:116" x14ac:dyDescent="0.3">
      <c r="A310" s="8"/>
      <c r="B310" s="8"/>
      <c r="C310" s="30"/>
      <c r="D310" s="8"/>
      <c r="E310" s="8"/>
      <c r="F310" s="8"/>
      <c r="G310" s="8"/>
      <c r="H310" s="8"/>
      <c r="I310" s="8"/>
      <c r="J310" s="8"/>
      <c r="K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</row>
    <row r="311" spans="1:116" x14ac:dyDescent="0.3">
      <c r="A311" s="8"/>
      <c r="B311" s="8"/>
      <c r="C311" s="30"/>
      <c r="D311" s="8"/>
      <c r="E311" s="8"/>
      <c r="F311" s="8"/>
      <c r="G311" s="8"/>
      <c r="H311" s="8"/>
      <c r="I311" s="8"/>
      <c r="J311" s="8"/>
      <c r="K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</row>
    <row r="312" spans="1:116" x14ac:dyDescent="0.3">
      <c r="A312" s="8"/>
      <c r="B312" s="8"/>
      <c r="C312" s="30"/>
      <c r="D312" s="8"/>
      <c r="E312" s="8"/>
      <c r="F312" s="8"/>
      <c r="G312" s="8"/>
      <c r="H312" s="8"/>
      <c r="I312" s="8"/>
      <c r="J312" s="8"/>
      <c r="K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</row>
    <row r="313" spans="1:116" x14ac:dyDescent="0.3">
      <c r="A313" s="8"/>
      <c r="B313" s="8"/>
      <c r="C313" s="30"/>
      <c r="D313" s="8"/>
      <c r="E313" s="8"/>
      <c r="F313" s="8"/>
      <c r="G313" s="8"/>
      <c r="H313" s="8"/>
      <c r="I313" s="8"/>
      <c r="J313" s="8"/>
      <c r="K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</row>
    <row r="314" spans="1:116" x14ac:dyDescent="0.3">
      <c r="A314" s="8"/>
      <c r="B314" s="8"/>
      <c r="C314" s="30"/>
      <c r="D314" s="8"/>
      <c r="E314" s="8"/>
      <c r="F314" s="8"/>
      <c r="G314" s="8"/>
      <c r="H314" s="8"/>
      <c r="I314" s="8"/>
      <c r="J314" s="8"/>
      <c r="K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</row>
    <row r="315" spans="1:116" x14ac:dyDescent="0.3">
      <c r="A315" s="8"/>
      <c r="B315" s="8"/>
      <c r="C315" s="30"/>
      <c r="D315" s="8"/>
      <c r="E315" s="8"/>
      <c r="F315" s="8"/>
      <c r="G315" s="8"/>
      <c r="H315" s="8"/>
      <c r="I315" s="8"/>
      <c r="J315" s="8"/>
      <c r="K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</row>
    <row r="316" spans="1:116" x14ac:dyDescent="0.3">
      <c r="A316" s="8"/>
      <c r="B316" s="8"/>
      <c r="C316" s="30"/>
      <c r="D316" s="8"/>
      <c r="E316" s="8"/>
      <c r="F316" s="8"/>
      <c r="G316" s="8"/>
      <c r="H316" s="8"/>
      <c r="I316" s="8"/>
      <c r="J316" s="8"/>
      <c r="K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</row>
    <row r="317" spans="1:116" x14ac:dyDescent="0.3">
      <c r="A317" s="8"/>
      <c r="B317" s="8"/>
      <c r="C317" s="30"/>
      <c r="D317" s="8"/>
      <c r="E317" s="8"/>
      <c r="F317" s="8"/>
      <c r="G317" s="8"/>
      <c r="H317" s="8"/>
      <c r="I317" s="8"/>
      <c r="J317" s="8"/>
      <c r="K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</row>
    <row r="318" spans="1:116" x14ac:dyDescent="0.3">
      <c r="A318" s="8"/>
      <c r="B318" s="8"/>
      <c r="C318" s="30"/>
      <c r="D318" s="8"/>
      <c r="E318" s="8"/>
      <c r="F318" s="8"/>
      <c r="G318" s="8"/>
      <c r="H318" s="8"/>
      <c r="I318" s="8"/>
      <c r="J318" s="8"/>
      <c r="K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</row>
    <row r="319" spans="1:116" x14ac:dyDescent="0.3">
      <c r="A319" s="8"/>
      <c r="B319" s="8"/>
      <c r="C319" s="30"/>
      <c r="D319" s="8"/>
      <c r="E319" s="8"/>
      <c r="F319" s="8"/>
      <c r="G319" s="8"/>
      <c r="H319" s="8"/>
      <c r="I319" s="8"/>
      <c r="J319" s="8"/>
      <c r="K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</row>
    <row r="320" spans="1:116" x14ac:dyDescent="0.3">
      <c r="A320" s="8"/>
      <c r="B320" s="8"/>
      <c r="C320" s="30"/>
      <c r="D320" s="8"/>
      <c r="E320" s="8"/>
      <c r="F320" s="8"/>
      <c r="G320" s="8"/>
      <c r="H320" s="8"/>
      <c r="I320" s="8"/>
      <c r="J320" s="8"/>
      <c r="K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</row>
    <row r="321" spans="1:116" x14ac:dyDescent="0.3">
      <c r="A321" s="8"/>
      <c r="B321" s="8"/>
      <c r="C321" s="30"/>
      <c r="D321" s="8"/>
      <c r="E321" s="8"/>
      <c r="F321" s="8"/>
      <c r="G321" s="8"/>
      <c r="H321" s="8"/>
      <c r="I321" s="8"/>
      <c r="J321" s="8"/>
      <c r="K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</row>
    <row r="322" spans="1:116" x14ac:dyDescent="0.3">
      <c r="A322" s="8"/>
      <c r="B322" s="8"/>
      <c r="C322" s="30"/>
      <c r="D322" s="8"/>
      <c r="E322" s="8"/>
      <c r="F322" s="8"/>
      <c r="G322" s="8"/>
      <c r="H322" s="8"/>
      <c r="I322" s="8"/>
      <c r="J322" s="8"/>
      <c r="K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</row>
    <row r="323" spans="1:116" x14ac:dyDescent="0.3">
      <c r="A323" s="8"/>
      <c r="B323" s="8"/>
      <c r="C323" s="30"/>
      <c r="D323" s="8"/>
      <c r="E323" s="8"/>
      <c r="F323" s="8"/>
      <c r="G323" s="8"/>
      <c r="H323" s="8"/>
      <c r="I323" s="8"/>
      <c r="J323" s="8"/>
      <c r="K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</row>
    <row r="324" spans="1:116" x14ac:dyDescent="0.3">
      <c r="A324" s="8"/>
      <c r="B324" s="8"/>
      <c r="C324" s="30"/>
      <c r="D324" s="8"/>
      <c r="E324" s="8"/>
      <c r="F324" s="8"/>
      <c r="G324" s="8"/>
      <c r="H324" s="8"/>
      <c r="I324" s="8"/>
      <c r="J324" s="8"/>
      <c r="K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</row>
    <row r="325" spans="1:116" x14ac:dyDescent="0.3">
      <c r="A325" s="8"/>
      <c r="B325" s="8"/>
      <c r="C325" s="30"/>
      <c r="D325" s="8"/>
      <c r="E325" s="8"/>
      <c r="F325" s="8"/>
      <c r="G325" s="8"/>
      <c r="H325" s="8"/>
      <c r="I325" s="8"/>
      <c r="J325" s="8"/>
      <c r="K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</row>
    <row r="326" spans="1:116" x14ac:dyDescent="0.3">
      <c r="A326" s="8"/>
      <c r="B326" s="8"/>
      <c r="C326" s="30"/>
      <c r="D326" s="8"/>
      <c r="E326" s="8"/>
      <c r="F326" s="8"/>
      <c r="G326" s="8"/>
      <c r="H326" s="8"/>
      <c r="I326" s="8"/>
      <c r="J326" s="8"/>
      <c r="K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</row>
    <row r="327" spans="1:116" x14ac:dyDescent="0.3">
      <c r="A327" s="8"/>
      <c r="B327" s="8"/>
      <c r="C327" s="30"/>
      <c r="D327" s="8"/>
      <c r="E327" s="8"/>
      <c r="F327" s="8"/>
      <c r="G327" s="8"/>
      <c r="H327" s="8"/>
      <c r="I327" s="8"/>
      <c r="J327" s="8"/>
      <c r="K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</row>
    <row r="328" spans="1:116" x14ac:dyDescent="0.3">
      <c r="A328" s="8"/>
      <c r="B328" s="8"/>
      <c r="C328" s="30"/>
      <c r="D328" s="8"/>
      <c r="E328" s="8"/>
      <c r="F328" s="8"/>
      <c r="G328" s="8"/>
      <c r="H328" s="8"/>
      <c r="I328" s="8"/>
      <c r="J328" s="8"/>
      <c r="K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</row>
    <row r="329" spans="1:116" x14ac:dyDescent="0.3">
      <c r="A329" s="8"/>
      <c r="B329" s="8"/>
      <c r="C329" s="30"/>
      <c r="D329" s="8"/>
      <c r="E329" s="8"/>
      <c r="F329" s="8"/>
      <c r="G329" s="8"/>
      <c r="H329" s="8"/>
      <c r="I329" s="8"/>
      <c r="J329" s="8"/>
      <c r="K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</row>
    <row r="330" spans="1:116" x14ac:dyDescent="0.3">
      <c r="A330" s="8"/>
      <c r="B330" s="8"/>
      <c r="C330" s="30"/>
      <c r="D330" s="8"/>
      <c r="E330" s="8"/>
      <c r="F330" s="8"/>
      <c r="G330" s="8"/>
      <c r="H330" s="8"/>
      <c r="I330" s="8"/>
      <c r="J330" s="8"/>
      <c r="K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</row>
    <row r="331" spans="1:116" x14ac:dyDescent="0.3">
      <c r="A331" s="8"/>
      <c r="B331" s="8"/>
      <c r="C331" s="30"/>
      <c r="D331" s="8"/>
      <c r="E331" s="8"/>
      <c r="F331" s="8"/>
      <c r="G331" s="8"/>
      <c r="H331" s="8"/>
      <c r="I331" s="8"/>
      <c r="J331" s="8"/>
      <c r="K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</row>
    <row r="332" spans="1:116" x14ac:dyDescent="0.3">
      <c r="A332" s="8"/>
      <c r="B332" s="8"/>
      <c r="C332" s="30"/>
      <c r="D332" s="8"/>
      <c r="E332" s="8"/>
      <c r="F332" s="8"/>
      <c r="G332" s="8"/>
      <c r="H332" s="8"/>
      <c r="I332" s="8"/>
      <c r="J332" s="8"/>
      <c r="K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</row>
    <row r="333" spans="1:116" x14ac:dyDescent="0.3">
      <c r="A333" s="8"/>
      <c r="B333" s="8"/>
      <c r="C333" s="30"/>
      <c r="D333" s="8"/>
      <c r="E333" s="8"/>
      <c r="F333" s="8"/>
      <c r="G333" s="8"/>
      <c r="H333" s="8"/>
      <c r="I333" s="8"/>
      <c r="J333" s="8"/>
      <c r="K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</row>
    <row r="334" spans="1:116" x14ac:dyDescent="0.3">
      <c r="A334" s="8"/>
      <c r="B334" s="8"/>
      <c r="C334" s="30"/>
      <c r="D334" s="8"/>
      <c r="E334" s="8"/>
      <c r="F334" s="8"/>
      <c r="G334" s="8"/>
      <c r="H334" s="8"/>
      <c r="I334" s="8"/>
      <c r="J334" s="8"/>
      <c r="K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</row>
    <row r="335" spans="1:116" x14ac:dyDescent="0.3">
      <c r="A335" s="8"/>
      <c r="B335" s="8"/>
      <c r="C335" s="30"/>
      <c r="D335" s="8"/>
      <c r="E335" s="8"/>
      <c r="F335" s="8"/>
      <c r="G335" s="8"/>
      <c r="H335" s="8"/>
      <c r="I335" s="8"/>
      <c r="J335" s="8"/>
      <c r="K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</row>
    <row r="336" spans="1:116" x14ac:dyDescent="0.3">
      <c r="A336" s="8"/>
      <c r="B336" s="8"/>
      <c r="C336" s="30"/>
      <c r="D336" s="8"/>
      <c r="E336" s="8"/>
      <c r="F336" s="8"/>
      <c r="G336" s="8"/>
      <c r="H336" s="8"/>
      <c r="I336" s="8"/>
      <c r="J336" s="8"/>
      <c r="K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</row>
    <row r="337" spans="1:116" x14ac:dyDescent="0.3">
      <c r="A337" s="8"/>
      <c r="B337" s="8"/>
      <c r="C337" s="30"/>
      <c r="D337" s="8"/>
      <c r="E337" s="8"/>
      <c r="F337" s="8"/>
      <c r="G337" s="8"/>
      <c r="H337" s="8"/>
      <c r="I337" s="8"/>
      <c r="J337" s="8"/>
      <c r="K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</row>
    <row r="338" spans="1:116" x14ac:dyDescent="0.3">
      <c r="A338" s="8"/>
      <c r="B338" s="8"/>
      <c r="C338" s="30"/>
      <c r="D338" s="8"/>
      <c r="E338" s="8"/>
      <c r="F338" s="8"/>
      <c r="G338" s="8"/>
      <c r="H338" s="8"/>
      <c r="I338" s="8"/>
      <c r="J338" s="8"/>
      <c r="K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</row>
    <row r="339" spans="1:116" x14ac:dyDescent="0.3">
      <c r="A339" s="8"/>
      <c r="B339" s="8"/>
      <c r="C339" s="30"/>
      <c r="D339" s="8"/>
      <c r="E339" s="8"/>
      <c r="F339" s="8"/>
      <c r="G339" s="8"/>
      <c r="H339" s="8"/>
      <c r="I339" s="8"/>
      <c r="J339" s="8"/>
      <c r="K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</row>
    <row r="340" spans="1:116" x14ac:dyDescent="0.3">
      <c r="A340" s="8"/>
      <c r="B340" s="8"/>
      <c r="C340" s="30"/>
      <c r="D340" s="8"/>
      <c r="E340" s="8"/>
      <c r="F340" s="8"/>
      <c r="G340" s="8"/>
      <c r="H340" s="8"/>
      <c r="I340" s="8"/>
      <c r="J340" s="8"/>
      <c r="K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</row>
    <row r="341" spans="1:116" x14ac:dyDescent="0.3">
      <c r="A341" s="8"/>
      <c r="B341" s="8"/>
      <c r="C341" s="30"/>
      <c r="D341" s="8"/>
      <c r="E341" s="8"/>
      <c r="F341" s="8"/>
      <c r="G341" s="8"/>
      <c r="H341" s="8"/>
      <c r="I341" s="8"/>
      <c r="J341" s="8"/>
      <c r="K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</row>
    <row r="342" spans="1:116" x14ac:dyDescent="0.3">
      <c r="A342" s="8"/>
      <c r="B342" s="8"/>
      <c r="C342" s="30"/>
      <c r="D342" s="8"/>
      <c r="E342" s="8"/>
      <c r="F342" s="8"/>
      <c r="G342" s="8"/>
      <c r="H342" s="8"/>
      <c r="I342" s="8"/>
      <c r="J342" s="8"/>
      <c r="K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</row>
    <row r="343" spans="1:116" x14ac:dyDescent="0.3">
      <c r="A343" s="8"/>
      <c r="B343" s="8"/>
      <c r="C343" s="30"/>
      <c r="D343" s="8"/>
      <c r="E343" s="8"/>
      <c r="F343" s="8"/>
      <c r="G343" s="8"/>
      <c r="H343" s="8"/>
      <c r="I343" s="8"/>
      <c r="J343" s="8"/>
      <c r="K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</row>
    <row r="344" spans="1:116" x14ac:dyDescent="0.3">
      <c r="A344" s="8"/>
      <c r="B344" s="8"/>
      <c r="C344" s="30"/>
      <c r="D344" s="8"/>
      <c r="E344" s="8"/>
      <c r="F344" s="8"/>
      <c r="G344" s="8"/>
      <c r="H344" s="8"/>
      <c r="I344" s="8"/>
      <c r="J344" s="8"/>
      <c r="K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</row>
    <row r="345" spans="1:116" x14ac:dyDescent="0.3">
      <c r="A345" s="8"/>
      <c r="B345" s="8"/>
      <c r="C345" s="30"/>
      <c r="D345" s="8"/>
      <c r="E345" s="8"/>
      <c r="F345" s="8"/>
      <c r="G345" s="8"/>
      <c r="H345" s="8"/>
      <c r="I345" s="8"/>
      <c r="J345" s="8"/>
      <c r="K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</row>
    <row r="346" spans="1:116" x14ac:dyDescent="0.3">
      <c r="A346" s="8"/>
      <c r="B346" s="8"/>
      <c r="C346" s="30"/>
      <c r="D346" s="8"/>
      <c r="E346" s="8"/>
      <c r="F346" s="8"/>
      <c r="G346" s="8"/>
      <c r="H346" s="8"/>
      <c r="I346" s="8"/>
      <c r="J346" s="8"/>
      <c r="K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</row>
    <row r="347" spans="1:116" x14ac:dyDescent="0.3">
      <c r="A347" s="8"/>
      <c r="B347" s="8"/>
      <c r="C347" s="30"/>
      <c r="D347" s="8"/>
      <c r="E347" s="8"/>
      <c r="F347" s="8"/>
      <c r="G347" s="8"/>
      <c r="H347" s="8"/>
      <c r="I347" s="8"/>
      <c r="J347" s="8"/>
      <c r="K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</row>
    <row r="348" spans="1:116" x14ac:dyDescent="0.3">
      <c r="A348" s="8"/>
      <c r="B348" s="8"/>
      <c r="C348" s="30"/>
      <c r="D348" s="8"/>
      <c r="E348" s="8"/>
      <c r="F348" s="8"/>
      <c r="G348" s="8"/>
      <c r="H348" s="8"/>
      <c r="I348" s="8"/>
      <c r="J348" s="8"/>
      <c r="K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</row>
    <row r="349" spans="1:116" x14ac:dyDescent="0.3">
      <c r="A349" s="8"/>
      <c r="B349" s="8"/>
      <c r="C349" s="30"/>
      <c r="D349" s="8"/>
      <c r="E349" s="8"/>
      <c r="F349" s="8"/>
      <c r="G349" s="8"/>
      <c r="H349" s="8"/>
      <c r="I349" s="8"/>
      <c r="J349" s="8"/>
      <c r="K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</row>
    <row r="350" spans="1:116" x14ac:dyDescent="0.3">
      <c r="A350" s="8"/>
      <c r="B350" s="8"/>
      <c r="C350" s="30"/>
      <c r="D350" s="8"/>
      <c r="E350" s="8"/>
      <c r="F350" s="8"/>
      <c r="G350" s="8"/>
      <c r="H350" s="8"/>
      <c r="I350" s="8"/>
      <c r="J350" s="8"/>
      <c r="K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</row>
    <row r="351" spans="1:116" x14ac:dyDescent="0.3">
      <c r="A351" s="8"/>
      <c r="B351" s="8"/>
      <c r="C351" s="30"/>
      <c r="D351" s="8"/>
      <c r="E351" s="8"/>
      <c r="F351" s="8"/>
      <c r="G351" s="8"/>
      <c r="H351" s="8"/>
      <c r="I351" s="8"/>
      <c r="J351" s="8"/>
      <c r="K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</row>
    <row r="352" spans="1:116" x14ac:dyDescent="0.3">
      <c r="A352" s="8"/>
      <c r="B352" s="8"/>
      <c r="C352" s="30"/>
      <c r="D352" s="8"/>
      <c r="E352" s="8"/>
      <c r="F352" s="8"/>
      <c r="G352" s="8"/>
      <c r="H352" s="8"/>
      <c r="I352" s="8"/>
      <c r="J352" s="8"/>
      <c r="K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</row>
    <row r="353" spans="1:116" x14ac:dyDescent="0.3">
      <c r="A353" s="8"/>
      <c r="B353" s="8"/>
      <c r="C353" s="30"/>
      <c r="D353" s="8"/>
      <c r="E353" s="8"/>
      <c r="F353" s="8"/>
      <c r="G353" s="8"/>
      <c r="H353" s="8"/>
      <c r="I353" s="8"/>
      <c r="J353" s="8"/>
      <c r="K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</row>
    <row r="354" spans="1:116" x14ac:dyDescent="0.3">
      <c r="A354" s="8"/>
      <c r="B354" s="8"/>
      <c r="C354" s="30"/>
      <c r="D354" s="8"/>
      <c r="E354" s="8"/>
      <c r="F354" s="8"/>
      <c r="G354" s="8"/>
      <c r="H354" s="8"/>
      <c r="I354" s="8"/>
      <c r="J354" s="8"/>
      <c r="K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</row>
    <row r="355" spans="1:116" x14ac:dyDescent="0.3">
      <c r="A355" s="8"/>
      <c r="B355" s="8"/>
      <c r="C355" s="30"/>
      <c r="D355" s="8"/>
      <c r="E355" s="8"/>
      <c r="F355" s="8"/>
      <c r="G355" s="8"/>
      <c r="H355" s="8"/>
      <c r="I355" s="8"/>
      <c r="J355" s="8"/>
      <c r="K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</row>
    <row r="356" spans="1:116" x14ac:dyDescent="0.3">
      <c r="A356" s="8"/>
      <c r="B356" s="8"/>
      <c r="C356" s="30"/>
      <c r="D356" s="8"/>
      <c r="E356" s="8"/>
      <c r="F356" s="8"/>
      <c r="G356" s="8"/>
      <c r="H356" s="8"/>
      <c r="I356" s="8"/>
      <c r="J356" s="8"/>
      <c r="K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</row>
    <row r="357" spans="1:116" x14ac:dyDescent="0.3">
      <c r="A357" s="8"/>
      <c r="B357" s="8"/>
      <c r="C357" s="30"/>
      <c r="D357" s="8"/>
      <c r="E357" s="8"/>
      <c r="F357" s="8"/>
      <c r="G357" s="8"/>
      <c r="H357" s="8"/>
      <c r="I357" s="8"/>
      <c r="J357" s="8"/>
      <c r="K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</row>
    <row r="358" spans="1:116" x14ac:dyDescent="0.3">
      <c r="A358" s="8"/>
      <c r="B358" s="8"/>
      <c r="C358" s="30"/>
      <c r="D358" s="8"/>
      <c r="E358" s="8"/>
      <c r="F358" s="8"/>
      <c r="G358" s="8"/>
      <c r="H358" s="8"/>
      <c r="I358" s="8"/>
      <c r="J358" s="8"/>
      <c r="K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</row>
    <row r="359" spans="1:116" x14ac:dyDescent="0.3">
      <c r="A359" s="8"/>
      <c r="B359" s="8"/>
      <c r="C359" s="30"/>
      <c r="D359" s="8"/>
      <c r="E359" s="8"/>
      <c r="F359" s="8"/>
      <c r="G359" s="8"/>
      <c r="H359" s="8"/>
      <c r="I359" s="8"/>
      <c r="J359" s="8"/>
      <c r="K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</row>
    <row r="360" spans="1:116" x14ac:dyDescent="0.3">
      <c r="A360" s="8"/>
      <c r="B360" s="8"/>
      <c r="C360" s="30"/>
      <c r="D360" s="8"/>
      <c r="E360" s="8"/>
      <c r="F360" s="8"/>
      <c r="G360" s="8"/>
      <c r="H360" s="8"/>
      <c r="I360" s="8"/>
      <c r="J360" s="8"/>
      <c r="K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</row>
    <row r="361" spans="1:116" x14ac:dyDescent="0.3">
      <c r="A361" s="8"/>
      <c r="B361" s="8"/>
      <c r="C361" s="30"/>
      <c r="D361" s="8"/>
      <c r="E361" s="8"/>
      <c r="F361" s="8"/>
      <c r="G361" s="8"/>
      <c r="H361" s="8"/>
      <c r="I361" s="8"/>
      <c r="J361" s="8"/>
      <c r="K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</row>
    <row r="362" spans="1:116" x14ac:dyDescent="0.3">
      <c r="A362" s="8"/>
      <c r="B362" s="8"/>
      <c r="C362" s="30"/>
      <c r="D362" s="8"/>
      <c r="E362" s="8"/>
      <c r="F362" s="8"/>
      <c r="G362" s="8"/>
      <c r="H362" s="8"/>
      <c r="I362" s="8"/>
      <c r="J362" s="8"/>
      <c r="K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</row>
    <row r="363" spans="1:116" x14ac:dyDescent="0.3">
      <c r="A363" s="8"/>
      <c r="B363" s="8"/>
      <c r="C363" s="30"/>
      <c r="D363" s="8"/>
      <c r="E363" s="8"/>
      <c r="F363" s="8"/>
      <c r="G363" s="8"/>
      <c r="H363" s="8"/>
      <c r="I363" s="8"/>
      <c r="J363" s="8"/>
      <c r="K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</row>
    <row r="364" spans="1:116" x14ac:dyDescent="0.3">
      <c r="A364" s="8"/>
      <c r="B364" s="8"/>
      <c r="C364" s="30"/>
      <c r="D364" s="8"/>
      <c r="E364" s="8"/>
      <c r="F364" s="8"/>
      <c r="G364" s="8"/>
      <c r="H364" s="8"/>
      <c r="I364" s="8"/>
      <c r="J364" s="8"/>
      <c r="K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</row>
    <row r="365" spans="1:116" x14ac:dyDescent="0.3">
      <c r="A365" s="8"/>
      <c r="B365" s="8"/>
      <c r="C365" s="30"/>
      <c r="D365" s="8"/>
      <c r="E365" s="8"/>
      <c r="F365" s="8"/>
      <c r="G365" s="8"/>
      <c r="H365" s="8"/>
      <c r="I365" s="8"/>
      <c r="J365" s="8"/>
      <c r="K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</row>
    <row r="366" spans="1:116" x14ac:dyDescent="0.3">
      <c r="A366" s="8"/>
      <c r="B366" s="8"/>
      <c r="C366" s="30"/>
      <c r="D366" s="8"/>
      <c r="E366" s="8"/>
      <c r="F366" s="8"/>
      <c r="G366" s="8"/>
      <c r="H366" s="8"/>
      <c r="I366" s="8"/>
      <c r="J366" s="8"/>
      <c r="K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</row>
    <row r="367" spans="1:116" x14ac:dyDescent="0.3">
      <c r="A367" s="8"/>
      <c r="B367" s="8"/>
      <c r="C367" s="30"/>
      <c r="D367" s="8"/>
      <c r="E367" s="8"/>
      <c r="F367" s="8"/>
      <c r="G367" s="8"/>
      <c r="H367" s="8"/>
      <c r="I367" s="8"/>
      <c r="J367" s="8"/>
      <c r="K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</row>
    <row r="368" spans="1:116" x14ac:dyDescent="0.3">
      <c r="A368" s="8"/>
      <c r="B368" s="8"/>
      <c r="C368" s="30"/>
      <c r="D368" s="8"/>
      <c r="E368" s="8"/>
      <c r="F368" s="8"/>
      <c r="G368" s="8"/>
      <c r="H368" s="8"/>
      <c r="I368" s="8"/>
      <c r="J368" s="8"/>
      <c r="K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</row>
    <row r="369" spans="1:116" x14ac:dyDescent="0.3">
      <c r="A369" s="8"/>
      <c r="B369" s="8"/>
      <c r="C369" s="30"/>
      <c r="D369" s="8"/>
      <c r="E369" s="8"/>
      <c r="F369" s="8"/>
      <c r="G369" s="8"/>
      <c r="H369" s="8"/>
      <c r="I369" s="8"/>
      <c r="J369" s="8"/>
      <c r="K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</row>
    <row r="370" spans="1:116" x14ac:dyDescent="0.3">
      <c r="A370" s="8"/>
      <c r="B370" s="8"/>
      <c r="C370" s="30"/>
      <c r="D370" s="8"/>
      <c r="E370" s="8"/>
      <c r="F370" s="8"/>
      <c r="G370" s="8"/>
      <c r="H370" s="8"/>
      <c r="I370" s="8"/>
      <c r="J370" s="8"/>
      <c r="K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</row>
    <row r="371" spans="1:116" x14ac:dyDescent="0.3">
      <c r="A371" s="8"/>
      <c r="B371" s="8"/>
      <c r="C371" s="30"/>
      <c r="D371" s="8"/>
      <c r="E371" s="8"/>
      <c r="F371" s="8"/>
      <c r="G371" s="8"/>
      <c r="H371" s="8"/>
      <c r="I371" s="8"/>
      <c r="J371" s="8"/>
      <c r="K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</row>
    <row r="372" spans="1:116" x14ac:dyDescent="0.3">
      <c r="A372" s="8"/>
      <c r="B372" s="8"/>
      <c r="C372" s="30"/>
      <c r="D372" s="8"/>
      <c r="E372" s="8"/>
      <c r="F372" s="8"/>
      <c r="G372" s="8"/>
      <c r="H372" s="8"/>
      <c r="I372" s="8"/>
      <c r="J372" s="8"/>
      <c r="K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</row>
    <row r="373" spans="1:116" x14ac:dyDescent="0.3">
      <c r="A373" s="8"/>
      <c r="B373" s="8"/>
      <c r="C373" s="30"/>
      <c r="D373" s="8"/>
      <c r="E373" s="8"/>
      <c r="F373" s="8"/>
      <c r="G373" s="8"/>
      <c r="H373" s="8"/>
      <c r="I373" s="8"/>
      <c r="J373" s="8"/>
      <c r="K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</row>
    <row r="374" spans="1:116" x14ac:dyDescent="0.3">
      <c r="A374" s="8"/>
      <c r="B374" s="8"/>
      <c r="C374" s="30"/>
      <c r="D374" s="8"/>
      <c r="E374" s="8"/>
      <c r="F374" s="8"/>
      <c r="G374" s="8"/>
      <c r="H374" s="8"/>
      <c r="I374" s="8"/>
      <c r="J374" s="8"/>
      <c r="K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</row>
    <row r="375" spans="1:116" x14ac:dyDescent="0.3">
      <c r="A375" s="8"/>
      <c r="B375" s="8"/>
      <c r="C375" s="30"/>
      <c r="D375" s="8"/>
      <c r="E375" s="8"/>
      <c r="F375" s="8"/>
      <c r="G375" s="8"/>
      <c r="H375" s="8"/>
      <c r="I375" s="8"/>
      <c r="J375" s="8"/>
      <c r="K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</row>
    <row r="376" spans="1:116" x14ac:dyDescent="0.3">
      <c r="A376" s="8"/>
      <c r="B376" s="8"/>
      <c r="C376" s="30"/>
      <c r="D376" s="8"/>
      <c r="E376" s="8"/>
      <c r="F376" s="8"/>
      <c r="G376" s="8"/>
      <c r="H376" s="8"/>
      <c r="I376" s="8"/>
      <c r="J376" s="8"/>
      <c r="K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</row>
    <row r="377" spans="1:116" x14ac:dyDescent="0.3">
      <c r="A377" s="8"/>
      <c r="B377" s="8"/>
      <c r="C377" s="30"/>
      <c r="D377" s="8"/>
      <c r="E377" s="8"/>
      <c r="F377" s="8"/>
      <c r="G377" s="8"/>
      <c r="H377" s="8"/>
      <c r="I377" s="8"/>
      <c r="J377" s="8"/>
      <c r="K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</row>
    <row r="378" spans="1:116" x14ac:dyDescent="0.3">
      <c r="A378" s="8"/>
      <c r="B378" s="8"/>
      <c r="C378" s="30"/>
      <c r="D378" s="8"/>
      <c r="E378" s="8"/>
      <c r="F378" s="8"/>
      <c r="G378" s="8"/>
      <c r="H378" s="8"/>
      <c r="I378" s="8"/>
      <c r="J378" s="8"/>
      <c r="K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</row>
    <row r="379" spans="1:116" x14ac:dyDescent="0.3">
      <c r="A379" s="8"/>
      <c r="B379" s="8"/>
      <c r="C379" s="30"/>
      <c r="D379" s="8"/>
      <c r="E379" s="8"/>
      <c r="F379" s="8"/>
      <c r="G379" s="8"/>
      <c r="H379" s="8"/>
      <c r="I379" s="8"/>
      <c r="J379" s="8"/>
      <c r="K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</row>
    <row r="380" spans="1:116" x14ac:dyDescent="0.3">
      <c r="A380" s="8"/>
      <c r="B380" s="8"/>
      <c r="C380" s="30"/>
      <c r="D380" s="8"/>
      <c r="E380" s="8"/>
      <c r="F380" s="8"/>
      <c r="G380" s="8"/>
      <c r="H380" s="8"/>
      <c r="I380" s="8"/>
      <c r="J380" s="8"/>
      <c r="K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</row>
    <row r="381" spans="1:116" x14ac:dyDescent="0.3">
      <c r="A381" s="8"/>
      <c r="B381" s="8"/>
      <c r="C381" s="30"/>
      <c r="D381" s="8"/>
      <c r="E381" s="8"/>
      <c r="F381" s="8"/>
      <c r="G381" s="8"/>
      <c r="H381" s="8"/>
      <c r="I381" s="8"/>
      <c r="J381" s="8"/>
      <c r="K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</row>
    <row r="382" spans="1:116" x14ac:dyDescent="0.3">
      <c r="A382" s="8"/>
      <c r="B382" s="8"/>
      <c r="C382" s="30"/>
      <c r="D382" s="8"/>
      <c r="E382" s="8"/>
      <c r="F382" s="8"/>
      <c r="G382" s="8"/>
      <c r="H382" s="8"/>
      <c r="I382" s="8"/>
      <c r="J382" s="8"/>
      <c r="K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</row>
    <row r="383" spans="1:116" x14ac:dyDescent="0.3">
      <c r="A383" s="8"/>
      <c r="B383" s="8"/>
      <c r="C383" s="30"/>
      <c r="D383" s="8"/>
      <c r="E383" s="8"/>
      <c r="F383" s="8"/>
      <c r="G383" s="8"/>
      <c r="H383" s="8"/>
      <c r="I383" s="8"/>
      <c r="J383" s="8"/>
      <c r="K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</row>
    <row r="384" spans="1:116" x14ac:dyDescent="0.3">
      <c r="A384" s="8"/>
      <c r="B384" s="8"/>
      <c r="C384" s="30"/>
      <c r="D384" s="8"/>
      <c r="E384" s="8"/>
      <c r="F384" s="8"/>
      <c r="G384" s="8"/>
      <c r="H384" s="8"/>
      <c r="I384" s="8"/>
      <c r="J384" s="8"/>
      <c r="K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</row>
    <row r="385" spans="1:116" x14ac:dyDescent="0.3">
      <c r="A385" s="8"/>
      <c r="B385" s="8"/>
      <c r="C385" s="30"/>
      <c r="D385" s="8"/>
      <c r="E385" s="8"/>
      <c r="F385" s="8"/>
      <c r="G385" s="8"/>
      <c r="H385" s="8"/>
      <c r="I385" s="8"/>
      <c r="J385" s="8"/>
      <c r="K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</row>
    <row r="386" spans="1:116" x14ac:dyDescent="0.3">
      <c r="A386" s="8"/>
      <c r="B386" s="8"/>
      <c r="C386" s="30"/>
      <c r="D386" s="8"/>
      <c r="E386" s="8"/>
      <c r="F386" s="8"/>
      <c r="G386" s="8"/>
      <c r="H386" s="8"/>
      <c r="I386" s="8"/>
      <c r="J386" s="8"/>
      <c r="K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</row>
    <row r="387" spans="1:116" x14ac:dyDescent="0.3">
      <c r="A387" s="8"/>
      <c r="B387" s="8"/>
      <c r="C387" s="30"/>
    </row>
    <row r="388" spans="1:116" x14ac:dyDescent="0.3">
      <c r="A388" s="8"/>
      <c r="B388" s="8"/>
      <c r="C388" s="30"/>
    </row>
  </sheetData>
  <autoFilter ref="I21:K21" xr:uid="{3A0EE427-B1BA-4CF2-B888-E7E2FF226AC6}"/>
  <mergeCells count="24">
    <mergeCell ref="M1:O2"/>
    <mergeCell ref="A1:C2"/>
    <mergeCell ref="E1:G2"/>
    <mergeCell ref="I1:K2"/>
    <mergeCell ref="I19:K20"/>
    <mergeCell ref="B17:C17"/>
    <mergeCell ref="B18:C18"/>
    <mergeCell ref="A20:C21"/>
    <mergeCell ref="E19:G20"/>
    <mergeCell ref="M19:O20"/>
    <mergeCell ref="A10:C11"/>
    <mergeCell ref="B12:C12"/>
    <mergeCell ref="B13:C13"/>
    <mergeCell ref="B14:C14"/>
    <mergeCell ref="B15:C15"/>
    <mergeCell ref="B16:C16"/>
    <mergeCell ref="B28:C28"/>
    <mergeCell ref="B29:C29"/>
    <mergeCell ref="B24:C24"/>
    <mergeCell ref="B23:C23"/>
    <mergeCell ref="B22:C22"/>
    <mergeCell ref="B25:C25"/>
    <mergeCell ref="B26:C26"/>
    <mergeCell ref="B27:C27"/>
  </mergeCells>
  <conditionalFormatting sqref="I22:I36">
    <cfRule type="containsText" dxfId="2" priority="1" operator="containsText" text="CONTAMINADA">
      <formula>NOT(ISERROR(SEARCH("CONTAMINADA",I22)))</formula>
    </cfRule>
    <cfRule type="containsText" dxfId="1" priority="2" operator="containsText" text="OLEOSA">
      <formula>NOT(ISERROR(SEARCH("OLEOSA",I22)))</formula>
    </cfRule>
    <cfRule type="containsText" dxfId="0" priority="3" operator="containsText" text="PLUVIAL">
      <formula>NOT(ISERROR(SEARCH("PLUVIAL",I22)))</formula>
    </cfRule>
  </conditionalFormatting>
  <conditionalFormatting sqref="J22:J36">
    <cfRule type="dataBar" priority="4">
      <dataBar>
        <cfvo type="min"/>
        <cfvo type="max"/>
        <color theme="2" tint="-9.9978637043366805E-2"/>
      </dataBar>
      <extLst>
        <ext xmlns:x14="http://schemas.microsoft.com/office/spreadsheetml/2009/9/main" uri="{B025F937-C7B1-47D3-B67F-A62EFF666E3E}">
          <x14:id>{D459FF88-E6AD-4CEE-AB34-66C975327CB2}</x14:id>
        </ext>
      </extLst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{48E34DDF-75D4-49E5-84A4-E3D237356A83}</x14:id>
        </ext>
      </extLst>
    </cfRule>
  </conditionalFormatting>
  <dataValidations count="4">
    <dataValidation type="list" allowBlank="1" showInputMessage="1" showErrorMessage="1" sqref="G7:G8" xr:uid="{B0828D3F-FC81-4998-9604-BD593F84DA29}">
      <formula1>"Sim,Não"</formula1>
    </dataValidation>
    <dataValidation type="list" allowBlank="1" showInputMessage="1" showErrorMessage="1" sqref="B26:C26" xr:uid="{49EFDBD5-C724-4684-848B-CE6B2D6CFE61}">
      <formula1>"Sim, Não"</formula1>
    </dataValidation>
    <dataValidation type="list" allowBlank="1" showInputMessage="1" showErrorMessage="1" sqref="J22:J36" xr:uid="{2A3DA710-4E11-45AE-9335-29F7DAE3DAE4}">
      <formula1>"100,150,200,250,300,400,600,800,1050,1200,1500"</formula1>
    </dataValidation>
    <dataValidation type="list" allowBlank="1" showInputMessage="1" showErrorMessage="1" sqref="I22:I36" xr:uid="{4B9694FD-4713-4B77-BF83-80D7092CCEBF}">
      <formula1>"PLUVIAL,OLEOSA,CONTAMINADA"</formula1>
    </dataValidation>
  </dataValidations>
  <hyperlinks>
    <hyperlink ref="B17" r:id="rId1" display="https://andradegutierrez365.sharepoint.com/:u:/r/sites/ProjetoeMetodologiaCivil/Documentos%20Compartilhados/04_Referencias_Internas/01-Projetos/18_TERMOELETRICAS/UTE_TBARC/Drenagem/UNIFICADA%20-%20DRE%20-%20GTT-EDITADO.dwg?d=wf99025c198824fd89a1fdf412e058c53&amp;csf=1&amp;web=1&amp;e=hBKn8T" xr:uid="{62AAAC26-68C7-4944-8416-58432959F5CB}"/>
    <hyperlink ref="B15" r:id="rId2" display="https://andradegutierrez365.sharepoint.com/:b:/r/sites/ProjetoeMetodologiaCivil/Documentos%20Compartilhados/04_Referencias_Internas/01-Projetos/18_TERMOELETRICAS/UTE_TBARC/02.Pavimenta%C3%A7%C3%A3o/01.Mem%C3%B3ria%20de%20C%C3%A1lculo/UTPC-TPP-AFR-01-00-CI-MC-0001_02.pdf?d=w071b8448d15f48099bf890ccaa458d69&amp;csf=1&amp;web=1&amp;e=NgmSgd" xr:uid="{51482EE4-014E-4595-A9A5-BD3942CB1612}"/>
    <hyperlink ref="B14" r:id="rId3" display="https://andradegutierrez365.sharepoint.com/:b:/r/sites/ProjetoeMetodologiaCivil/Documentos%20Compartilhados/04_Referencias_Internas/01-Projetos/18_TERMOELETRICAS/UTE_TBARC/01.Drenagem/00.Drenagem%20Pluvial/01.Mem%C3%B3ria%20de%20C%C3%A1lculo/UTPC-TPP-AFR-01-00-CI-MC-0004_01.pdf?d=w0a067aa6fc3b4151820c7a863b41d971&amp;csf=1&amp;web=1&amp;e=x2HPxf" xr:uid="{01FD99FD-4246-4477-8BFB-A7B3A6A45F95}"/>
    <hyperlink ref="B14:C14" r:id="rId4" display="LINK" xr:uid="{9A87C8AA-F190-445C-8B77-52E5AE025B0D}"/>
    <hyperlink ref="B15:C15" r:id="rId5" display="LINK" xr:uid="{D5B3DA71-0DF6-4CA7-AF6F-D5A1F70FEAAD}"/>
    <hyperlink ref="B17:C17" r:id="rId6" display="LINK" xr:uid="{48EF95D0-775C-4CE9-9386-28B682EDC0FC}"/>
  </hyperlink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59FF88-E6AD-4CEE-AB34-66C975327C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E34DDF-75D4-49E5-84A4-E3D237356A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J22:J36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9ce91c5-098e-4b8d-a260-f90af9415a6c" xsi:nil="true"/>
    <lcf76f155ced4ddcb4097134ff3c332f xmlns="5c0bee9d-3d70-4094-abfa-c970e9551d1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ADC8E3FBA57EE46811E70D777B01D9C" ma:contentTypeVersion="17" ma:contentTypeDescription="Crie um novo documento." ma:contentTypeScope="" ma:versionID="4dbfe5131c04e18bf4324efbd9776572">
  <xsd:schema xmlns:xsd="http://www.w3.org/2001/XMLSchema" xmlns:xs="http://www.w3.org/2001/XMLSchema" xmlns:p="http://schemas.microsoft.com/office/2006/metadata/properties" xmlns:ns2="f9ce91c5-098e-4b8d-a260-f90af9415a6c" xmlns:ns3="5c0bee9d-3d70-4094-abfa-c970e9551d1f" targetNamespace="http://schemas.microsoft.com/office/2006/metadata/properties" ma:root="true" ma:fieldsID="14996aa3011fd4f1150046dabac9a4de" ns2:_="" ns3:_="">
    <xsd:import namespace="f9ce91c5-098e-4b8d-a260-f90af9415a6c"/>
    <xsd:import namespace="5c0bee9d-3d70-4094-abfa-c970e9551d1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e91c5-098e-4b8d-a260-f90af9415a6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69cf3c0-168e-42be-8d7e-d3b1e66658fa}" ma:internalName="TaxCatchAll" ma:showField="CatchAllData" ma:web="f9ce91c5-098e-4b8d-a260-f90af9415a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0bee9d-3d70-4094-abfa-c970e9551d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c5832410-1cb7-4c53-a330-bb40f0d92c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5F8B88-83BB-4E18-B8B3-240CEE57CFCB}">
  <ds:schemaRefs>
    <ds:schemaRef ds:uri="http://schemas.microsoft.com/office/2006/metadata/properties"/>
    <ds:schemaRef ds:uri="http://schemas.microsoft.com/office/infopath/2007/PartnerControls"/>
    <ds:schemaRef ds:uri="f9ce91c5-098e-4b8d-a260-f90af9415a6c"/>
    <ds:schemaRef ds:uri="5c0bee9d-3d70-4094-abfa-c970e9551d1f"/>
  </ds:schemaRefs>
</ds:datastoreItem>
</file>

<file path=customXml/itemProps2.xml><?xml version="1.0" encoding="utf-8"?>
<ds:datastoreItem xmlns:ds="http://schemas.openxmlformats.org/officeDocument/2006/customXml" ds:itemID="{83F5F2F2-EB27-4E86-A130-D77F0A35AE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198A48-75F0-4F39-8FA8-F8EBA53663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e91c5-098e-4b8d-a260-f90af9415a6c"/>
    <ds:schemaRef ds:uri="5c0bee9d-3d70-4094-abfa-c970e9551d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SIM. - DRENAGEM</vt:lpstr>
      <vt:lpstr>SIM. - TERRAPLANAGEM</vt:lpstr>
      <vt:lpstr>SIM. - PAVIMENTAÇÃO</vt:lpstr>
      <vt:lpstr>TBARC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Lasagno Neto</dc:creator>
  <cp:lastModifiedBy>Wagner Lasagno Neto</cp:lastModifiedBy>
  <dcterms:created xsi:type="dcterms:W3CDTF">2026-09-16T11:47:19Z</dcterms:created>
  <dcterms:modified xsi:type="dcterms:W3CDTF">2026-09-25T18:22:38Z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0x0101007ADC8E3FBA57EE46811E70D777B01D9C</vt:lpwstr>
  </property>
</Properties>
</file>